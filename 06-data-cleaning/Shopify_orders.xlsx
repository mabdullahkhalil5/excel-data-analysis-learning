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titude 7310\Documents\Excel for data analysis\excel-data-analysis-learning\06-data-cleaning\"/>
    </mc:Choice>
  </mc:AlternateContent>
  <xr:revisionPtr revIDLastSave="0" documentId="13_ncr:2001_{F5BCE75F-4ECB-4315-8930-48734C05BA0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sk-1(Data-Quality-Audit)" sheetId="2" r:id="rId1"/>
    <sheet name="Cleaning Tasks" sheetId="4" r:id="rId2"/>
    <sheet name="Orders" sheetId="1" r:id="rId3"/>
  </sheets>
  <definedNames>
    <definedName name="_xlnm._FilterDatabase" localSheetId="2" hidden="1">Orders!$F$1:$F$2044</definedName>
  </definedNames>
  <calcPr calcId="191029"/>
  <pivotCaches>
    <pivotCache cacheId="1" r:id="rId4"/>
    <pivotCache cacheId="6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" i="1"/>
  <c r="H4" i="4"/>
  <c r="H5" i="4"/>
  <c r="H6" i="4"/>
  <c r="B22" i="1"/>
  <c r="B41" i="1"/>
  <c r="B52" i="1"/>
  <c r="B75" i="1"/>
  <c r="B77" i="1"/>
  <c r="B104" i="1"/>
  <c r="B112" i="1"/>
  <c r="B123" i="1"/>
  <c r="B147" i="1"/>
  <c r="B261" i="1"/>
  <c r="B291" i="1"/>
  <c r="B304" i="1"/>
  <c r="B345" i="1"/>
  <c r="B371" i="1"/>
  <c r="B450" i="1"/>
  <c r="B456" i="1"/>
  <c r="B489" i="1"/>
  <c r="B494" i="1"/>
  <c r="B602" i="1"/>
  <c r="B618" i="1"/>
  <c r="B628" i="1"/>
  <c r="B650" i="1"/>
  <c r="B652" i="1"/>
  <c r="B663" i="1"/>
  <c r="B745" i="1"/>
  <c r="B774" i="1"/>
  <c r="B799" i="1"/>
  <c r="B886" i="1"/>
  <c r="B974" i="1"/>
  <c r="B983" i="1"/>
  <c r="B1007" i="1"/>
  <c r="B1037" i="1"/>
  <c r="B1178" i="1"/>
  <c r="B1234" i="1"/>
  <c r="B1332" i="1"/>
  <c r="B1352" i="1"/>
  <c r="B1374" i="1"/>
  <c r="B1490" i="1"/>
  <c r="B1626" i="1"/>
  <c r="B1815" i="1"/>
  <c r="B1842" i="1"/>
  <c r="B1877" i="1"/>
  <c r="B1901" i="1"/>
  <c r="B1931" i="1"/>
  <c r="B1980" i="1"/>
  <c r="B2001" i="1"/>
  <c r="B2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2" i="1"/>
  <c r="B43" i="1"/>
  <c r="B44" i="1"/>
  <c r="B45" i="1"/>
  <c r="B46" i="1"/>
  <c r="B47" i="1"/>
  <c r="B48" i="1"/>
  <c r="B49" i="1"/>
  <c r="B50" i="1"/>
  <c r="B51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6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5" i="1"/>
  <c r="B106" i="1"/>
  <c r="B107" i="1"/>
  <c r="B108" i="1"/>
  <c r="B109" i="1"/>
  <c r="B110" i="1"/>
  <c r="B111" i="1"/>
  <c r="B113" i="1"/>
  <c r="B114" i="1"/>
  <c r="B115" i="1"/>
  <c r="B116" i="1"/>
  <c r="B117" i="1"/>
  <c r="B118" i="1"/>
  <c r="B119" i="1"/>
  <c r="B120" i="1"/>
  <c r="B121" i="1"/>
  <c r="B122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1" i="1"/>
  <c r="B452" i="1"/>
  <c r="B453" i="1"/>
  <c r="B454" i="1"/>
  <c r="B455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90" i="1"/>
  <c r="B491" i="1"/>
  <c r="B492" i="1"/>
  <c r="B493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9" i="1"/>
  <c r="B620" i="1"/>
  <c r="B621" i="1"/>
  <c r="B622" i="1"/>
  <c r="B623" i="1"/>
  <c r="B624" i="1"/>
  <c r="B625" i="1"/>
  <c r="B626" i="1"/>
  <c r="B627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1" i="1"/>
  <c r="B653" i="1"/>
  <c r="B654" i="1"/>
  <c r="B655" i="1"/>
  <c r="B656" i="1"/>
  <c r="B657" i="1"/>
  <c r="B658" i="1"/>
  <c r="B659" i="1"/>
  <c r="B660" i="1"/>
  <c r="B661" i="1"/>
  <c r="B662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5" i="1"/>
  <c r="B976" i="1"/>
  <c r="B977" i="1"/>
  <c r="B978" i="1"/>
  <c r="B979" i="1"/>
  <c r="B980" i="1"/>
  <c r="B981" i="1"/>
  <c r="B982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" i="1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3" i="2"/>
  <c r="E5" i="4" l="1"/>
  <c r="E4" i="4"/>
  <c r="E6" i="4"/>
</calcChain>
</file>

<file path=xl/sharedStrings.xml><?xml version="1.0" encoding="utf-8"?>
<sst xmlns="http://schemas.openxmlformats.org/spreadsheetml/2006/main" count="25294" uniqueCount="5261">
  <si>
    <t>Order ID</t>
  </si>
  <si>
    <t>Order Date</t>
  </si>
  <si>
    <t>Customer Name</t>
  </si>
  <si>
    <t>Customer Email</t>
  </si>
  <si>
    <t>Product Name</t>
  </si>
  <si>
    <t>Category</t>
  </si>
  <si>
    <t>SKU</t>
  </si>
  <si>
    <t>Quantity</t>
  </si>
  <si>
    <t>Unit Price</t>
  </si>
  <si>
    <t>Discount Code</t>
  </si>
  <si>
    <t>Discount Amount</t>
  </si>
  <si>
    <t>Shipping</t>
  </si>
  <si>
    <t>Total</t>
  </si>
  <si>
    <t>Payment Method</t>
  </si>
  <si>
    <t>Channel</t>
  </si>
  <si>
    <t>Order Status</t>
  </si>
  <si>
    <t>Country</t>
  </si>
  <si>
    <t>State</t>
  </si>
  <si>
    <t>City</t>
  </si>
  <si>
    <t>#1001</t>
  </si>
  <si>
    <t>Glenn Mcmahon</t>
  </si>
  <si>
    <t>glenn.mcmahon733@yahoo.com</t>
  </si>
  <si>
    <t xml:space="preserve">Stainless Steel Water Bottle  </t>
  </si>
  <si>
    <t>Home &amp; Kitchen</t>
  </si>
  <si>
    <t>HK-BTL-750</t>
  </si>
  <si>
    <t>SAVE20</t>
  </si>
  <si>
    <t>$2.60</t>
  </si>
  <si>
    <t>Google Pay</t>
  </si>
  <si>
    <t>Online Store</t>
  </si>
  <si>
    <t>pending</t>
  </si>
  <si>
    <t>United States</t>
  </si>
  <si>
    <t>Georgia</t>
  </si>
  <si>
    <t>Jamesfurt</t>
  </si>
  <si>
    <t>#1002</t>
  </si>
  <si>
    <t>Miranda Gray</t>
  </si>
  <si>
    <t>miranda.gray649@yahoo.com</t>
  </si>
  <si>
    <t>Portable Power Bank 10000mAh</t>
  </si>
  <si>
    <t>Electronics</t>
  </si>
  <si>
    <t>ELC-PWB-10K</t>
  </si>
  <si>
    <t>FREESHIP</t>
  </si>
  <si>
    <t>Shopify Payments</t>
  </si>
  <si>
    <t>Facebook</t>
  </si>
  <si>
    <t>refunded</t>
  </si>
  <si>
    <t>Pakistan</t>
  </si>
  <si>
    <t>Port Davidshire</t>
  </si>
  <si>
    <t>#1003</t>
  </si>
  <si>
    <t>THOMAS ROJAS</t>
  </si>
  <si>
    <t>thomas.rojas667@icloud.com</t>
  </si>
  <si>
    <t>Slim Fit Denim Jeans</t>
  </si>
  <si>
    <t>Apparel</t>
  </si>
  <si>
    <t>JNS-BLU-32</t>
  </si>
  <si>
    <t>Credit Card</t>
  </si>
  <si>
    <t>fulfilled</t>
  </si>
  <si>
    <t>North Carolina</t>
  </si>
  <si>
    <t>West Cynthialand</t>
  </si>
  <si>
    <t>#1004</t>
  </si>
  <si>
    <t>Robyn Hughes</t>
  </si>
  <si>
    <t>robyn.hughes771@gmail.com</t>
  </si>
  <si>
    <t>Scented Soy Candle - Vanilla</t>
  </si>
  <si>
    <t>HK-CND-VAN</t>
  </si>
  <si>
    <t>New York</t>
  </si>
  <si>
    <t>New Debra</t>
  </si>
  <si>
    <t>#1005</t>
  </si>
  <si>
    <t>Sharon Brown</t>
  </si>
  <si>
    <t>sharon.brown14@gmail.com</t>
  </si>
  <si>
    <t>Classic Cotton T-Shirt</t>
  </si>
  <si>
    <t>TSH-BLK-L</t>
  </si>
  <si>
    <t>WELCOME10</t>
  </si>
  <si>
    <t>Apple Pay</t>
  </si>
  <si>
    <t>Illinois</t>
  </si>
  <si>
    <t>Lake Angel</t>
  </si>
  <si>
    <t>#1006</t>
  </si>
  <si>
    <t>Joshua Anderson</t>
  </si>
  <si>
    <t>joshua.anderson662@gmail.com</t>
  </si>
  <si>
    <t>PayPal</t>
  </si>
  <si>
    <t>Canada</t>
  </si>
  <si>
    <t>Joshuastad</t>
  </si>
  <si>
    <t>#1007</t>
  </si>
  <si>
    <t>Maria Leon</t>
  </si>
  <si>
    <t>maria.leon163@outlook.com</t>
  </si>
  <si>
    <t>Adjustable Dumbbell Set</t>
  </si>
  <si>
    <t>Sports &amp; Outdoors</t>
  </si>
  <si>
    <t>SP-DMB-ADJ</t>
  </si>
  <si>
    <t>North Rebeccaland</t>
  </si>
  <si>
    <t>#1008</t>
  </si>
  <si>
    <t>austin norris</t>
  </si>
  <si>
    <t>austin.norris15@gmail.com</t>
  </si>
  <si>
    <t>Running Shoes - Women's</t>
  </si>
  <si>
    <t>Footwear</t>
  </si>
  <si>
    <t>FTW-RUN-W</t>
  </si>
  <si>
    <t>Instagram</t>
  </si>
  <si>
    <t>Florida</t>
  </si>
  <si>
    <t>South Kaitlyn</t>
  </si>
  <si>
    <t>#1009</t>
  </si>
  <si>
    <t>Jennifer Burke</t>
  </si>
  <si>
    <t>jennifer.burke472@icloud.com</t>
  </si>
  <si>
    <t xml:space="preserve">Running Shoes - Women's  </t>
  </si>
  <si>
    <t>save20</t>
  </si>
  <si>
    <t>$131.98</t>
  </si>
  <si>
    <t>cancelled</t>
  </si>
  <si>
    <t>Reneemouth</t>
  </si>
  <si>
    <t>#1010</t>
  </si>
  <si>
    <t>04-08-2026 14:06</t>
  </si>
  <si>
    <t>Robert Miller</t>
  </si>
  <si>
    <t>robert.miller69@yahoo.com</t>
  </si>
  <si>
    <t>Leather Wallet - Brown</t>
  </si>
  <si>
    <t>Accessories</t>
  </si>
  <si>
    <t>ACC-WLT-BRN</t>
  </si>
  <si>
    <t>Australia</t>
  </si>
  <si>
    <t>Ortizview</t>
  </si>
  <si>
    <t>#1011</t>
  </si>
  <si>
    <t>Patricia Townsend</t>
  </si>
  <si>
    <t>Yoga Mat - Extra Thick</t>
  </si>
  <si>
    <t>SP-YGM-EX</t>
  </si>
  <si>
    <t>POS</t>
  </si>
  <si>
    <t>Ohio</t>
  </si>
  <si>
    <t>West Stephentown</t>
  </si>
  <si>
    <t>#1012</t>
  </si>
  <si>
    <t>Karen Jones</t>
  </si>
  <si>
    <t>karen.jones287@icloud.com</t>
  </si>
  <si>
    <t>Stainless Steel Water Bottle</t>
  </si>
  <si>
    <t>BFCM25</t>
  </si>
  <si>
    <t>$14.73</t>
  </si>
  <si>
    <t>South Joseph</t>
  </si>
  <si>
    <t>#1013</t>
  </si>
  <si>
    <t>Anthony Patterson</t>
  </si>
  <si>
    <t>anthony.patterson944@gmail.com</t>
  </si>
  <si>
    <t>Resistance Bands Set</t>
  </si>
  <si>
    <t>SP-RBS-SET</t>
  </si>
  <si>
    <t>West Denisemouth</t>
  </si>
  <si>
    <t>#1014</t>
  </si>
  <si>
    <t>Frederick Bean</t>
  </si>
  <si>
    <t>frederick.bean141@outlook.com</t>
  </si>
  <si>
    <t>Polarized Sunglasses</t>
  </si>
  <si>
    <t>ACC-SUN-01</t>
  </si>
  <si>
    <t>Kimberlychester</t>
  </si>
  <si>
    <t>#1015</t>
  </si>
  <si>
    <t>Linda Byrd</t>
  </si>
  <si>
    <t>linda.byrd87@outlook.com</t>
  </si>
  <si>
    <t>AZ</t>
  </si>
  <si>
    <t>Deanstad</t>
  </si>
  <si>
    <t>#1016</t>
  </si>
  <si>
    <t>08/04/2026</t>
  </si>
  <si>
    <t>Rachel Jimenez</t>
  </si>
  <si>
    <t>rachel.jimenez326@outlook.com</t>
  </si>
  <si>
    <t>Texas</t>
  </si>
  <si>
    <t>Larsonchester</t>
  </si>
  <si>
    <t>#1017</t>
  </si>
  <si>
    <t>2026-08-04</t>
  </si>
  <si>
    <t>John Jacobs</t>
  </si>
  <si>
    <t>john.jacobs137@yahoo.com</t>
  </si>
  <si>
    <t>Hooded Sweatshirt</t>
  </si>
  <si>
    <t>APR-HOD-GRY</t>
  </si>
  <si>
    <t>South Beverlyton</t>
  </si>
  <si>
    <t>#1018</t>
  </si>
  <si>
    <t>Mary Phillips</t>
  </si>
  <si>
    <t>mary.phillips944@yahoo.com</t>
  </si>
  <si>
    <t>Wireless Bluetooth Earbuds</t>
  </si>
  <si>
    <t>ELC-WBE-01</t>
  </si>
  <si>
    <t>Guerraton</t>
  </si>
  <si>
    <t>#1019</t>
  </si>
  <si>
    <t>Alison Schroeder</t>
  </si>
  <si>
    <t>alison.schroeder943@icloud.com</t>
  </si>
  <si>
    <t>West Jonathanview</t>
  </si>
  <si>
    <t>#1020</t>
  </si>
  <si>
    <t>John Carson</t>
  </si>
  <si>
    <t>john.carson203@yahoo.com</t>
  </si>
  <si>
    <t>Nathanieltown</t>
  </si>
  <si>
    <t>#1021</t>
  </si>
  <si>
    <t>Tyler Williams</t>
  </si>
  <si>
    <t>tyler.williams938@outlook.com</t>
  </si>
  <si>
    <t>Backpack - 25L</t>
  </si>
  <si>
    <t>ACC-BPK-25L</t>
  </si>
  <si>
    <t>$32.99</t>
  </si>
  <si>
    <t>North Michellestad</t>
  </si>
  <si>
    <t>#1022</t>
  </si>
  <si>
    <t>Aug 04, 2026</t>
  </si>
  <si>
    <t>Rebecca Watts</t>
  </si>
  <si>
    <t>rebecca.watts779@gmail.com</t>
  </si>
  <si>
    <t>Tammystad</t>
  </si>
  <si>
    <t>#1023</t>
  </si>
  <si>
    <t>Angela Carr</t>
  </si>
  <si>
    <t>angela.carr488@yahoo.com</t>
  </si>
  <si>
    <t>Hansenberg</t>
  </si>
  <si>
    <t>#1024</t>
  </si>
  <si>
    <t>Michelle Bell</t>
  </si>
  <si>
    <t>michelle.bell28@yahoo.com</t>
  </si>
  <si>
    <t>Wireless Mouse</t>
  </si>
  <si>
    <t>ELC-MSE-WL</t>
  </si>
  <si>
    <t>$0.00</t>
  </si>
  <si>
    <t>$16.98</t>
  </si>
  <si>
    <t>Michaelmouth</t>
  </si>
  <si>
    <t>#1025</t>
  </si>
  <si>
    <t>Amanda Robinson</t>
  </si>
  <si>
    <t>amanda.robinson263@icloud.com</t>
  </si>
  <si>
    <t>Facial Cleanser 200ml</t>
  </si>
  <si>
    <t>Beauty</t>
  </si>
  <si>
    <t>BTY-CLN-200</t>
  </si>
  <si>
    <t>Martineztown</t>
  </si>
  <si>
    <t>#1026</t>
  </si>
  <si>
    <t>Amanda Rodriguez</t>
  </si>
  <si>
    <t>amanda.rodriguez770@yahoo.com</t>
  </si>
  <si>
    <t>Port Brittneyview</t>
  </si>
  <si>
    <t>#1027</t>
  </si>
  <si>
    <t>Sandra Wilson</t>
  </si>
  <si>
    <t>sandra.wilson554@outlook.com</t>
  </si>
  <si>
    <t>Vitamin C Serum 30ml</t>
  </si>
  <si>
    <t>BTY-SRM-30</t>
  </si>
  <si>
    <t>VIP15</t>
  </si>
  <si>
    <t>Hollyport</t>
  </si>
  <si>
    <t>#1028</t>
  </si>
  <si>
    <t>Andrea Martinez</t>
  </si>
  <si>
    <t>andrea.martinez756@yahoo.com</t>
  </si>
  <si>
    <t>$9.99</t>
  </si>
  <si>
    <t>East Sarah</t>
  </si>
  <si>
    <t>#1029</t>
  </si>
  <si>
    <t>Terrymouth</t>
  </si>
  <si>
    <t>#1030</t>
  </si>
  <si>
    <t>Kenneth Davis</t>
  </si>
  <si>
    <t>kenneth.davis106@yahoo.com</t>
  </si>
  <si>
    <t>Millerside</t>
  </si>
  <si>
    <t>#1031</t>
  </si>
  <si>
    <t>Donaldshire</t>
  </si>
  <si>
    <t>#1032</t>
  </si>
  <si>
    <t>Joe Taylor</t>
  </si>
  <si>
    <t>joe.taylor714@yahoo.com</t>
  </si>
  <si>
    <t>Throw Blanket - Fleece</t>
  </si>
  <si>
    <t>HK-BLK-FLC</t>
  </si>
  <si>
    <t>Germany</t>
  </si>
  <si>
    <t>New Marciatown</t>
  </si>
  <si>
    <t>#1033</t>
  </si>
  <si>
    <t>Anthony Marshall</t>
  </si>
  <si>
    <t>anthony.marshall823@yahoo.com</t>
  </si>
  <si>
    <t>vip15</t>
  </si>
  <si>
    <t>Timothyton</t>
  </si>
  <si>
    <t>#1034</t>
  </si>
  <si>
    <t>Amy Barnett</t>
  </si>
  <si>
    <t>Joshuaborough</t>
  </si>
  <si>
    <t>#1035</t>
  </si>
  <si>
    <t>Glenn Smith</t>
  </si>
  <si>
    <t>glenn.smith305@gmail.com</t>
  </si>
  <si>
    <t>Kids Building Blocks Set</t>
  </si>
  <si>
    <t>Toys</t>
  </si>
  <si>
    <t>TOY-BLK-SET</t>
  </si>
  <si>
    <t>East Jeffreybury</t>
  </si>
  <si>
    <t>#1036</t>
  </si>
  <si>
    <t>Diane Campos</t>
  </si>
  <si>
    <t>diane.campos325@gmail.com</t>
  </si>
  <si>
    <t>Washington</t>
  </si>
  <si>
    <t>West Patrickmouth</t>
  </si>
  <si>
    <t>#1037</t>
  </si>
  <si>
    <t>Tamara Dodson</t>
  </si>
  <si>
    <t>tamara.dodson539@gmail.com</t>
  </si>
  <si>
    <t>Williamfort</t>
  </si>
  <si>
    <t>#1038</t>
  </si>
  <si>
    <t>04-08-2026 13:58</t>
  </si>
  <si>
    <t>William Houston</t>
  </si>
  <si>
    <t>Greenfurt</t>
  </si>
  <si>
    <t>#1039</t>
  </si>
  <si>
    <t>Rivera, Thomas</t>
  </si>
  <si>
    <t>thomas.rivera720@yahoo.com</t>
  </si>
  <si>
    <t>$3.50</t>
  </si>
  <si>
    <t>Lake Tiffany</t>
  </si>
  <si>
    <t>#1040</t>
  </si>
  <si>
    <t xml:space="preserve">  Monica Hicks</t>
  </si>
  <si>
    <t>monica.hicks473@yahoo.com</t>
  </si>
  <si>
    <t>USB-C Fast Charger 20W</t>
  </si>
  <si>
    <t>ELC-CHG-20</t>
  </si>
  <si>
    <t>West Lanceview</t>
  </si>
  <si>
    <t>#1041</t>
  </si>
  <si>
    <t>Dustin Griffin</t>
  </si>
  <si>
    <t>dustin.griffin434@gmail.com</t>
  </si>
  <si>
    <t>Ceramic Coffee Mug Set (4pc)</t>
  </si>
  <si>
    <t>HK-MUG-4PK</t>
  </si>
  <si>
    <t>Mooretown</t>
  </si>
  <si>
    <t>#1042</t>
  </si>
  <si>
    <t>Angie Martin</t>
  </si>
  <si>
    <t>angie.martin506@icloud.com</t>
  </si>
  <si>
    <t>West Travis</t>
  </si>
  <si>
    <t>#1043</t>
  </si>
  <si>
    <t>Linda Scott</t>
  </si>
  <si>
    <t>linda.scott2@icloud.com</t>
  </si>
  <si>
    <t>North Tonyfurt</t>
  </si>
  <si>
    <t>#1044</t>
  </si>
  <si>
    <t>Non-Stick Frying Pan 10in</t>
  </si>
  <si>
    <t>HK-PAN-10</t>
  </si>
  <si>
    <t>Bakerborough</t>
  </si>
  <si>
    <t>#1045</t>
  </si>
  <si>
    <t>Jose Ingram</t>
  </si>
  <si>
    <t>jose.ingram37@gmail.com</t>
  </si>
  <si>
    <t>Port Rosebury</t>
  </si>
  <si>
    <t>#1046</t>
  </si>
  <si>
    <t>Kristen Lewis</t>
  </si>
  <si>
    <t>kristen.lewis649@icloud.com</t>
  </si>
  <si>
    <t>WA</t>
  </si>
  <si>
    <t>North Jacqueline</t>
  </si>
  <si>
    <t>#1047</t>
  </si>
  <si>
    <t>Michael Jacobson</t>
  </si>
  <si>
    <t>michael.jacobson69@outlook.com</t>
  </si>
  <si>
    <t>$33.48</t>
  </si>
  <si>
    <t>Craigmouth</t>
  </si>
  <si>
    <t>#1048</t>
  </si>
  <si>
    <t>Andrew Johnson</t>
  </si>
  <si>
    <t>andrew.johnson94@outlook.com</t>
  </si>
  <si>
    <t>Briannahaven</t>
  </si>
  <si>
    <t>#1049</t>
  </si>
  <si>
    <t>Byrd, Linda</t>
  </si>
  <si>
    <t>Robertfurt</t>
  </si>
  <si>
    <t>#1050</t>
  </si>
  <si>
    <t>Tina Singh</t>
  </si>
  <si>
    <t>tina.singh98@icloud.com</t>
  </si>
  <si>
    <t>Port Angela</t>
  </si>
  <si>
    <t>#1051</t>
  </si>
  <si>
    <t>Paul Dillon</t>
  </si>
  <si>
    <t>paul.dillon750@icloud.com</t>
  </si>
  <si>
    <t>Phone Case - Clear</t>
  </si>
  <si>
    <t>ELC-CSE-CLR</t>
  </si>
  <si>
    <t>Comptonstad</t>
  </si>
  <si>
    <t>#1052</t>
  </si>
  <si>
    <t>Leon Oliver</t>
  </si>
  <si>
    <t>leon.oliver578@gmail.com</t>
  </si>
  <si>
    <t>Samuelshire</t>
  </si>
  <si>
    <t>#1053</t>
  </si>
  <si>
    <t>Anthony Parsons</t>
  </si>
  <si>
    <t>$15.49</t>
  </si>
  <si>
    <t>Alexanderland</t>
  </si>
  <si>
    <t>#1054</t>
  </si>
  <si>
    <t>Stacey Johnson</t>
  </si>
  <si>
    <t>stacey.johnson95@gmail.com</t>
  </si>
  <si>
    <t>Lake Jeffrey</t>
  </si>
  <si>
    <t>#1055</t>
  </si>
  <si>
    <t>Anthony Mullen</t>
  </si>
  <si>
    <t>anthony.mullen523@yahoo.com</t>
  </si>
  <si>
    <t>Geraldhaven</t>
  </si>
  <si>
    <t>#1056</t>
  </si>
  <si>
    <t>Lauren Nguyen</t>
  </si>
  <si>
    <t>lauren.nguyen819@outlook.com</t>
  </si>
  <si>
    <t>United Kingdom</t>
  </si>
  <si>
    <t>North Christopherview</t>
  </si>
  <si>
    <t>#1057</t>
  </si>
  <si>
    <t>Melissa Smith</t>
  </si>
  <si>
    <t>melissa.smith711@gmail.com</t>
  </si>
  <si>
    <t>Nancymouth</t>
  </si>
  <si>
    <t>#1058</t>
  </si>
  <si>
    <t>04-08-2026 13:54</t>
  </si>
  <si>
    <t>Amanda Harris</t>
  </si>
  <si>
    <t>$34.99</t>
  </si>
  <si>
    <t>Arizona</t>
  </si>
  <si>
    <t>Lake Alyssa</t>
  </si>
  <si>
    <t>#1059</t>
  </si>
  <si>
    <t>william.houston340@outlook.com</t>
  </si>
  <si>
    <t>TX</t>
  </si>
  <si>
    <t>Mooreport</t>
  </si>
  <si>
    <t>#1060</t>
  </si>
  <si>
    <t>Heather Davis</t>
  </si>
  <si>
    <t>heather.davis117@icloud.com</t>
  </si>
  <si>
    <t>East Tiffany</t>
  </si>
  <si>
    <t>#1061</t>
  </si>
  <si>
    <t>West Charles</t>
  </si>
  <si>
    <t>#1062</t>
  </si>
  <si>
    <t>Lisa Flowers</t>
  </si>
  <si>
    <t>lisa.flowers14@icloud.com</t>
  </si>
  <si>
    <t>Port Patriciaborough</t>
  </si>
  <si>
    <t>#1063</t>
  </si>
  <si>
    <t>Robert Boyd</t>
  </si>
  <si>
    <t>robert.boyd184@yahoo.com</t>
  </si>
  <si>
    <t>North Ariel</t>
  </si>
  <si>
    <t>#1064</t>
  </si>
  <si>
    <t>Running Shoes - Men's</t>
  </si>
  <si>
    <t>FTW-RUN-M</t>
  </si>
  <si>
    <t>$54.99</t>
  </si>
  <si>
    <t>Arroyomouth</t>
  </si>
  <si>
    <t>#1065</t>
  </si>
  <si>
    <t>Jaime Vargas</t>
  </si>
  <si>
    <t>jaime.vargas795@outlook.com</t>
  </si>
  <si>
    <t>North Victoriamouth</t>
  </si>
  <si>
    <t>#1066</t>
  </si>
  <si>
    <t>Kristen Aguirre</t>
  </si>
  <si>
    <t>kristen.aguirre898@gmail.com</t>
  </si>
  <si>
    <t>Dennisborough</t>
  </si>
  <si>
    <t>#1067</t>
  </si>
  <si>
    <t>freeship</t>
  </si>
  <si>
    <t>Lake Josehaven</t>
  </si>
  <si>
    <t>#1068</t>
  </si>
  <si>
    <t>Mary Garcia</t>
  </si>
  <si>
    <t>mary.garcia899@icloud.com</t>
  </si>
  <si>
    <t>Lake Rebecca</t>
  </si>
  <si>
    <t>#1069</t>
  </si>
  <si>
    <t>Kristina Cook</t>
  </si>
  <si>
    <t>kristina.cook392@outlook.com</t>
  </si>
  <si>
    <t>Copelandburgh</t>
  </si>
  <si>
    <t>#1070</t>
  </si>
  <si>
    <t>Shelly Griffith</t>
  </si>
  <si>
    <t>shelly.griffith342@icloud.com</t>
  </si>
  <si>
    <t>Lake Michele</t>
  </si>
  <si>
    <t>#1071</t>
  </si>
  <si>
    <t>Kathryn Robinson</t>
  </si>
  <si>
    <t>kathryn.robinson965@gmail.com</t>
  </si>
  <si>
    <t>BFCM25 </t>
  </si>
  <si>
    <t>South Katherine</t>
  </si>
  <si>
    <t>#1072</t>
  </si>
  <si>
    <t>Katie Coleman</t>
  </si>
  <si>
    <t>katie.coleman262@outlook.com</t>
  </si>
  <si>
    <t>Kennethfurt</t>
  </si>
  <si>
    <t>#1073</t>
  </si>
  <si>
    <t>Brittney Thomas</t>
  </si>
  <si>
    <t>brittney.thomas484@gmail.com</t>
  </si>
  <si>
    <t>Moyerstad</t>
  </si>
  <si>
    <t>#1074</t>
  </si>
  <si>
    <t>$11.99</t>
  </si>
  <si>
    <t>West Loganbury</t>
  </si>
  <si>
    <t>#1075</t>
  </si>
  <si>
    <t>Dustin Ward</t>
  </si>
  <si>
    <t>dustin.ward756@icloud.com</t>
  </si>
  <si>
    <t>Lake Stephanieville</t>
  </si>
  <si>
    <t>#1076</t>
  </si>
  <si>
    <t>Chad Smith</t>
  </si>
  <si>
    <t>chad.smith773@icloud.com</t>
  </si>
  <si>
    <t>North Andreafort</t>
  </si>
  <si>
    <t>#1077</t>
  </si>
  <si>
    <t>Cody Murray</t>
  </si>
  <si>
    <t>cody.murray456@gmail.com</t>
  </si>
  <si>
    <t>Haydenport</t>
  </si>
  <si>
    <t>#1078</t>
  </si>
  <si>
    <t>Sandra Potter</t>
  </si>
  <si>
    <t>sandra.potter166@yahoo.com</t>
  </si>
  <si>
    <t>South Moniquehaven</t>
  </si>
  <si>
    <t>#1079</t>
  </si>
  <si>
    <t>Nicole Taylor</t>
  </si>
  <si>
    <t>nicole.taylor607@icloud.com</t>
  </si>
  <si>
    <t>Port Traviston</t>
  </si>
  <si>
    <t>#1080</t>
  </si>
  <si>
    <t>Andrew Jones</t>
  </si>
  <si>
    <t>andrew.jones338@icloud.com</t>
  </si>
  <si>
    <t>Fitzgeraldtown</t>
  </si>
  <si>
    <t>#1081</t>
  </si>
  <si>
    <t>Lake Franciscoton</t>
  </si>
  <si>
    <t>#1082</t>
  </si>
  <si>
    <t>Michele Davis</t>
  </si>
  <si>
    <t>michele.davis844@gmail.com</t>
  </si>
  <si>
    <t>$15.38</t>
  </si>
  <si>
    <t>Perkinschester</t>
  </si>
  <si>
    <t>#1083</t>
  </si>
  <si>
    <t>Johnathan Sloan</t>
  </si>
  <si>
    <t>johnathan.sloan721@outlook.com</t>
  </si>
  <si>
    <t>$11.00</t>
  </si>
  <si>
    <t>Robertborough</t>
  </si>
  <si>
    <t>#1084</t>
  </si>
  <si>
    <t>Megan Herman</t>
  </si>
  <si>
    <t>megan.herman268@yahoo.com</t>
  </si>
  <si>
    <t>Yvetteville</t>
  </si>
  <si>
    <t>#1085</t>
  </si>
  <si>
    <t>amanda.harris197@gmail.com</t>
  </si>
  <si>
    <t>TSH-BLK-M</t>
  </si>
  <si>
    <t>California</t>
  </si>
  <si>
    <t>#1086</t>
  </si>
  <si>
    <t>Joshua Chavez</t>
  </si>
  <si>
    <t>joshua.chavez332@outlook.com</t>
  </si>
  <si>
    <t>$19.99</t>
  </si>
  <si>
    <t>Newmanborough</t>
  </si>
  <si>
    <t>#1087</t>
  </si>
  <si>
    <t>Deborah Wilson</t>
  </si>
  <si>
    <t>deborah.wilson691@icloud.com</t>
  </si>
  <si>
    <t>$41.97</t>
  </si>
  <si>
    <t>Lake Gary</t>
  </si>
  <si>
    <t>#1088</t>
  </si>
  <si>
    <t>Brian Ruiz</t>
  </si>
  <si>
    <t>brian.ruiz246@gmail.com</t>
  </si>
  <si>
    <t>South Melissaborough</t>
  </si>
  <si>
    <t>#1089</t>
  </si>
  <si>
    <t>Kimberly Cordova</t>
  </si>
  <si>
    <t>kimberly.cordova508@icloud.com</t>
  </si>
  <si>
    <t>Brendaside</t>
  </si>
  <si>
    <t>#1090</t>
  </si>
  <si>
    <t>West Thomaschester</t>
  </si>
  <si>
    <t>#1091</t>
  </si>
  <si>
    <t>Sara Sims</t>
  </si>
  <si>
    <t>sara.sims992@icloud.com</t>
  </si>
  <si>
    <t>Powellland</t>
  </si>
  <si>
    <t>#1092</t>
  </si>
  <si>
    <t>Julia Atkinson</t>
  </si>
  <si>
    <t>julia.atkinson939@gmail.com</t>
  </si>
  <si>
    <t>New Christopher</t>
  </si>
  <si>
    <t>#1093</t>
  </si>
  <si>
    <t>gerald li</t>
  </si>
  <si>
    <t>gerald.li856@icloud.com</t>
  </si>
  <si>
    <t>Melissafurt</t>
  </si>
  <si>
    <t>#1094</t>
  </si>
  <si>
    <t>Angela Rose</t>
  </si>
  <si>
    <t>angela.rose740@outlook.com</t>
  </si>
  <si>
    <t>Williamsview</t>
  </si>
  <si>
    <t>#1095</t>
  </si>
  <si>
    <t>Nicholas Jarvis</t>
  </si>
  <si>
    <t>nicholas.jarvis112@icloud.com</t>
  </si>
  <si>
    <t>West Brookebury</t>
  </si>
  <si>
    <t>#1096</t>
  </si>
  <si>
    <t>Natalie Dixon</t>
  </si>
  <si>
    <t>natalie.dixon388@outlook.com</t>
  </si>
  <si>
    <t>$30.97</t>
  </si>
  <si>
    <t>NC</t>
  </si>
  <si>
    <t>East Emilyfort</t>
  </si>
  <si>
    <t>#1097</t>
  </si>
  <si>
    <t>Christopher Harrington</t>
  </si>
  <si>
    <t>christopher.harrington960@gmail.com</t>
  </si>
  <si>
    <t>$79.96</t>
  </si>
  <si>
    <t>Smithton</t>
  </si>
  <si>
    <t>#1098</t>
  </si>
  <si>
    <t>Timothy Becker</t>
  </si>
  <si>
    <t>timothy.becker88@yahoo.com</t>
  </si>
  <si>
    <t>New Richardmouth</t>
  </si>
  <si>
    <t>#1099</t>
  </si>
  <si>
    <t>Michael Davis</t>
  </si>
  <si>
    <t>michael.davis313@outlook.com</t>
  </si>
  <si>
    <t>Sarahborough</t>
  </si>
  <si>
    <t>#1100</t>
  </si>
  <si>
    <t>OMAR SANDERS</t>
  </si>
  <si>
    <t>omar.sanders208@outlook.com</t>
  </si>
  <si>
    <t>$57.48</t>
  </si>
  <si>
    <t>Mclaughlinbury</t>
  </si>
  <si>
    <t>#1101</t>
  </si>
  <si>
    <t>Jerryborough</t>
  </si>
  <si>
    <t>#1102</t>
  </si>
  <si>
    <t>Port Melissa</t>
  </si>
  <si>
    <t>#1103</t>
  </si>
  <si>
    <t>Tracy Adams</t>
  </si>
  <si>
    <t>tracy.adams712@icloud.com</t>
  </si>
  <si>
    <t>Harrisonville</t>
  </si>
  <si>
    <t>#1104</t>
  </si>
  <si>
    <t>Lake Williamstad</t>
  </si>
  <si>
    <t>#1105</t>
  </si>
  <si>
    <t>North Jenniferhaven</t>
  </si>
  <si>
    <t>#1106</t>
  </si>
  <si>
    <t>Thomas Smith</t>
  </si>
  <si>
    <t>thomas.smith633@gmail.com</t>
  </si>
  <si>
    <t>East Seth</t>
  </si>
  <si>
    <t>#1107</t>
  </si>
  <si>
    <t>Peter Alvarez</t>
  </si>
  <si>
    <t>peter.alvarez465@yahoo.com</t>
  </si>
  <si>
    <t>Angelaborough</t>
  </si>
  <si>
    <t>#1108</t>
  </si>
  <si>
    <t>George Gould</t>
  </si>
  <si>
    <t>george.gould10@yahoo.com</t>
  </si>
  <si>
    <t>Sierrastad</t>
  </si>
  <si>
    <t>#1109</t>
  </si>
  <si>
    <t>Emily Hicks</t>
  </si>
  <si>
    <t>emily.hicks49@outlook.com</t>
  </si>
  <si>
    <t>$43.98</t>
  </si>
  <si>
    <t>Kendrafurt</t>
  </si>
  <si>
    <t>#1110</t>
  </si>
  <si>
    <t>Ryan Jones</t>
  </si>
  <si>
    <t>ryan.jones314@gmail.com</t>
  </si>
  <si>
    <t>West Jimmy</t>
  </si>
  <si>
    <t>#1111</t>
  </si>
  <si>
    <t>Robert Bryant</t>
  </si>
  <si>
    <t>robert.bryant21@gmail.com</t>
  </si>
  <si>
    <t>$17.98</t>
  </si>
  <si>
    <t>Lake Adrianport</t>
  </si>
  <si>
    <t>#1112</t>
  </si>
  <si>
    <t>Pamela Miller</t>
  </si>
  <si>
    <t>pamela.miller171@icloud.com</t>
  </si>
  <si>
    <t>Reeseburgh</t>
  </si>
  <si>
    <t>#1113</t>
  </si>
  <si>
    <t>Thomas Rojas</t>
  </si>
  <si>
    <t>Joseton</t>
  </si>
  <si>
    <t>#1114</t>
  </si>
  <si>
    <t>Kayla Cruz</t>
  </si>
  <si>
    <t>kayla.cruz151@outlook.com</t>
  </si>
  <si>
    <t>East Samantha</t>
  </si>
  <si>
    <t>#1115</t>
  </si>
  <si>
    <t>Tina Crane</t>
  </si>
  <si>
    <t>tina.crane554@gmail.com</t>
  </si>
  <si>
    <t>$21.99</t>
  </si>
  <si>
    <t>Elizabethhaven</t>
  </si>
  <si>
    <t>#1116</t>
  </si>
  <si>
    <t>Arthur Kelley</t>
  </si>
  <si>
    <t>arthur.kelley558@gmail.com</t>
  </si>
  <si>
    <t>#1117</t>
  </si>
  <si>
    <t>Stacey Morales</t>
  </si>
  <si>
    <t>stacey.morales538@yahoo.com</t>
  </si>
  <si>
    <t>$89.99</t>
  </si>
  <si>
    <t>Morganmouth</t>
  </si>
  <si>
    <t>#1118</t>
  </si>
  <si>
    <t>David Torres</t>
  </si>
  <si>
    <t>Donaldborough</t>
  </si>
  <si>
    <t>#1119</t>
  </si>
  <si>
    <t>Justin Smith</t>
  </si>
  <si>
    <t>justin.smith204@yahoo.com</t>
  </si>
  <si>
    <t>Butlerhaven</t>
  </si>
  <si>
    <t>#1120</t>
  </si>
  <si>
    <t>Jennifer Martin</t>
  </si>
  <si>
    <t>jennifer.martin986@outlook.com</t>
  </si>
  <si>
    <t>$26.98</t>
  </si>
  <si>
    <t>Tamarastad</t>
  </si>
  <si>
    <t>#1121</t>
  </si>
  <si>
    <t xml:space="preserve">  Barbara Brown</t>
  </si>
  <si>
    <t>barbara.brown26@gmail.com</t>
  </si>
  <si>
    <t>Doughertyport</t>
  </si>
  <si>
    <t>#1122</t>
  </si>
  <si>
    <t>Knightfort</t>
  </si>
  <si>
    <t>#1123</t>
  </si>
  <si>
    <t>Ashley Allen</t>
  </si>
  <si>
    <t>ashley.allen918@yahoo.com</t>
  </si>
  <si>
    <t>$1.90</t>
  </si>
  <si>
    <t>Hernandezstad</t>
  </si>
  <si>
    <t>#1124</t>
  </si>
  <si>
    <t xml:space="preserve">  Daniel Parsons</t>
  </si>
  <si>
    <t>daniel.parsons636@gmail.com</t>
  </si>
  <si>
    <t>$16.79</t>
  </si>
  <si>
    <t>Jeffreyberg</t>
  </si>
  <si>
    <t>#1125</t>
  </si>
  <si>
    <t>James Castro</t>
  </si>
  <si>
    <t>james.castro923@icloud.com</t>
  </si>
  <si>
    <t>West Debrabury</t>
  </si>
  <si>
    <t>#1126</t>
  </si>
  <si>
    <t>James Miller</t>
  </si>
  <si>
    <t>james.miller866@yahoo.com</t>
  </si>
  <si>
    <t>Adrianview</t>
  </si>
  <si>
    <t>#1127</t>
  </si>
  <si>
    <t>$29.99</t>
  </si>
  <si>
    <t>Johnsonborough</t>
  </si>
  <si>
    <t>#1128</t>
  </si>
  <si>
    <t>Seth Price</t>
  </si>
  <si>
    <t>seth.price179@gmail.com</t>
  </si>
  <si>
    <t>West Jasmine</t>
  </si>
  <si>
    <t>#1129</t>
  </si>
  <si>
    <t>Kari Cooke</t>
  </si>
  <si>
    <t>kari.cooke871@gmail.com</t>
  </si>
  <si>
    <t>Coxtown</t>
  </si>
  <si>
    <t>#1130</t>
  </si>
  <si>
    <t>Andrew Wheeler</t>
  </si>
  <si>
    <t>andrew.wheeler379@yahoo.com</t>
  </si>
  <si>
    <t>Perezville</t>
  </si>
  <si>
    <t>#1131</t>
  </si>
  <si>
    <t>Janet Martinez</t>
  </si>
  <si>
    <t>janet.martinez20@yahoo.com</t>
  </si>
  <si>
    <t>West Brian</t>
  </si>
  <si>
    <t>#1132</t>
  </si>
  <si>
    <t>Sheryl Nguyen</t>
  </si>
  <si>
    <t>sheryl.nguyen272@outlook.com</t>
  </si>
  <si>
    <t>$18.99</t>
  </si>
  <si>
    <t>$23.08</t>
  </si>
  <si>
    <t>North Zacharymouth</t>
  </si>
  <si>
    <t>#1133</t>
  </si>
  <si>
    <t>Christopher Hayes</t>
  </si>
  <si>
    <t>christopher.hayes809@icloud.com</t>
  </si>
  <si>
    <t>Seanport</t>
  </si>
  <si>
    <t>#1134</t>
  </si>
  <si>
    <t>Frank Diaz</t>
  </si>
  <si>
    <t>frank.diaz795@gmail.com</t>
  </si>
  <si>
    <t>Tannerbury</t>
  </si>
  <si>
    <t>#1135</t>
  </si>
  <si>
    <t>Christopher Martin</t>
  </si>
  <si>
    <t>christopher.martin10@gmail.com</t>
  </si>
  <si>
    <t>Lake Teresa</t>
  </si>
  <si>
    <t>#1136</t>
  </si>
  <si>
    <t>Lori Davis</t>
  </si>
  <si>
    <t>lori.davis757@yahoo.com</t>
  </si>
  <si>
    <t>Harveymouth</t>
  </si>
  <si>
    <t>#1137</t>
  </si>
  <si>
    <t>sheryl nguyen</t>
  </si>
  <si>
    <t>Angelaton</t>
  </si>
  <si>
    <t>#1138</t>
  </si>
  <si>
    <t>Samuel Padilla</t>
  </si>
  <si>
    <t>samuel.padilla79@gmail.com</t>
  </si>
  <si>
    <t>Port Lisamouth</t>
  </si>
  <si>
    <t>#1139</t>
  </si>
  <si>
    <t>Rose Campos</t>
  </si>
  <si>
    <t>rose.campos542@gmail.com</t>
  </si>
  <si>
    <t>Williamside</t>
  </si>
  <si>
    <t>#1140</t>
  </si>
  <si>
    <t>DOMINIQUE HUERTA</t>
  </si>
  <si>
    <t>dominique.huerta708@outlook.com</t>
  </si>
  <si>
    <t>East Katie</t>
  </si>
  <si>
    <t>#1141</t>
  </si>
  <si>
    <t>James Andrade</t>
  </si>
  <si>
    <t>james.andrade258@icloud.com</t>
  </si>
  <si>
    <t>New Dawn</t>
  </si>
  <si>
    <t>#1142</t>
  </si>
  <si>
    <t>karen.bautista779@icloud.com</t>
  </si>
  <si>
    <t>Lake Katherine</t>
  </si>
  <si>
    <t>#1143</t>
  </si>
  <si>
    <t>Donald Davis</t>
  </si>
  <si>
    <t>donald.davis404@icloud.com</t>
  </si>
  <si>
    <t>Lake David</t>
  </si>
  <si>
    <t>#1144</t>
  </si>
  <si>
    <t>Gerald Li</t>
  </si>
  <si>
    <t>New Bonnie</t>
  </si>
  <si>
    <t>#1145</t>
  </si>
  <si>
    <t>Sandersstad</t>
  </si>
  <si>
    <t>#1146</t>
  </si>
  <si>
    <t>Lake Rickyland</t>
  </si>
  <si>
    <t>#1147</t>
  </si>
  <si>
    <t>South Joelstad</t>
  </si>
  <si>
    <t>#1148</t>
  </si>
  <si>
    <t>Johnathan Everett</t>
  </si>
  <si>
    <t>johnathan.everett6@outlook.com</t>
  </si>
  <si>
    <t>Davischester</t>
  </si>
  <si>
    <t>#1149</t>
  </si>
  <si>
    <t>Brittney Conway</t>
  </si>
  <si>
    <t>brittney.conway383@outlook.com</t>
  </si>
  <si>
    <t>Scottmouth</t>
  </si>
  <si>
    <t>#1150</t>
  </si>
  <si>
    <t>Perryberg</t>
  </si>
  <si>
    <t>#1151</t>
  </si>
  <si>
    <t>Manuelview</t>
  </si>
  <si>
    <t>#1152</t>
  </si>
  <si>
    <t>Trevor Carter</t>
  </si>
  <si>
    <t>trevor.carter617@icloud.com</t>
  </si>
  <si>
    <t>$17.99</t>
  </si>
  <si>
    <t>South Richardville</t>
  </si>
  <si>
    <t>#1153</t>
  </si>
  <si>
    <t>Juanshire</t>
  </si>
  <si>
    <t>#1154</t>
  </si>
  <si>
    <t>Megan Dickson</t>
  </si>
  <si>
    <t>megan.dickson508@gmail.com</t>
  </si>
  <si>
    <t>$3.60</t>
  </si>
  <si>
    <t>West Joseph</t>
  </si>
  <si>
    <t>#1155</t>
  </si>
  <si>
    <t>Monique Bowman</t>
  </si>
  <si>
    <t>monique.bowman430@gmail.com</t>
  </si>
  <si>
    <t>West Anna</t>
  </si>
  <si>
    <t>#1156</t>
  </si>
  <si>
    <t>04-08-2026 14:00</t>
  </si>
  <si>
    <t xml:space="preserve">  Barbara Case</t>
  </si>
  <si>
    <t>barbara.case365@yahoo.com</t>
  </si>
  <si>
    <t>Port Matthewfurt</t>
  </si>
  <si>
    <t>#1157</t>
  </si>
  <si>
    <t>West Danny</t>
  </si>
  <si>
    <t>#1158</t>
  </si>
  <si>
    <t>South Rebecca</t>
  </si>
  <si>
    <t>#1159</t>
  </si>
  <si>
    <t>Sarahfort</t>
  </si>
  <si>
    <t>#1160</t>
  </si>
  <si>
    <t>Sean Frank</t>
  </si>
  <si>
    <t>sean.frank587@icloud.com</t>
  </si>
  <si>
    <t>Willisview</t>
  </si>
  <si>
    <t>#1161</t>
  </si>
  <si>
    <t>Omar Sanders</t>
  </si>
  <si>
    <t>Port Sonya</t>
  </si>
  <si>
    <t>#1162</t>
  </si>
  <si>
    <t>Cynthia Williams</t>
  </si>
  <si>
    <t>cynthia.williams720@yahoo.com</t>
  </si>
  <si>
    <t>Jordanmouth</t>
  </si>
  <si>
    <t>#1163</t>
  </si>
  <si>
    <t>nancy nichols</t>
  </si>
  <si>
    <t>nancy.nichols189@yahoo.com</t>
  </si>
  <si>
    <t>Shafferchester</t>
  </si>
  <si>
    <t>#1164</t>
  </si>
  <si>
    <t>Timothy Hodges</t>
  </si>
  <si>
    <t>timothy.hodges687@icloud.com</t>
  </si>
  <si>
    <t>New Steveberg</t>
  </si>
  <si>
    <t>#1165</t>
  </si>
  <si>
    <t>Traceyberg</t>
  </si>
  <si>
    <t>#1166</t>
  </si>
  <si>
    <t>Hawkinsborough</t>
  </si>
  <si>
    <t>#1167</t>
  </si>
  <si>
    <t>Anthony Hunt</t>
  </si>
  <si>
    <t>anthony.hunt521@outlook.com</t>
  </si>
  <si>
    <t>Evansburgh</t>
  </si>
  <si>
    <t>#1168</t>
  </si>
  <si>
    <t>Lisa Williams</t>
  </si>
  <si>
    <t>lisa.williams715@yahoo.com</t>
  </si>
  <si>
    <t>Jacksonborough</t>
  </si>
  <si>
    <t>#1169</t>
  </si>
  <si>
    <t>Jesus Mason</t>
  </si>
  <si>
    <t>jesus.mason798@icloud.com</t>
  </si>
  <si>
    <t>NY</t>
  </si>
  <si>
    <t>Williamschester</t>
  </si>
  <si>
    <t>#1170</t>
  </si>
  <si>
    <t>Philip Stevens</t>
  </si>
  <si>
    <t>philip.stevens908@outlook.com</t>
  </si>
  <si>
    <t>Jessicaville</t>
  </si>
  <si>
    <t>#1171</t>
  </si>
  <si>
    <t>Amyburgh</t>
  </si>
  <si>
    <t>#1172</t>
  </si>
  <si>
    <t>TINA SINGH</t>
  </si>
  <si>
    <t>East Heathertown</t>
  </si>
  <si>
    <t>#1173</t>
  </si>
  <si>
    <t>Samuel Lee</t>
  </si>
  <si>
    <t>samuel.lee63@icloud.com</t>
  </si>
  <si>
    <t>South Ericburgh</t>
  </si>
  <si>
    <t>#1174</t>
  </si>
  <si>
    <t>South John</t>
  </si>
  <si>
    <t>#1175</t>
  </si>
  <si>
    <t>Lawrencestad</t>
  </si>
  <si>
    <t>#1176</t>
  </si>
  <si>
    <t>Kristiburgh</t>
  </si>
  <si>
    <t>#1177</t>
  </si>
  <si>
    <t>Mcphersonmouth</t>
  </si>
  <si>
    <t>#1178</t>
  </si>
  <si>
    <t>Lisa Zuniga</t>
  </si>
  <si>
    <t>lisa.zuniga825@outlook.com</t>
  </si>
  <si>
    <t>$35.98</t>
  </si>
  <si>
    <t>Griffithville</t>
  </si>
  <si>
    <t>#1179</t>
  </si>
  <si>
    <t>Bellfurt</t>
  </si>
  <si>
    <t>#1180</t>
  </si>
  <si>
    <t>Lindsay Shaw</t>
  </si>
  <si>
    <t>lindsay.shaw178@icloud.com</t>
  </si>
  <si>
    <t>Riverafort</t>
  </si>
  <si>
    <t>#1181</t>
  </si>
  <si>
    <t>Hernandezberg</t>
  </si>
  <si>
    <t>#1182</t>
  </si>
  <si>
    <t>Lake Rebeccaberg</t>
  </si>
  <si>
    <t>#1183</t>
  </si>
  <si>
    <t>Benjamin Collins</t>
  </si>
  <si>
    <t>benjamin.collins953@icloud.com</t>
  </si>
  <si>
    <t>Lake Patriciaview</t>
  </si>
  <si>
    <t>#1184</t>
  </si>
  <si>
    <t>$5.25</t>
  </si>
  <si>
    <t>$37.73</t>
  </si>
  <si>
    <t>Cummingsbury</t>
  </si>
  <si>
    <t>#1185</t>
  </si>
  <si>
    <t>North Garyfurt</t>
  </si>
  <si>
    <t>#1186</t>
  </si>
  <si>
    <t>Patrick Richardson</t>
  </si>
  <si>
    <t>patrick.richardson270@icloud.com</t>
  </si>
  <si>
    <t>Timothyhaven</t>
  </si>
  <si>
    <t>#1187</t>
  </si>
  <si>
    <t>Ronald Stanley</t>
  </si>
  <si>
    <t>ronald.stanley7@yahoo.com</t>
  </si>
  <si>
    <t>North Briannahaven</t>
  </si>
  <si>
    <t>#1188</t>
  </si>
  <si>
    <t>North Christina</t>
  </si>
  <si>
    <t>#1189</t>
  </si>
  <si>
    <t>Dustin Mccoy</t>
  </si>
  <si>
    <t>dustin.mccoy570@gmail.com</t>
  </si>
  <si>
    <t>South Ryan</t>
  </si>
  <si>
    <t>#1190</t>
  </si>
  <si>
    <t>John Hoffman</t>
  </si>
  <si>
    <t>john.hoffman175@gmail.com</t>
  </si>
  <si>
    <t>West Jenniferfurt</t>
  </si>
  <si>
    <t>#1191</t>
  </si>
  <si>
    <t>North Lance</t>
  </si>
  <si>
    <t>#1192</t>
  </si>
  <si>
    <t>Lake Susan</t>
  </si>
  <si>
    <t>#1193</t>
  </si>
  <si>
    <t>Anthonyhaven</t>
  </si>
  <si>
    <t>#1194</t>
  </si>
  <si>
    <t>West Deanna</t>
  </si>
  <si>
    <t>#1195</t>
  </si>
  <si>
    <t>Justin Chavez</t>
  </si>
  <si>
    <t>justin.chavez556@gmail.com</t>
  </si>
  <si>
    <t>South Andrea</t>
  </si>
  <si>
    <t>#1196</t>
  </si>
  <si>
    <t>Carrie Boyd</t>
  </si>
  <si>
    <t>carrie.boyd968@gmail.com</t>
  </si>
  <si>
    <t>Nathanberg</t>
  </si>
  <si>
    <t>#1197</t>
  </si>
  <si>
    <t>Carly Johnson</t>
  </si>
  <si>
    <t>carly.johnson664@gmail.com</t>
  </si>
  <si>
    <t>Thomasfurt</t>
  </si>
  <si>
    <t>#1198</t>
  </si>
  <si>
    <t>Michael Hays</t>
  </si>
  <si>
    <t>michael.hays590@gmail.com</t>
  </si>
  <si>
    <t>$69.98</t>
  </si>
  <si>
    <t>East Juliafort</t>
  </si>
  <si>
    <t>#1199</t>
  </si>
  <si>
    <t>East Andrew</t>
  </si>
  <si>
    <t>#1200</t>
  </si>
  <si>
    <t>Victor Herrera</t>
  </si>
  <si>
    <t>victor.herrera394@outlook.com</t>
  </si>
  <si>
    <t>Danielborough</t>
  </si>
  <si>
    <t>#1201</t>
  </si>
  <si>
    <t>Kimberlymouth</t>
  </si>
  <si>
    <t>#1202</t>
  </si>
  <si>
    <t>Alexandria Miller</t>
  </si>
  <si>
    <t>alexandria.miller414@outlook.com</t>
  </si>
  <si>
    <t>East Anthonyton</t>
  </si>
  <si>
    <t>#1203</t>
  </si>
  <si>
    <t>michael hays</t>
  </si>
  <si>
    <t>Gallegosmouth</t>
  </si>
  <si>
    <t>#1204</t>
  </si>
  <si>
    <t>Padillamouth</t>
  </si>
  <si>
    <t>#1205</t>
  </si>
  <si>
    <t>Gibsontown</t>
  </si>
  <si>
    <t>#1206</t>
  </si>
  <si>
    <t>Jacqueline Miller</t>
  </si>
  <si>
    <t>jacqueline.miller687@yahoo.com</t>
  </si>
  <si>
    <t>East Antonio</t>
  </si>
  <si>
    <t>#1207</t>
  </si>
  <si>
    <t>Natalie Roberts</t>
  </si>
  <si>
    <t>natalie.roberts628@yahoo.com</t>
  </si>
  <si>
    <t>West Misty</t>
  </si>
  <si>
    <t>#1208</t>
  </si>
  <si>
    <t>PHONE CASE - CLEAR</t>
  </si>
  <si>
    <t>West Codyberg</t>
  </si>
  <si>
    <t>#1209</t>
  </si>
  <si>
    <t>West Amyport</t>
  </si>
  <si>
    <t>#1210</t>
  </si>
  <si>
    <t>Port Josephmouth</t>
  </si>
  <si>
    <t>#1211</t>
  </si>
  <si>
    <t xml:space="preserve">  Angela Gonzalez</t>
  </si>
  <si>
    <t>angela.gonzalez50@icloud.com</t>
  </si>
  <si>
    <t>West Miranda</t>
  </si>
  <si>
    <t>#1212</t>
  </si>
  <si>
    <t>Aimee Smith</t>
  </si>
  <si>
    <t>aimee.smith857@icloud.com</t>
  </si>
  <si>
    <t>Hollyville</t>
  </si>
  <si>
    <t>#1213</t>
  </si>
  <si>
    <t>Jon Lambert</t>
  </si>
  <si>
    <t>jon.lambert231@icloud.com</t>
  </si>
  <si>
    <t>New Jordan</t>
  </si>
  <si>
    <t>#1214</t>
  </si>
  <si>
    <t>Lake Sarahfurt</t>
  </si>
  <si>
    <t>#1215</t>
  </si>
  <si>
    <t>Tracy Dominguez</t>
  </si>
  <si>
    <t>tracy.dominguez23@gmail.com</t>
  </si>
  <si>
    <t>Lake Anitaview</t>
  </si>
  <si>
    <t>#1216</t>
  </si>
  <si>
    <t>Port Natalieview</t>
  </si>
  <si>
    <t>#1217</t>
  </si>
  <si>
    <t>Brown, Barbara</t>
  </si>
  <si>
    <t>East Patricialand</t>
  </si>
  <si>
    <t>#1218</t>
  </si>
  <si>
    <t>Zachary Hanson</t>
  </si>
  <si>
    <t>zachary.hanson261@outlook.com</t>
  </si>
  <si>
    <t>Santosburgh</t>
  </si>
  <si>
    <t>#1219</t>
  </si>
  <si>
    <t>Veronica Price</t>
  </si>
  <si>
    <t>North Matthewstad</t>
  </si>
  <si>
    <t>#1220</t>
  </si>
  <si>
    <t>04-08-2026 13:53</t>
  </si>
  <si>
    <t xml:space="preserve">  Megan Dickson</t>
  </si>
  <si>
    <t>Running Shoes - Womens</t>
  </si>
  <si>
    <t>Lake Joe</t>
  </si>
  <si>
    <t>#1221</t>
  </si>
  <si>
    <t>David Knapp</t>
  </si>
  <si>
    <t>david.knapp687@yahoo.com</t>
  </si>
  <si>
    <t>West Stephenburgh</t>
  </si>
  <si>
    <t>#1222</t>
  </si>
  <si>
    <t>$5.00</t>
  </si>
  <si>
    <t>Cookton</t>
  </si>
  <si>
    <t>#1223</t>
  </si>
  <si>
    <t>Michelle Owens</t>
  </si>
  <si>
    <t>michelle.owens269@yahoo.com</t>
  </si>
  <si>
    <t>Owenschester</t>
  </si>
  <si>
    <t>#1224</t>
  </si>
  <si>
    <t>$54.97</t>
  </si>
  <si>
    <t>FL</t>
  </si>
  <si>
    <t>West Laceyberg</t>
  </si>
  <si>
    <t>#1225</t>
  </si>
  <si>
    <t>Lake Christopherside</t>
  </si>
  <si>
    <t>#1226</t>
  </si>
  <si>
    <t>Waremouth</t>
  </si>
  <si>
    <t>#1227</t>
  </si>
  <si>
    <t>Andreaport</t>
  </si>
  <si>
    <t>#1228</t>
  </si>
  <si>
    <t>Andrew Cross</t>
  </si>
  <si>
    <t>andrew.cross512@yahoo.com</t>
  </si>
  <si>
    <t>New Kelly</t>
  </si>
  <si>
    <t>#1229</t>
  </si>
  <si>
    <t>Randy Wheeler</t>
  </si>
  <si>
    <t>randy.wheeler304@icloud.com</t>
  </si>
  <si>
    <t>$24.98</t>
  </si>
  <si>
    <t>East Michelleside</t>
  </si>
  <si>
    <t>#1230</t>
  </si>
  <si>
    <t>$13.49</t>
  </si>
  <si>
    <t>New Emilyshire</t>
  </si>
  <si>
    <t>#1231</t>
  </si>
  <si>
    <t>Lindamouth</t>
  </si>
  <si>
    <t>#1232</t>
  </si>
  <si>
    <t>South Malloryview</t>
  </si>
  <si>
    <t>#1233</t>
  </si>
  <si>
    <t>KEVIN STOUT</t>
  </si>
  <si>
    <t>kevin.stout35@icloud.com</t>
  </si>
  <si>
    <t>IL</t>
  </si>
  <si>
    <t>New Paul</t>
  </si>
  <si>
    <t>#1234</t>
  </si>
  <si>
    <t>Jennifertown</t>
  </si>
  <si>
    <t>#1235</t>
  </si>
  <si>
    <t>Melinda Henderson</t>
  </si>
  <si>
    <t>melinda.henderson831@gmail.com</t>
  </si>
  <si>
    <t>Port Patrick</t>
  </si>
  <si>
    <t>#1236</t>
  </si>
  <si>
    <t>Suzanne Robertson</t>
  </si>
  <si>
    <t>suzanne.robertson435@gmail.com</t>
  </si>
  <si>
    <t>New Austinfort</t>
  </si>
  <si>
    <t>#1237</t>
  </si>
  <si>
    <t xml:space="preserve">  Shawn Oliver</t>
  </si>
  <si>
    <t>shawn.oliver540@icloud.com</t>
  </si>
  <si>
    <t>East April</t>
  </si>
  <si>
    <t>#1238</t>
  </si>
  <si>
    <t>Ann Byrd</t>
  </si>
  <si>
    <t>Ewingchester</t>
  </si>
  <si>
    <t>#1239</t>
  </si>
  <si>
    <t>Berryside</t>
  </si>
  <si>
    <t>#1240</t>
  </si>
  <si>
    <t>Anthony Parker</t>
  </si>
  <si>
    <t>anthony.parker256@icloud.com</t>
  </si>
  <si>
    <t>$14.98</t>
  </si>
  <si>
    <t>Oneillborough</t>
  </si>
  <si>
    <t>#1241</t>
  </si>
  <si>
    <t>Karen Bautista</t>
  </si>
  <si>
    <t>Callahanside</t>
  </si>
  <si>
    <t>#1242</t>
  </si>
  <si>
    <t>$5.40</t>
  </si>
  <si>
    <t>Taylorberg</t>
  </si>
  <si>
    <t>#1243</t>
  </si>
  <si>
    <t>$16.99</t>
  </si>
  <si>
    <t>South Benjaminstad</t>
  </si>
  <si>
    <t>#1244</t>
  </si>
  <si>
    <t>Robert Lopez</t>
  </si>
  <si>
    <t>robert.lopez980@outlook.com</t>
  </si>
  <si>
    <t>$22.99</t>
  </si>
  <si>
    <t>Collinsborough</t>
  </si>
  <si>
    <t>#1245</t>
  </si>
  <si>
    <t>Christy Phillips</t>
  </si>
  <si>
    <t>christy.phillips291@gmail.com</t>
  </si>
  <si>
    <t>Devinburgh</t>
  </si>
  <si>
    <t>#1246</t>
  </si>
  <si>
    <t>South Matthew</t>
  </si>
  <si>
    <t>#1247</t>
  </si>
  <si>
    <t>$2.50</t>
  </si>
  <si>
    <t>North Christopherport</t>
  </si>
  <si>
    <t>#1248</t>
  </si>
  <si>
    <t>Thompsonshire</t>
  </si>
  <si>
    <t>#1249</t>
  </si>
  <si>
    <t>South Mark</t>
  </si>
  <si>
    <t>#1250</t>
  </si>
  <si>
    <t>Debra Thomas</t>
  </si>
  <si>
    <t>debra.thomas509@icloud.com</t>
  </si>
  <si>
    <t>Richardside</t>
  </si>
  <si>
    <t>#1251</t>
  </si>
  <si>
    <t>New Crystal</t>
  </si>
  <si>
    <t>#1252</t>
  </si>
  <si>
    <t>amy.barnett396@icloud.com</t>
  </si>
  <si>
    <t>Port Ethanshire</t>
  </si>
  <si>
    <t>#1253</t>
  </si>
  <si>
    <t>East Mirandashire</t>
  </si>
  <si>
    <t>#1254</t>
  </si>
  <si>
    <t>East Marcus</t>
  </si>
  <si>
    <t>#1255</t>
  </si>
  <si>
    <t>Katelyn Johnson</t>
  </si>
  <si>
    <t>katelyn.johnson502@outlook.com</t>
  </si>
  <si>
    <t>East Danielle</t>
  </si>
  <si>
    <t>#1256</t>
  </si>
  <si>
    <t>04-08-2026 13:55</t>
  </si>
  <si>
    <t>Andrew Mora</t>
  </si>
  <si>
    <t>andrew.mora959@outlook.com</t>
  </si>
  <si>
    <t>New Allison</t>
  </si>
  <si>
    <t>#1257</t>
  </si>
  <si>
    <t>Matthewchester</t>
  </si>
  <si>
    <t>#1258</t>
  </si>
  <si>
    <t>#1259</t>
  </si>
  <si>
    <t>Erika Maxwell</t>
  </si>
  <si>
    <t>erika.maxwell281@gmail.com</t>
  </si>
  <si>
    <t>Owensland</t>
  </si>
  <si>
    <t>#1260</t>
  </si>
  <si>
    <t>Morgan Brown</t>
  </si>
  <si>
    <t>morgan.brown933@gmail.com</t>
  </si>
  <si>
    <t>Austinbury</t>
  </si>
  <si>
    <t>#1261</t>
  </si>
  <si>
    <t>South Jasonmouth</t>
  </si>
  <si>
    <t>#1262</t>
  </si>
  <si>
    <t>Mark Mata</t>
  </si>
  <si>
    <t>mark.mata757@outlook.com</t>
  </si>
  <si>
    <t>Davidburgh</t>
  </si>
  <si>
    <t>#1263</t>
  </si>
  <si>
    <t>Jacqueline Graham</t>
  </si>
  <si>
    <t>jacqueline.graham958@gmail.com</t>
  </si>
  <si>
    <t>Port Christopher</t>
  </si>
  <si>
    <t>#1264</t>
  </si>
  <si>
    <t>New Ralphview</t>
  </si>
  <si>
    <t>#1265</t>
  </si>
  <si>
    <t>New Danielshire</t>
  </si>
  <si>
    <t>#1266</t>
  </si>
  <si>
    <t xml:space="preserve">  Laura Pruitt</t>
  </si>
  <si>
    <t>$23.68</t>
  </si>
  <si>
    <t>Steveshire</t>
  </si>
  <si>
    <t>#1267</t>
  </si>
  <si>
    <t>Danielle Morrow</t>
  </si>
  <si>
    <t>danielle.morrow805@outlook.com</t>
  </si>
  <si>
    <t>New Jasonville</t>
  </si>
  <si>
    <t>#1268</t>
  </si>
  <si>
    <t>Port Shawn</t>
  </si>
  <si>
    <t>#1269</t>
  </si>
  <si>
    <t>Lake Todd</t>
  </si>
  <si>
    <t>#1270</t>
  </si>
  <si>
    <t>Lake John</t>
  </si>
  <si>
    <t>#1271</t>
  </si>
  <si>
    <t>North Cindy</t>
  </si>
  <si>
    <t>#1272</t>
  </si>
  <si>
    <t>Owenfort</t>
  </si>
  <si>
    <t>#1273</t>
  </si>
  <si>
    <t>Jason Miller</t>
  </si>
  <si>
    <t>jason.miller334@outlook.com</t>
  </si>
  <si>
    <t>West Curtis</t>
  </si>
  <si>
    <t>#1274</t>
  </si>
  <si>
    <t>Barbara Brown</t>
  </si>
  <si>
    <t>Port Troy</t>
  </si>
  <si>
    <t>#1275</t>
  </si>
  <si>
    <t>New Lydia</t>
  </si>
  <si>
    <t>#1276</t>
  </si>
  <si>
    <t>Richard Sosa</t>
  </si>
  <si>
    <t>richard.sosa486@yahoo.com</t>
  </si>
  <si>
    <t>Stephenberg</t>
  </si>
  <si>
    <t>#1277</t>
  </si>
  <si>
    <t>Vincent Rosales</t>
  </si>
  <si>
    <t>vincent.rosales30@icloud.com</t>
  </si>
  <si>
    <t>$13.99</t>
  </si>
  <si>
    <t>Mcdonaldhaven</t>
  </si>
  <si>
    <t>#1278</t>
  </si>
  <si>
    <t>Douglas Walker</t>
  </si>
  <si>
    <t>douglas.walker28@outlook.com</t>
  </si>
  <si>
    <t>South Robert</t>
  </si>
  <si>
    <t>#1279</t>
  </si>
  <si>
    <t>Marcusfurt</t>
  </si>
  <si>
    <t>#1280</t>
  </si>
  <si>
    <t>Corey Hudson</t>
  </si>
  <si>
    <t>corey.hudson168@gmail.com</t>
  </si>
  <si>
    <t>Jonathanfort</t>
  </si>
  <si>
    <t>#1281</t>
  </si>
  <si>
    <t>Charles Franco</t>
  </si>
  <si>
    <t>charles.franco761@outlook.com</t>
  </si>
  <si>
    <t>Dawnberg</t>
  </si>
  <si>
    <t>#1282</t>
  </si>
  <si>
    <t>ruth.duncan434@icloud.com</t>
  </si>
  <si>
    <t>South Susan</t>
  </si>
  <si>
    <t>#1283</t>
  </si>
  <si>
    <t>East Brandi</t>
  </si>
  <si>
    <t>#1284</t>
  </si>
  <si>
    <t>Kevinmouth</t>
  </si>
  <si>
    <t>#1285</t>
  </si>
  <si>
    <t>jennifer willis</t>
  </si>
  <si>
    <t>jennifer.willis714@gmail.com</t>
  </si>
  <si>
    <t>$17.73</t>
  </si>
  <si>
    <t>Aaronville</t>
  </si>
  <si>
    <t>#1286</t>
  </si>
  <si>
    <t>West Davidberg</t>
  </si>
  <si>
    <t>#1287</t>
  </si>
  <si>
    <t>Autumn Stewart</t>
  </si>
  <si>
    <t>autumn.stewart565@outlook.com</t>
  </si>
  <si>
    <t>South Timothy</t>
  </si>
  <si>
    <t>#1288</t>
  </si>
  <si>
    <t>OH</t>
  </si>
  <si>
    <t>Stewartshire</t>
  </si>
  <si>
    <t>#1289</t>
  </si>
  <si>
    <t>04-08-2026 14:02</t>
  </si>
  <si>
    <t>welcome10</t>
  </si>
  <si>
    <t>Port Allen</t>
  </si>
  <si>
    <t>#1290</t>
  </si>
  <si>
    <t>John Lin</t>
  </si>
  <si>
    <t>john.lin901@outlook.com</t>
  </si>
  <si>
    <t>Simsland</t>
  </si>
  <si>
    <t>#1291</t>
  </si>
  <si>
    <t xml:space="preserve">  Julia Atkinson</t>
  </si>
  <si>
    <t>$43.97</t>
  </si>
  <si>
    <t>Anthonyburgh</t>
  </si>
  <si>
    <t>#1292</t>
  </si>
  <si>
    <t>$13.98</t>
  </si>
  <si>
    <t>East Victor</t>
  </si>
  <si>
    <t>#1293</t>
  </si>
  <si>
    <t>DAVID TORRES</t>
  </si>
  <si>
    <t>david.torres833@outlook.com</t>
  </si>
  <si>
    <t>$17.13</t>
  </si>
  <si>
    <t>Cruzport</t>
  </si>
  <si>
    <t>#1294</t>
  </si>
  <si>
    <t>Theodoreport</t>
  </si>
  <si>
    <t>#1295</t>
  </si>
  <si>
    <t>Williamsfort</t>
  </si>
  <si>
    <t>#1296</t>
  </si>
  <si>
    <t>04-08-2026 14:08</t>
  </si>
  <si>
    <t>$12.99</t>
  </si>
  <si>
    <t>Lake Seanfort</t>
  </si>
  <si>
    <t>#1297</t>
  </si>
  <si>
    <t>Nicholas Parker</t>
  </si>
  <si>
    <t>nicholas.parker656@yahoo.com</t>
  </si>
  <si>
    <t>Bennettbury</t>
  </si>
  <si>
    <t>#1298</t>
  </si>
  <si>
    <t>Rosaleshaven</t>
  </si>
  <si>
    <t>#1299</t>
  </si>
  <si>
    <t>Devin Jones</t>
  </si>
  <si>
    <t>devin.jones807@yahoo.com</t>
  </si>
  <si>
    <t>Huffmanfurt</t>
  </si>
  <si>
    <t>#1300</t>
  </si>
  <si>
    <t>South Michaelmouth</t>
  </si>
  <si>
    <t>#1301</t>
  </si>
  <si>
    <t xml:space="preserve">Kids Building Blocks Set  </t>
  </si>
  <si>
    <t>Ronaldport</t>
  </si>
  <si>
    <t>#1302</t>
  </si>
  <si>
    <t>bfcm25</t>
  </si>
  <si>
    <t>$15.73</t>
  </si>
  <si>
    <t>North Paulberg</t>
  </si>
  <si>
    <t>#1303</t>
  </si>
  <si>
    <t>Port Sarah</t>
  </si>
  <si>
    <t>#1304</t>
  </si>
  <si>
    <t>Alfredchester</t>
  </si>
  <si>
    <t>#1305</t>
  </si>
  <si>
    <t>Amy Maldonado</t>
  </si>
  <si>
    <t>amy.maldonado44@gmail.com</t>
  </si>
  <si>
    <t>Matthewstad</t>
  </si>
  <si>
    <t>#1306</t>
  </si>
  <si>
    <t>Timothy Maldonado</t>
  </si>
  <si>
    <t>timothy.maldonado551@gmail.com</t>
  </si>
  <si>
    <t>South Christinabury</t>
  </si>
  <si>
    <t>#1307</t>
  </si>
  <si>
    <t>Samanthaview</t>
  </si>
  <si>
    <t>#1308</t>
  </si>
  <si>
    <t>karen.jones794@outlook.com</t>
  </si>
  <si>
    <t>Wrightchester</t>
  </si>
  <si>
    <t>#1309</t>
  </si>
  <si>
    <t>04-08-2026 13:56</t>
  </si>
  <si>
    <t>Lake Danielfurt</t>
  </si>
  <si>
    <t>#1310</t>
  </si>
  <si>
    <t>Johnsonview</t>
  </si>
  <si>
    <t>#1311</t>
  </si>
  <si>
    <t>Michaelhaven</t>
  </si>
  <si>
    <t>#1312</t>
  </si>
  <si>
    <t>04-08-2026 13:59</t>
  </si>
  <si>
    <t>David Hernandez</t>
  </si>
  <si>
    <t>david.hernandez260@yahoo.com</t>
  </si>
  <si>
    <t>South Marissa</t>
  </si>
  <si>
    <t>#1313</t>
  </si>
  <si>
    <t>04-08-2026 14:01</t>
  </si>
  <si>
    <t>Joshua Owens</t>
  </si>
  <si>
    <t>joshua.owens56@icloud.com</t>
  </si>
  <si>
    <t xml:space="preserve">Leather Wallet - Brown  </t>
  </si>
  <si>
    <t>West Raymondbury</t>
  </si>
  <si>
    <t>#1314</t>
  </si>
  <si>
    <t>Darin Alvarez</t>
  </si>
  <si>
    <t>darin.alvarez843@gmail.com</t>
  </si>
  <si>
    <t>Santiagohaven</t>
  </si>
  <si>
    <t>#1315</t>
  </si>
  <si>
    <t>East Rebeccaton</t>
  </si>
  <si>
    <t>#1316</t>
  </si>
  <si>
    <t>#1317</t>
  </si>
  <si>
    <t>David Duke</t>
  </si>
  <si>
    <t>david.duke814@icloud.com</t>
  </si>
  <si>
    <t>$24.99</t>
  </si>
  <si>
    <t>$30.98</t>
  </si>
  <si>
    <t>Jenniferfort</t>
  </si>
  <si>
    <t>#1318</t>
  </si>
  <si>
    <t>Sarah Webb</t>
  </si>
  <si>
    <t>sarah.webb997@outlook.com</t>
  </si>
  <si>
    <t>Lake Ariel</t>
  </si>
  <si>
    <t>#1319</t>
  </si>
  <si>
    <t>Lake Johnmouth</t>
  </si>
  <si>
    <t>#1320</t>
  </si>
  <si>
    <t>Richard Weber</t>
  </si>
  <si>
    <t>richard.weber156@yahoo.com</t>
  </si>
  <si>
    <t>Barronside</t>
  </si>
  <si>
    <t>#1321</t>
  </si>
  <si>
    <t>Lake Paul</t>
  </si>
  <si>
    <t>#1322</t>
  </si>
  <si>
    <t>04-08-2026 14:04</t>
  </si>
  <si>
    <t>Tammyshire</t>
  </si>
  <si>
    <t>#1323</t>
  </si>
  <si>
    <t>Suzanne White</t>
  </si>
  <si>
    <t>suzanne.white877@gmail.com</t>
  </si>
  <si>
    <t>Lake Leahtown</t>
  </si>
  <si>
    <t>#1324</t>
  </si>
  <si>
    <t>Stephanie Mcgee</t>
  </si>
  <si>
    <t>stephanie.mcgee557@outlook.com</t>
  </si>
  <si>
    <t>Lake Kimberly</t>
  </si>
  <si>
    <t>#1325</t>
  </si>
  <si>
    <t>Phone Case   Clear</t>
  </si>
  <si>
    <t>South Aaronburgh</t>
  </si>
  <si>
    <t>#1326</t>
  </si>
  <si>
    <t>Nguyentown</t>
  </si>
  <si>
    <t>#1327</t>
  </si>
  <si>
    <t>Patricia Thompson</t>
  </si>
  <si>
    <t>patricia.thompson164@icloud.com</t>
  </si>
  <si>
    <t>West Bethanyburgh</t>
  </si>
  <si>
    <t>#1328</t>
  </si>
  <si>
    <t>SCENTED SOY CANDLE - VANILLA</t>
  </si>
  <si>
    <t>South Charlesland</t>
  </si>
  <si>
    <t>#1329</t>
  </si>
  <si>
    <t>West Andrew</t>
  </si>
  <si>
    <t>#1330</t>
  </si>
  <si>
    <t>Michaelburgh</t>
  </si>
  <si>
    <t>#1331</t>
  </si>
  <si>
    <t>Perezmouth</t>
  </si>
  <si>
    <t>#1332</t>
  </si>
  <si>
    <t>CHRISTOPHER HARRIS</t>
  </si>
  <si>
    <t>christopher.harris618@yahoo.com</t>
  </si>
  <si>
    <t>Corychester</t>
  </si>
  <si>
    <t>#1333</t>
  </si>
  <si>
    <t>Middletonshire</t>
  </si>
  <si>
    <t>#1334</t>
  </si>
  <si>
    <t>Elizabeth Johnston</t>
  </si>
  <si>
    <t>elizabeth.johnston946@gmail.com</t>
  </si>
  <si>
    <t>Bakershire</t>
  </si>
  <si>
    <t>#1335</t>
  </si>
  <si>
    <t>Eric Golden</t>
  </si>
  <si>
    <t>eric.golden379@outlook.com</t>
  </si>
  <si>
    <t>East Heather</t>
  </si>
  <si>
    <t>#1336</t>
  </si>
  <si>
    <t>New Ashley</t>
  </si>
  <si>
    <t>#1337</t>
  </si>
  <si>
    <t>Sarah Williams</t>
  </si>
  <si>
    <t>sarah.williams329@icloud.com</t>
  </si>
  <si>
    <t>Lake Michaelstad</t>
  </si>
  <si>
    <t>#1338</t>
  </si>
  <si>
    <t>Christopher Harris</t>
  </si>
  <si>
    <t>Lake Crystal</t>
  </si>
  <si>
    <t>#1339</t>
  </si>
  <si>
    <t xml:space="preserve">  Christopher Osborne</t>
  </si>
  <si>
    <t>christopher.osborne481@yahoo.com</t>
  </si>
  <si>
    <t xml:space="preserve"> VIP15 </t>
  </si>
  <si>
    <t>Michaelbury</t>
  </si>
  <si>
    <t>#1340</t>
  </si>
  <si>
    <t>Matthew Perez</t>
  </si>
  <si>
    <t>matthew.perez875@gmail.com</t>
  </si>
  <si>
    <t>North Steven</t>
  </si>
  <si>
    <t>#1341</t>
  </si>
  <si>
    <t>Elizabeth Carter</t>
  </si>
  <si>
    <t>elizabeth.carter304@icloud.com</t>
  </si>
  <si>
    <t>$58.96</t>
  </si>
  <si>
    <t>Maryborough</t>
  </si>
  <si>
    <t>#1342</t>
  </si>
  <si>
    <t>Melvinside</t>
  </si>
  <si>
    <t>#1343</t>
  </si>
  <si>
    <t>Albert Salazar</t>
  </si>
  <si>
    <t>albert.salazar398@outlook.com</t>
  </si>
  <si>
    <t>Angelaport</t>
  </si>
  <si>
    <t>#1344</t>
  </si>
  <si>
    <t>Leahchester</t>
  </si>
  <si>
    <t>#1345</t>
  </si>
  <si>
    <t>New Jason</t>
  </si>
  <si>
    <t>#1346</t>
  </si>
  <si>
    <t>Rhonda Chapman</t>
  </si>
  <si>
    <t>rhonda.chapman481@yahoo.com</t>
  </si>
  <si>
    <t>East Williamstad</t>
  </si>
  <si>
    <t>#1347</t>
  </si>
  <si>
    <t>Kenneth Coleman</t>
  </si>
  <si>
    <t>kenneth.coleman447@icloud.com</t>
  </si>
  <si>
    <t>Mcbrideton</t>
  </si>
  <si>
    <t>#1348</t>
  </si>
  <si>
    <t>Lake Kimberlybury</t>
  </si>
  <si>
    <t>#1349</t>
  </si>
  <si>
    <t>Terranceburgh</t>
  </si>
  <si>
    <t>#1350</t>
  </si>
  <si>
    <t>New Sandra</t>
  </si>
  <si>
    <t>#1351</t>
  </si>
  <si>
    <t>East Emily</t>
  </si>
  <si>
    <t>#1352</t>
  </si>
  <si>
    <t>Alexanderfort</t>
  </si>
  <si>
    <t>#1353</t>
  </si>
  <si>
    <t>Dawn Randolph</t>
  </si>
  <si>
    <t>dawn.randolph179@icloud.com</t>
  </si>
  <si>
    <t>West Noah</t>
  </si>
  <si>
    <t>#1354</t>
  </si>
  <si>
    <t>Scottchester</t>
  </si>
  <si>
    <t>#1355</t>
  </si>
  <si>
    <t>Wardstad</t>
  </si>
  <si>
    <t>#1356</t>
  </si>
  <si>
    <t>Martinmouth</t>
  </si>
  <si>
    <t>#1357</t>
  </si>
  <si>
    <t>East Wendyton</t>
  </si>
  <si>
    <t>#1358</t>
  </si>
  <si>
    <t>Lake Jeffreyshire</t>
  </si>
  <si>
    <t>#1359</t>
  </si>
  <si>
    <t>Barbara Case</t>
  </si>
  <si>
    <t>East Andrewfurt</t>
  </si>
  <si>
    <t>#1360</t>
  </si>
  <si>
    <t>Barnesmouth</t>
  </si>
  <si>
    <t>#1361</t>
  </si>
  <si>
    <t>Darryl Cook</t>
  </si>
  <si>
    <t>darryl.cook98@yahoo.com</t>
  </si>
  <si>
    <t>Christineland</t>
  </si>
  <si>
    <t>#1362</t>
  </si>
  <si>
    <t>David Mcknight</t>
  </si>
  <si>
    <t>david.mcknight827@gmail.com</t>
  </si>
  <si>
    <t>West William</t>
  </si>
  <si>
    <t>#1363</t>
  </si>
  <si>
    <t>Adamhaven</t>
  </si>
  <si>
    <t>#1364</t>
  </si>
  <si>
    <t>Anthony Krueger</t>
  </si>
  <si>
    <t>anthony.krueger812@yahoo.com</t>
  </si>
  <si>
    <t>Jessicaberg</t>
  </si>
  <si>
    <t>#1365</t>
  </si>
  <si>
    <t>Lake Kaitlyn</t>
  </si>
  <si>
    <t>#1366</t>
  </si>
  <si>
    <t>Arnoldberg</t>
  </si>
  <si>
    <t>#1367</t>
  </si>
  <si>
    <t>New Melissabury</t>
  </si>
  <si>
    <t>#1368</t>
  </si>
  <si>
    <t>Mary Bradley</t>
  </si>
  <si>
    <t>mary.bradley289@gmail.com</t>
  </si>
  <si>
    <t>Andersonburgh</t>
  </si>
  <si>
    <t>#1369</t>
  </si>
  <si>
    <t>Kendra Price</t>
  </si>
  <si>
    <t>kendra.price237@outlook.com</t>
  </si>
  <si>
    <t>Stephensshire</t>
  </si>
  <si>
    <t>#1370</t>
  </si>
  <si>
    <t>Lake Jaredborough</t>
  </si>
  <si>
    <t>#1371</t>
  </si>
  <si>
    <t>Andrew Vargas</t>
  </si>
  <si>
    <t>andrew.vargas381@outlook.com</t>
  </si>
  <si>
    <t>Port Jasmineview</t>
  </si>
  <si>
    <t>#1372</t>
  </si>
  <si>
    <t>Jane Gregory</t>
  </si>
  <si>
    <t>jane.gregory935@icloud.com</t>
  </si>
  <si>
    <t>Fletcherberg</t>
  </si>
  <si>
    <t>#1373</t>
  </si>
  <si>
    <t>Calebstad</t>
  </si>
  <si>
    <t>#1374</t>
  </si>
  <si>
    <t>Kellyfort</t>
  </si>
  <si>
    <t>#1375</t>
  </si>
  <si>
    <t>Medinaville</t>
  </si>
  <si>
    <t>#1376</t>
  </si>
  <si>
    <t>Piercehaven</t>
  </si>
  <si>
    <t>#1377</t>
  </si>
  <si>
    <t>Sarah Singh</t>
  </si>
  <si>
    <t>sarah.singh298@gmail.com</t>
  </si>
  <si>
    <t>New Jamesshire</t>
  </si>
  <si>
    <t>#1378</t>
  </si>
  <si>
    <t>Cynthiaside</t>
  </si>
  <si>
    <t>#1379</t>
  </si>
  <si>
    <t>Melissa James</t>
  </si>
  <si>
    <t>melissa.james674@outlook.com</t>
  </si>
  <si>
    <t>GA</t>
  </si>
  <si>
    <t>East Courtneyport</t>
  </si>
  <si>
    <t>#1380</t>
  </si>
  <si>
    <t>Daltonstad</t>
  </si>
  <si>
    <t>#1381</t>
  </si>
  <si>
    <t>$16.08</t>
  </si>
  <si>
    <t>South Justintown</t>
  </si>
  <si>
    <t>#1382</t>
  </si>
  <si>
    <t>Susan Stark</t>
  </si>
  <si>
    <t>susan.stark500@yahoo.com</t>
  </si>
  <si>
    <t>Petersonland</t>
  </si>
  <si>
    <t>#1383</t>
  </si>
  <si>
    <t>Ryan Gonzalez</t>
  </si>
  <si>
    <t>ryan.gonzalez192@gmail.com</t>
  </si>
  <si>
    <t>East Jameston</t>
  </si>
  <si>
    <t>#1384</t>
  </si>
  <si>
    <t>Evantown</t>
  </si>
  <si>
    <t>#1385</t>
  </si>
  <si>
    <t>New Kevintown</t>
  </si>
  <si>
    <t>#1386</t>
  </si>
  <si>
    <t>North Wendyview</t>
  </si>
  <si>
    <t>#1387</t>
  </si>
  <si>
    <t xml:space="preserve">  Thomas Rojas</t>
  </si>
  <si>
    <t>Port Sarahview</t>
  </si>
  <si>
    <t>#1388</t>
  </si>
  <si>
    <t>kimberly estrada</t>
  </si>
  <si>
    <t>Josephbury</t>
  </si>
  <si>
    <t>#1389</t>
  </si>
  <si>
    <t>Melissastad</t>
  </si>
  <si>
    <t>#1390</t>
  </si>
  <si>
    <t>Reynoldsshire</t>
  </si>
  <si>
    <t>#1391</t>
  </si>
  <si>
    <t>Debbie Joseph</t>
  </si>
  <si>
    <t>debbie.joseph531@outlook.com</t>
  </si>
  <si>
    <t>New Heidiland</t>
  </si>
  <si>
    <t>#1392</t>
  </si>
  <si>
    <t>North Karina</t>
  </si>
  <si>
    <t>#1393</t>
  </si>
  <si>
    <t>Cheyennefurt</t>
  </si>
  <si>
    <t>#1394</t>
  </si>
  <si>
    <t>New Richard</t>
  </si>
  <si>
    <t>#1395</t>
  </si>
  <si>
    <t>West Danielhaven</t>
  </si>
  <si>
    <t>#1396</t>
  </si>
  <si>
    <t xml:space="preserve">  Peter Alvarez</t>
  </si>
  <si>
    <t>Ritterborough</t>
  </si>
  <si>
    <t>#1397</t>
  </si>
  <si>
    <t>Kristina Thompson</t>
  </si>
  <si>
    <t>kristina.thompson501@icloud.com</t>
  </si>
  <si>
    <t>New Dennis</t>
  </si>
  <si>
    <t>#1398</t>
  </si>
  <si>
    <t>Cheryl Coleman</t>
  </si>
  <si>
    <t>cheryl.coleman261@icloud.com</t>
  </si>
  <si>
    <t>Port Danielleview</t>
  </si>
  <si>
    <t>#1399</t>
  </si>
  <si>
    <t>vicki johnson</t>
  </si>
  <si>
    <t>vicki.johnson369@outlook.com</t>
  </si>
  <si>
    <t>Jamesmouth</t>
  </si>
  <si>
    <t>#1400</t>
  </si>
  <si>
    <t>Joel Davidson</t>
  </si>
  <si>
    <t>joel.davidson94@icloud.com</t>
  </si>
  <si>
    <t>North Elizabeth</t>
  </si>
  <si>
    <t>#1401</t>
  </si>
  <si>
    <t>Christopher Osborne</t>
  </si>
  <si>
    <t>Harrisonhaven</t>
  </si>
  <si>
    <t>#1402</t>
  </si>
  <si>
    <t>Samuelport</t>
  </si>
  <si>
    <t>#1403</t>
  </si>
  <si>
    <t>Port Nicoleberg</t>
  </si>
  <si>
    <t>#1404</t>
  </si>
  <si>
    <t>Kayla Morris</t>
  </si>
  <si>
    <t>kayla.morris339@outlook.com</t>
  </si>
  <si>
    <t>FREESHIP </t>
  </si>
  <si>
    <t>$14.99</t>
  </si>
  <si>
    <t>Vanessafurt</t>
  </si>
  <si>
    <t>#1405</t>
  </si>
  <si>
    <t>Cynthiabury</t>
  </si>
  <si>
    <t>#1406</t>
  </si>
  <si>
    <t>Ruth Duncan</t>
  </si>
  <si>
    <t>Macdonaldton</t>
  </si>
  <si>
    <t>#1407</t>
  </si>
  <si>
    <t>Meganborough</t>
  </si>
  <si>
    <t>#1408</t>
  </si>
  <si>
    <t>Ian Morris</t>
  </si>
  <si>
    <t>ian.morris90@outlook.com</t>
  </si>
  <si>
    <t>$47.98</t>
  </si>
  <si>
    <t>West Christine</t>
  </si>
  <si>
    <t>#1409</t>
  </si>
  <si>
    <t>West Anaton</t>
  </si>
  <si>
    <t>#1410</t>
  </si>
  <si>
    <t>Jesse Hammond</t>
  </si>
  <si>
    <t>jesse.hammond987@gmail.com</t>
  </si>
  <si>
    <t>Cynthiatown</t>
  </si>
  <si>
    <t>#1411</t>
  </si>
  <si>
    <t>Lucas Lyons</t>
  </si>
  <si>
    <t>lucas.lyons594@icloud.com</t>
  </si>
  <si>
    <t>Ethanville</t>
  </si>
  <si>
    <t>#1412</t>
  </si>
  <si>
    <t>Kaitlyn Hernandez</t>
  </si>
  <si>
    <t>East Ashleyland</t>
  </si>
  <si>
    <t>#1413</t>
  </si>
  <si>
    <t>$39.99</t>
  </si>
  <si>
    <t>North Cynthia</t>
  </si>
  <si>
    <t>#1414</t>
  </si>
  <si>
    <t>North Dustin</t>
  </si>
  <si>
    <t>#1415</t>
  </si>
  <si>
    <t>Port Kerryton</t>
  </si>
  <si>
    <t>#1416</t>
  </si>
  <si>
    <t>Tammy Hawkins</t>
  </si>
  <si>
    <t>tammy.hawkins461@outlook.com</t>
  </si>
  <si>
    <t>South Williamhaven</t>
  </si>
  <si>
    <t>#1417</t>
  </si>
  <si>
    <t>$5.50</t>
  </si>
  <si>
    <t>#1418</t>
  </si>
  <si>
    <t>Walter Rodriguez</t>
  </si>
  <si>
    <t>walter.rodriguez829@gmail.com</t>
  </si>
  <si>
    <t>Riversport</t>
  </si>
  <si>
    <t>#1419</t>
  </si>
  <si>
    <t>Jordan Wilkins</t>
  </si>
  <si>
    <t>jordan.wilkins318@outlook.com</t>
  </si>
  <si>
    <t>$27.99</t>
  </si>
  <si>
    <t>Lake Nicholas</t>
  </si>
  <si>
    <t>#1420</t>
  </si>
  <si>
    <t>Matthew Riley</t>
  </si>
  <si>
    <t>matthew.riley309@yahoo.com</t>
  </si>
  <si>
    <t>Allisonmouth</t>
  </si>
  <si>
    <t>#1421</t>
  </si>
  <si>
    <t>Bowenmouth</t>
  </si>
  <si>
    <t>#1422</t>
  </si>
  <si>
    <t>Nicolestad</t>
  </si>
  <si>
    <t>#1423</t>
  </si>
  <si>
    <t>Joseph Martin</t>
  </si>
  <si>
    <t>joseph.martin348@icloud.com</t>
  </si>
  <si>
    <t>Walkerchester</t>
  </si>
  <si>
    <t>#1424</t>
  </si>
  <si>
    <t>patricia.townsend96@yahoo.com</t>
  </si>
  <si>
    <t>Lisamouth</t>
  </si>
  <si>
    <t>#1425</t>
  </si>
  <si>
    <t>North Ashley</t>
  </si>
  <si>
    <t>#1426</t>
  </si>
  <si>
    <t>ALAN DAVIS</t>
  </si>
  <si>
    <t>alan.davis483@icloud.com</t>
  </si>
  <si>
    <t>Manningview</t>
  </si>
  <si>
    <t>#1427</t>
  </si>
  <si>
    <t>South Nancy</t>
  </si>
  <si>
    <t>#1428</t>
  </si>
  <si>
    <t>South Dana</t>
  </si>
  <si>
    <t>#1429</t>
  </si>
  <si>
    <t>Tracy Barr</t>
  </si>
  <si>
    <t>tracy.barr550@icloud.com</t>
  </si>
  <si>
    <t>Vazquezton</t>
  </si>
  <si>
    <t>#1430</t>
  </si>
  <si>
    <t>Denise Phillips</t>
  </si>
  <si>
    <t>denise.phillips810@gmail.com</t>
  </si>
  <si>
    <t>Wangmouth</t>
  </si>
  <si>
    <t>#1431</t>
  </si>
  <si>
    <t>Michaeltown</t>
  </si>
  <si>
    <t>#1432</t>
  </si>
  <si>
    <t>Jasmine Parker</t>
  </si>
  <si>
    <t>jasmine.parker47@icloud.com</t>
  </si>
  <si>
    <t>New Christina</t>
  </si>
  <si>
    <t>#1433</t>
  </si>
  <si>
    <t>04-08-2026 14:07</t>
  </si>
  <si>
    <t>Timothy Weaver</t>
  </si>
  <si>
    <t>timothy.weaver591@gmail.com</t>
  </si>
  <si>
    <t>North Reginaside</t>
  </si>
  <si>
    <t>#1434</t>
  </si>
  <si>
    <t>Haleystad</t>
  </si>
  <si>
    <t>#1435</t>
  </si>
  <si>
    <t>Dianaville</t>
  </si>
  <si>
    <t>#1436</t>
  </si>
  <si>
    <t>Zacharyside</t>
  </si>
  <si>
    <t>#1437</t>
  </si>
  <si>
    <t>Knighthaven</t>
  </si>
  <si>
    <t>#1438</t>
  </si>
  <si>
    <t>Adam Krause</t>
  </si>
  <si>
    <t>adam.krause31@yahoo.com</t>
  </si>
  <si>
    <t>$22.23</t>
  </si>
  <si>
    <t>Riddlebury</t>
  </si>
  <si>
    <t>#1439</t>
  </si>
  <si>
    <t>West Ashleyborough</t>
  </si>
  <si>
    <t>#1440</t>
  </si>
  <si>
    <t>East Scottport</t>
  </si>
  <si>
    <t>#1441</t>
  </si>
  <si>
    <t>Carr, Angela</t>
  </si>
  <si>
    <t>$7.50</t>
  </si>
  <si>
    <t>Johnsonhaven</t>
  </si>
  <si>
    <t>#1442</t>
  </si>
  <si>
    <t>Schmidtchester</t>
  </si>
  <si>
    <t>#1443</t>
  </si>
  <si>
    <t>tracy dominguez</t>
  </si>
  <si>
    <t>$4.95</t>
  </si>
  <si>
    <t>New Brittany</t>
  </si>
  <si>
    <t>#1444</t>
  </si>
  <si>
    <t>Lake Allisonport</t>
  </si>
  <si>
    <t>#1445</t>
  </si>
  <si>
    <t>William Morales</t>
  </si>
  <si>
    <t>william.morales943@outlook.com</t>
  </si>
  <si>
    <t>Vanessaberg</t>
  </si>
  <si>
    <t>#1446</t>
  </si>
  <si>
    <t>Timothy Santos</t>
  </si>
  <si>
    <t>timothy.santos549@outlook.com</t>
  </si>
  <si>
    <t>Kellyside</t>
  </si>
  <si>
    <t>#1447</t>
  </si>
  <si>
    <t>Joshua Miller</t>
  </si>
  <si>
    <t>joshua.miller362@gmail.com</t>
  </si>
  <si>
    <t>Annefort</t>
  </si>
  <si>
    <t>#1448</t>
  </si>
  <si>
    <t>East Charles</t>
  </si>
  <si>
    <t>#1449</t>
  </si>
  <si>
    <t>West Larry</t>
  </si>
  <si>
    <t>#1450</t>
  </si>
  <si>
    <t>DEBBIE JOSEPH</t>
  </si>
  <si>
    <t>South Yvonnehaven</t>
  </si>
  <si>
    <t>#1451</t>
  </si>
  <si>
    <t>Vincentchester</t>
  </si>
  <si>
    <t>#1452</t>
  </si>
  <si>
    <t>Lake Cynthiafort</t>
  </si>
  <si>
    <t>#1453</t>
  </si>
  <si>
    <t>Laura Pruitt</t>
  </si>
  <si>
    <t>laura.pruitt212@yahoo.com</t>
  </si>
  <si>
    <t>East Amberbury</t>
  </si>
  <si>
    <t>#1454</t>
  </si>
  <si>
    <t>Maddoxborough</t>
  </si>
  <si>
    <t>#1455</t>
  </si>
  <si>
    <t>Henryview</t>
  </si>
  <si>
    <t>#1456</t>
  </si>
  <si>
    <t>Kristopher Barnett</t>
  </si>
  <si>
    <t>kristopher.barnett178@outlook.com</t>
  </si>
  <si>
    <t>South Lisaberg</t>
  </si>
  <si>
    <t>#1457</t>
  </si>
  <si>
    <t>Alisonville</t>
  </si>
  <si>
    <t>#1458</t>
  </si>
  <si>
    <t>Alan Davis</t>
  </si>
  <si>
    <t>$18.00</t>
  </si>
  <si>
    <t>West Debraland</t>
  </si>
  <si>
    <t>#1459</t>
  </si>
  <si>
    <t>Nicholsonshire</t>
  </si>
  <si>
    <t>#1460</t>
  </si>
  <si>
    <t>Simpsonburgh</t>
  </si>
  <si>
    <t>#1461</t>
  </si>
  <si>
    <t>Matthew Newman</t>
  </si>
  <si>
    <t>matthew.newman714@gmail.com</t>
  </si>
  <si>
    <t>$1.40</t>
  </si>
  <si>
    <t>Michaelborough</t>
  </si>
  <si>
    <t>#1462</t>
  </si>
  <si>
    <t>$33.98</t>
  </si>
  <si>
    <t>Ingramfurt</t>
  </si>
  <si>
    <t>#1463</t>
  </si>
  <si>
    <t>Conway, Brittney</t>
  </si>
  <si>
    <t>North Nathan</t>
  </si>
  <si>
    <t>#1464</t>
  </si>
  <si>
    <t>New Scottberg</t>
  </si>
  <si>
    <t>#1465</t>
  </si>
  <si>
    <t>Lake Lindaborough</t>
  </si>
  <si>
    <t>#1466</t>
  </si>
  <si>
    <t>Ramirezland</t>
  </si>
  <si>
    <t>#1467</t>
  </si>
  <si>
    <t>Jeremy Tucker</t>
  </si>
  <si>
    <t>jeremy.tucker26@yahoo.com</t>
  </si>
  <si>
    <t>Hayleychester</t>
  </si>
  <si>
    <t>#1468</t>
  </si>
  <si>
    <t>Lawrenceton</t>
  </si>
  <si>
    <t>#1469</t>
  </si>
  <si>
    <t>Melissa Thompson</t>
  </si>
  <si>
    <t>melissa.thompson241@yahoo.com</t>
  </si>
  <si>
    <t>Noblehaven</t>
  </si>
  <si>
    <t>#1470</t>
  </si>
  <si>
    <t>New Jennifer</t>
  </si>
  <si>
    <t>#1471</t>
  </si>
  <si>
    <t>Richardsonchester</t>
  </si>
  <si>
    <t>#1472</t>
  </si>
  <si>
    <t>New Claire</t>
  </si>
  <si>
    <t>#1473</t>
  </si>
  <si>
    <t>New Blake</t>
  </si>
  <si>
    <t>#1474</t>
  </si>
  <si>
    <t>Port Amy</t>
  </si>
  <si>
    <t>#1475</t>
  </si>
  <si>
    <t>North Emilyshire</t>
  </si>
  <si>
    <t>#1476</t>
  </si>
  <si>
    <t>Garzachester</t>
  </si>
  <si>
    <t>#1477</t>
  </si>
  <si>
    <t>West Coryhaven</t>
  </si>
  <si>
    <t>#1478</t>
  </si>
  <si>
    <t>Wayneburgh</t>
  </si>
  <si>
    <t>#1479</t>
  </si>
  <si>
    <t>Angel Clark</t>
  </si>
  <si>
    <t>angel.clark280@yahoo.com</t>
  </si>
  <si>
    <t>Davidshire</t>
  </si>
  <si>
    <t>#1480</t>
  </si>
  <si>
    <t>Julieburgh</t>
  </si>
  <si>
    <t>#1481</t>
  </si>
  <si>
    <t xml:space="preserve"> WELCOME10 </t>
  </si>
  <si>
    <t>Margaretchester</t>
  </si>
  <si>
    <t>#1482</t>
  </si>
  <si>
    <t>Kristinastad</t>
  </si>
  <si>
    <t>#1483</t>
  </si>
  <si>
    <t>Port Katie</t>
  </si>
  <si>
    <t>#1484</t>
  </si>
  <si>
    <t>Lake Jeff</t>
  </si>
  <si>
    <t>#1485</t>
  </si>
  <si>
    <t>East Stacyfurt</t>
  </si>
  <si>
    <t>#1486</t>
  </si>
  <si>
    <t>Markport</t>
  </si>
  <si>
    <t>#1487</t>
  </si>
  <si>
    <t>South Rachelmouth</t>
  </si>
  <si>
    <t>#1488</t>
  </si>
  <si>
    <t>New Colleenberg</t>
  </si>
  <si>
    <t>#1489</t>
  </si>
  <si>
    <t>Daniel Parsons</t>
  </si>
  <si>
    <t>Johnborough</t>
  </si>
  <si>
    <t>#1490</t>
  </si>
  <si>
    <t>sandra.wilson840@outlook.com</t>
  </si>
  <si>
    <t>Owenside</t>
  </si>
  <si>
    <t>#1491</t>
  </si>
  <si>
    <t>Stacy Webb</t>
  </si>
  <si>
    <t>stacy.webb586@yahoo.com</t>
  </si>
  <si>
    <t>$1.30</t>
  </si>
  <si>
    <t>East Alexis</t>
  </si>
  <si>
    <t>#1492</t>
  </si>
  <si>
    <t>Taylor Lee</t>
  </si>
  <si>
    <t>taylor.lee613@gmail.com</t>
  </si>
  <si>
    <t>Dawnville</t>
  </si>
  <si>
    <t>#1493</t>
  </si>
  <si>
    <t>04-08-2026 14:03</t>
  </si>
  <si>
    <t>Carriestad</t>
  </si>
  <si>
    <t>#1494</t>
  </si>
  <si>
    <t>Kaylastad</t>
  </si>
  <si>
    <t>#1495</t>
  </si>
  <si>
    <t>Port David</t>
  </si>
  <si>
    <t>#1496</t>
  </si>
  <si>
    <t>East Jasonshire</t>
  </si>
  <si>
    <t>#1497</t>
  </si>
  <si>
    <t>Margarethaven</t>
  </si>
  <si>
    <t>#1498</t>
  </si>
  <si>
    <t>Sarah Mendoza</t>
  </si>
  <si>
    <t>sarah.mendoza691@outlook.com</t>
  </si>
  <si>
    <t>Vincentview</t>
  </si>
  <si>
    <t>#1499</t>
  </si>
  <si>
    <t>Monica Becker</t>
  </si>
  <si>
    <t>monica.becker291@outlook.com</t>
  </si>
  <si>
    <t>North Terry</t>
  </si>
  <si>
    <t>#1500</t>
  </si>
  <si>
    <t>Joshua Medina</t>
  </si>
  <si>
    <t>joshua.medina38@yahoo.com</t>
  </si>
  <si>
    <t>Port James</t>
  </si>
  <si>
    <t>#1501</t>
  </si>
  <si>
    <t>East Taylorfurt</t>
  </si>
  <si>
    <t>#1502</t>
  </si>
  <si>
    <t>Davis, Heather</t>
  </si>
  <si>
    <t>Starkhaven</t>
  </si>
  <si>
    <t>#1503</t>
  </si>
  <si>
    <t>Frank White</t>
  </si>
  <si>
    <t>frank.white670@icloud.com</t>
  </si>
  <si>
    <t>Markchester</t>
  </si>
  <si>
    <t>#1504</t>
  </si>
  <si>
    <t>Williams, Tyler</t>
  </si>
  <si>
    <t>Wallaceberg</t>
  </si>
  <si>
    <t>#1505</t>
  </si>
  <si>
    <t>Johnside</t>
  </si>
  <si>
    <t>#1506</t>
  </si>
  <si>
    <t>New Stephen</t>
  </si>
  <si>
    <t>#1507</t>
  </si>
  <si>
    <t>$18.48</t>
  </si>
  <si>
    <t>Lake Joseview</t>
  </si>
  <si>
    <t>#1508</t>
  </si>
  <si>
    <t>PETER ALVAREZ</t>
  </si>
  <si>
    <t>Classic Cotton T Shirt</t>
  </si>
  <si>
    <t>Port Rebecca</t>
  </si>
  <si>
    <t>#1509</t>
  </si>
  <si>
    <t>$1.70</t>
  </si>
  <si>
    <t>Lake Andrewbury</t>
  </si>
  <si>
    <t>#1510</t>
  </si>
  <si>
    <t>Bryan Smith</t>
  </si>
  <si>
    <t>bryan.smith876@yahoo.com</t>
  </si>
  <si>
    <t>$3.25</t>
  </si>
  <si>
    <t>Davidfurt</t>
  </si>
  <si>
    <t>#1511</t>
  </si>
  <si>
    <t>Alec Chambers</t>
  </si>
  <si>
    <t>alec.chambers767@outlook.com</t>
  </si>
  <si>
    <t>Loganmouth</t>
  </si>
  <si>
    <t>#1512</t>
  </si>
  <si>
    <t>North Alicia</t>
  </si>
  <si>
    <t>#1513</t>
  </si>
  <si>
    <t>West Nancybury</t>
  </si>
  <si>
    <t>#1514</t>
  </si>
  <si>
    <t>Michael Perez</t>
  </si>
  <si>
    <t>michael.perez206@gmail.com</t>
  </si>
  <si>
    <t>East Timothybury</t>
  </si>
  <si>
    <t>#1515</t>
  </si>
  <si>
    <t>#1516</t>
  </si>
  <si>
    <t>Jessica Garcia</t>
  </si>
  <si>
    <t>jessica.garcia931@gmail.com</t>
  </si>
  <si>
    <t>West Bridget</t>
  </si>
  <si>
    <t>#1517</t>
  </si>
  <si>
    <t>Justin Mcguire</t>
  </si>
  <si>
    <t>justin.mcguire224@icloud.com</t>
  </si>
  <si>
    <t>Lake Lisa</t>
  </si>
  <si>
    <t>#1518</t>
  </si>
  <si>
    <t>Williamsport</t>
  </si>
  <si>
    <t>#1519</t>
  </si>
  <si>
    <t>Carrie White</t>
  </si>
  <si>
    <t>carrie.white846@gmail.com</t>
  </si>
  <si>
    <t>$20.00</t>
  </si>
  <si>
    <t>Ethanland</t>
  </si>
  <si>
    <t>#1520</t>
  </si>
  <si>
    <t>Denniston</t>
  </si>
  <si>
    <t>#1521</t>
  </si>
  <si>
    <t>Perezhaven</t>
  </si>
  <si>
    <t>#1522</t>
  </si>
  <si>
    <t>Lake Corey</t>
  </si>
  <si>
    <t>#1523</t>
  </si>
  <si>
    <t>Jeffreyfort</t>
  </si>
  <si>
    <t>#1524</t>
  </si>
  <si>
    <t>Port Sheri</t>
  </si>
  <si>
    <t>#1525</t>
  </si>
  <si>
    <t>West Sethport</t>
  </si>
  <si>
    <t>#1526</t>
  </si>
  <si>
    <t>New Danny</t>
  </si>
  <si>
    <t>#1527</t>
  </si>
  <si>
    <t>New Benjamin</t>
  </si>
  <si>
    <t>#1528</t>
  </si>
  <si>
    <t>$19.98</t>
  </si>
  <si>
    <t>Phillipsmouth</t>
  </si>
  <si>
    <t>#1529</t>
  </si>
  <si>
    <t>Glovermouth</t>
  </si>
  <si>
    <t>#1530</t>
  </si>
  <si>
    <t>Logan Fox</t>
  </si>
  <si>
    <t>logan.fox165@gmail.com</t>
  </si>
  <si>
    <t>East Sheila</t>
  </si>
  <si>
    <t>#1531</t>
  </si>
  <si>
    <t>Julie Hoffman</t>
  </si>
  <si>
    <t>julie.hoffman913@gmail.com</t>
  </si>
  <si>
    <t>Gallaghermouth</t>
  </si>
  <si>
    <t>#1532</t>
  </si>
  <si>
    <t>Timothy Sanchez</t>
  </si>
  <si>
    <t>timothy.sanchez728@gmail.com</t>
  </si>
  <si>
    <t>North Joseph</t>
  </si>
  <si>
    <t>#1533</t>
  </si>
  <si>
    <t>Lake Monicaville</t>
  </si>
  <si>
    <t>#1534</t>
  </si>
  <si>
    <t>Brian Shaffer</t>
  </si>
  <si>
    <t>brian.shaffer90@yahoo.com</t>
  </si>
  <si>
    <t>North Robert</t>
  </si>
  <si>
    <t>#1535</t>
  </si>
  <si>
    <t>Joshua Thompson</t>
  </si>
  <si>
    <t>joshua.thompson522@outlook.com</t>
  </si>
  <si>
    <t>West Sean</t>
  </si>
  <si>
    <t>#1536</t>
  </si>
  <si>
    <t>Angelatown</t>
  </si>
  <si>
    <t>#1537</t>
  </si>
  <si>
    <t>Morrisfurt</t>
  </si>
  <si>
    <t>#1538</t>
  </si>
  <si>
    <t>Gonzalezfort</t>
  </si>
  <si>
    <t>#1539</t>
  </si>
  <si>
    <t>North Randymouth</t>
  </si>
  <si>
    <t>#1540</t>
  </si>
  <si>
    <t>Port Richardfurt</t>
  </si>
  <si>
    <t>#1541</t>
  </si>
  <si>
    <t>Lake Allenburgh</t>
  </si>
  <si>
    <t>#1542</t>
  </si>
  <si>
    <t>$21.28</t>
  </si>
  <si>
    <t>Port Darrylville</t>
  </si>
  <si>
    <t>#1543</t>
  </si>
  <si>
    <t>samuel.smith76@outlook.com</t>
  </si>
  <si>
    <t>South Andrewmouth</t>
  </si>
  <si>
    <t>#1544</t>
  </si>
  <si>
    <t>Nancy Williams</t>
  </si>
  <si>
    <t>nancy.williams148@outlook.com</t>
  </si>
  <si>
    <t>North Austin</t>
  </si>
  <si>
    <t>#1545</t>
  </si>
  <si>
    <t>Shawnton</t>
  </si>
  <si>
    <t>#1546</t>
  </si>
  <si>
    <t>New Amy</t>
  </si>
  <si>
    <t>#1547</t>
  </si>
  <si>
    <t>East Carla</t>
  </si>
  <si>
    <t>#1548</t>
  </si>
  <si>
    <t>Andrewfurt</t>
  </si>
  <si>
    <t>#1549</t>
  </si>
  <si>
    <t>Aaron Thompson</t>
  </si>
  <si>
    <t>aaron.thompson601@yahoo.com</t>
  </si>
  <si>
    <t>West Kevin</t>
  </si>
  <si>
    <t>#1550</t>
  </si>
  <si>
    <t>Samantha Robinson</t>
  </si>
  <si>
    <t>samantha.robinson35@icloud.com</t>
  </si>
  <si>
    <t>Angelastad</t>
  </si>
  <si>
    <t>#1551</t>
  </si>
  <si>
    <t>$23.38</t>
  </si>
  <si>
    <t>Lake Brittanymouth</t>
  </si>
  <si>
    <t>#1552</t>
  </si>
  <si>
    <t>Port Lisa</t>
  </si>
  <si>
    <t>#1553</t>
  </si>
  <si>
    <t>SETH PRICE</t>
  </si>
  <si>
    <t>Port Kimberlyborough</t>
  </si>
  <si>
    <t>#1554</t>
  </si>
  <si>
    <t>Kiara Burke</t>
  </si>
  <si>
    <t>kiara.burke246@yahoo.com</t>
  </si>
  <si>
    <t xml:space="preserve">Throw Blanket - Fleece  </t>
  </si>
  <si>
    <t>#1555</t>
  </si>
  <si>
    <t>$33.97</t>
  </si>
  <si>
    <t>Lake Kaylee</t>
  </si>
  <si>
    <t>#1556</t>
  </si>
  <si>
    <t>New Aaronfort</t>
  </si>
  <si>
    <t>#1557</t>
  </si>
  <si>
    <t>East Nicole</t>
  </si>
  <si>
    <t>#1558</t>
  </si>
  <si>
    <t>RUNNING SHOES - MEN'S</t>
  </si>
  <si>
    <t>Port Cherylhaven</t>
  </si>
  <si>
    <t>#1559</t>
  </si>
  <si>
    <t>Port Eileen</t>
  </si>
  <si>
    <t>#1560</t>
  </si>
  <si>
    <t>South Jeremiah</t>
  </si>
  <si>
    <t>#1561</t>
  </si>
  <si>
    <t>Port Jordan</t>
  </si>
  <si>
    <t>#1562</t>
  </si>
  <si>
    <t>Contrerasview</t>
  </si>
  <si>
    <t>#1563</t>
  </si>
  <si>
    <t>Reedmouth</t>
  </si>
  <si>
    <t>#1564</t>
  </si>
  <si>
    <t>North Anthonyland</t>
  </si>
  <si>
    <t>#1565</t>
  </si>
  <si>
    <t>$79.18</t>
  </si>
  <si>
    <t>Hoodberg</t>
  </si>
  <si>
    <t>#1566</t>
  </si>
  <si>
    <t>Daniel Contreras</t>
  </si>
  <si>
    <t>daniel.contreras749@yahoo.com</t>
  </si>
  <si>
    <t>West Philip</t>
  </si>
  <si>
    <t>#1567</t>
  </si>
  <si>
    <t>Port Cynthia</t>
  </si>
  <si>
    <t>#1568</t>
  </si>
  <si>
    <t>East Katelynberg</t>
  </si>
  <si>
    <t>#1569</t>
  </si>
  <si>
    <t>New Davidmouth</t>
  </si>
  <si>
    <t>#1570</t>
  </si>
  <si>
    <t>Rodriguez, Devon</t>
  </si>
  <si>
    <t>devon.rodriguez635@outlook.com</t>
  </si>
  <si>
    <t>New Joseph</t>
  </si>
  <si>
    <t>#1571</t>
  </si>
  <si>
    <t>WELCOME10 </t>
  </si>
  <si>
    <t>West Stephanie</t>
  </si>
  <si>
    <t>#1572</t>
  </si>
  <si>
    <t>Andrea Gallegos</t>
  </si>
  <si>
    <t>Ashleybury</t>
  </si>
  <si>
    <t>#1573</t>
  </si>
  <si>
    <t>Cameronport</t>
  </si>
  <si>
    <t>#1574</t>
  </si>
  <si>
    <t>Ericchester</t>
  </si>
  <si>
    <t>#1575</t>
  </si>
  <si>
    <t>Timothy Curry</t>
  </si>
  <si>
    <t>timothy.curry5@gmail.com</t>
  </si>
  <si>
    <t>Port Paigeview</t>
  </si>
  <si>
    <t>#1576</t>
  </si>
  <si>
    <t>Kayla Lee</t>
  </si>
  <si>
    <t>kayla.lee278@yahoo.com</t>
  </si>
  <si>
    <t>Edwardsmouth</t>
  </si>
  <si>
    <t>#1577</t>
  </si>
  <si>
    <t>Deckerton</t>
  </si>
  <si>
    <t>#1578</t>
  </si>
  <si>
    <t>Kimberly Johnson</t>
  </si>
  <si>
    <t>kimberly.johnson443@icloud.com</t>
  </si>
  <si>
    <t>Maryburgh</t>
  </si>
  <si>
    <t>#1579</t>
  </si>
  <si>
    <t>#1580</t>
  </si>
  <si>
    <t>$28.48</t>
  </si>
  <si>
    <t>Hermanbury</t>
  </si>
  <si>
    <t>#1581</t>
  </si>
  <si>
    <t>Alanfort</t>
  </si>
  <si>
    <t>#1582</t>
  </si>
  <si>
    <t>mary phillips</t>
  </si>
  <si>
    <t>East Thomasview</t>
  </si>
  <si>
    <t>#1583</t>
  </si>
  <si>
    <t>Joel Williams</t>
  </si>
  <si>
    <t>joel.williams850@gmail.com</t>
  </si>
  <si>
    <t>Lake Marilyn</t>
  </si>
  <si>
    <t>#1584</t>
  </si>
  <si>
    <t>Leahfort</t>
  </si>
  <si>
    <t>#1585</t>
  </si>
  <si>
    <t>Ronald Johnson</t>
  </si>
  <si>
    <t>ronald.johnson972@icloud.com</t>
  </si>
  <si>
    <t>Hamptonbury</t>
  </si>
  <si>
    <t>#1586</t>
  </si>
  <si>
    <t>Running Shoes   Men's</t>
  </si>
  <si>
    <t>$22.00</t>
  </si>
  <si>
    <t>South Jeremyside</t>
  </si>
  <si>
    <t>#1587</t>
  </si>
  <si>
    <t>Lake Ashley</t>
  </si>
  <si>
    <t>#1588</t>
  </si>
  <si>
    <t>Thomas Rivera</t>
  </si>
  <si>
    <t>East Scott</t>
  </si>
  <si>
    <t>#1589</t>
  </si>
  <si>
    <t>Josehaven</t>
  </si>
  <si>
    <t>#1590</t>
  </si>
  <si>
    <t>kaitlyn hernandez</t>
  </si>
  <si>
    <t>kaitlyn.hernandez192@gmail.com</t>
  </si>
  <si>
    <t>Ianside</t>
  </si>
  <si>
    <t>#1591</t>
  </si>
  <si>
    <t>$21.13</t>
  </si>
  <si>
    <t>Ramirezfurt</t>
  </si>
  <si>
    <t>#1592</t>
  </si>
  <si>
    <t>Tyronemouth</t>
  </si>
  <si>
    <t>#1593</t>
  </si>
  <si>
    <t>Sergio Turner</t>
  </si>
  <si>
    <t>sergio.turner744@outlook.com</t>
  </si>
  <si>
    <t>Angelaville</t>
  </si>
  <si>
    <t>#1594</t>
  </si>
  <si>
    <t>Wallerland</t>
  </si>
  <si>
    <t>#1595</t>
  </si>
  <si>
    <t>South Melissa</t>
  </si>
  <si>
    <t>#1596</t>
  </si>
  <si>
    <t>Stephanie Mcdonald</t>
  </si>
  <si>
    <t>stephanie.mcdonald873@icloud.com</t>
  </si>
  <si>
    <t>Wilsonstad</t>
  </si>
  <si>
    <t>#1597</t>
  </si>
  <si>
    <t>East Pamela</t>
  </si>
  <si>
    <t>#1598</t>
  </si>
  <si>
    <t>Banksshire</t>
  </si>
  <si>
    <t>#1599</t>
  </si>
  <si>
    <t>East Aprilshire</t>
  </si>
  <si>
    <t>#1600</t>
  </si>
  <si>
    <t>Sarahmouth</t>
  </si>
  <si>
    <t>#1601</t>
  </si>
  <si>
    <t>Tasha Morales</t>
  </si>
  <si>
    <t>tasha.morales378@outlook.com</t>
  </si>
  <si>
    <t>New Katherine</t>
  </si>
  <si>
    <t>#1602</t>
  </si>
  <si>
    <t>Sarah Hart</t>
  </si>
  <si>
    <t>sarah.hart267@yahoo.com</t>
  </si>
  <si>
    <t>Alexisville</t>
  </si>
  <si>
    <t>#1603</t>
  </si>
  <si>
    <t>Taylortown</t>
  </si>
  <si>
    <t>#1604</t>
  </si>
  <si>
    <t>West Douglas</t>
  </si>
  <si>
    <t>#1605</t>
  </si>
  <si>
    <t>Brady Garcia</t>
  </si>
  <si>
    <t>brady.garcia57@yahoo.com</t>
  </si>
  <si>
    <t>Elliottchester</t>
  </si>
  <si>
    <t>#1606</t>
  </si>
  <si>
    <t>Dalestad</t>
  </si>
  <si>
    <t>#1607</t>
  </si>
  <si>
    <t>Brooke Crawford</t>
  </si>
  <si>
    <t>brooke.crawford896@outlook.com</t>
  </si>
  <si>
    <t>Allentown</t>
  </si>
  <si>
    <t>#1608</t>
  </si>
  <si>
    <t>Sara Hernandez</t>
  </si>
  <si>
    <t>sara.hernandez651@icloud.com</t>
  </si>
  <si>
    <t>Port Valerie</t>
  </si>
  <si>
    <t>#1609</t>
  </si>
  <si>
    <t>Taylor Davis</t>
  </si>
  <si>
    <t>Baileyfort</t>
  </si>
  <si>
    <t>#1610</t>
  </si>
  <si>
    <t>Sullivanside</t>
  </si>
  <si>
    <t>#1611</t>
  </si>
  <si>
    <t>Leblanchaven</t>
  </si>
  <si>
    <t>#1612</t>
  </si>
  <si>
    <t>Billyton</t>
  </si>
  <si>
    <t>#1613</t>
  </si>
  <si>
    <t>#1614</t>
  </si>
  <si>
    <t>Daniel Hill</t>
  </si>
  <si>
    <t>CLASSIC COTTON T-SHIRT</t>
  </si>
  <si>
    <t>Calvinshire</t>
  </si>
  <si>
    <t>#1615</t>
  </si>
  <si>
    <t>Millerton</t>
  </si>
  <si>
    <t>#1616</t>
  </si>
  <si>
    <t>04-08-2026 14:05</t>
  </si>
  <si>
    <t>$71.97</t>
  </si>
  <si>
    <t>Lake Jacob</t>
  </si>
  <si>
    <t>#1617</t>
  </si>
  <si>
    <t>James Mason</t>
  </si>
  <si>
    <t>james.mason603@gmail.com</t>
  </si>
  <si>
    <t>Williamsshire</t>
  </si>
  <si>
    <t>#1618</t>
  </si>
  <si>
    <t>Brittanyburgh</t>
  </si>
  <si>
    <t>#1619</t>
  </si>
  <si>
    <t>Vincentborough</t>
  </si>
  <si>
    <t>#1620</t>
  </si>
  <si>
    <t>South Justin</t>
  </si>
  <si>
    <t>#1621</t>
  </si>
  <si>
    <t>Mariaport</t>
  </si>
  <si>
    <t>#1622</t>
  </si>
  <si>
    <t>Catherineside</t>
  </si>
  <si>
    <t>#1623</t>
  </si>
  <si>
    <t>Mark Woods</t>
  </si>
  <si>
    <t>mark.woods108@yahoo.com</t>
  </si>
  <si>
    <t>New James</t>
  </si>
  <si>
    <t>#1624</t>
  </si>
  <si>
    <t>Morgan Johnson</t>
  </si>
  <si>
    <t>Thomaston</t>
  </si>
  <si>
    <t>#1625</t>
  </si>
  <si>
    <t>thomas vazquez</t>
  </si>
  <si>
    <t>thomas.vazquez673@icloud.com</t>
  </si>
  <si>
    <t>New Oliviaborough</t>
  </si>
  <si>
    <t>#1626</t>
  </si>
  <si>
    <t>AMANDA HARRIS</t>
  </si>
  <si>
    <t>Jenniferborough</t>
  </si>
  <si>
    <t>#1627</t>
  </si>
  <si>
    <t>Sierrachester</t>
  </si>
  <si>
    <t>#1628</t>
  </si>
  <si>
    <t>Port Jeffreymouth</t>
  </si>
  <si>
    <t>#1629</t>
  </si>
  <si>
    <t>Ryanton</t>
  </si>
  <si>
    <t>#1630</t>
  </si>
  <si>
    <t>Miller, Alexandria</t>
  </si>
  <si>
    <t>Evansfort</t>
  </si>
  <si>
    <t>#1631</t>
  </si>
  <si>
    <t>Anitamouth</t>
  </si>
  <si>
    <t>#1632</t>
  </si>
  <si>
    <t>Kenneth Morgan</t>
  </si>
  <si>
    <t>kenneth.morgan181@outlook.com</t>
  </si>
  <si>
    <t>West David</t>
  </si>
  <si>
    <t>#1633</t>
  </si>
  <si>
    <t>Gloria Ballard</t>
  </si>
  <si>
    <t>gloria.ballard194@outlook.com</t>
  </si>
  <si>
    <t>East Jenniferport</t>
  </si>
  <si>
    <t>#1634</t>
  </si>
  <si>
    <t>Williamsborough</t>
  </si>
  <si>
    <t>#1635</t>
  </si>
  <si>
    <t>$30.18</t>
  </si>
  <si>
    <t>#1636</t>
  </si>
  <si>
    <t>Franco, Charles</t>
  </si>
  <si>
    <t>North Kristineview</t>
  </si>
  <si>
    <t>#1637</t>
  </si>
  <si>
    <t>East Seanbury</t>
  </si>
  <si>
    <t>#1638</t>
  </si>
  <si>
    <t>Hallmouth</t>
  </si>
  <si>
    <t>#1639</t>
  </si>
  <si>
    <t>Shannonmouth</t>
  </si>
  <si>
    <t>#1640</t>
  </si>
  <si>
    <t>West Juliefort</t>
  </si>
  <si>
    <t>#1641</t>
  </si>
  <si>
    <t>Edwardton</t>
  </si>
  <si>
    <t>#1642</t>
  </si>
  <si>
    <t>Lake Ian</t>
  </si>
  <si>
    <t>#1643</t>
  </si>
  <si>
    <t>Lake Patriciamouth</t>
  </si>
  <si>
    <t>#1644</t>
  </si>
  <si>
    <t>Pam Hudson</t>
  </si>
  <si>
    <t>pam.hudson109@gmail.com</t>
  </si>
  <si>
    <t>$6.00</t>
  </si>
  <si>
    <t>$61.97</t>
  </si>
  <si>
    <t>Heidifurt</t>
  </si>
  <si>
    <t>#1645</t>
  </si>
  <si>
    <t>$179.98</t>
  </si>
  <si>
    <t>Alexview</t>
  </si>
  <si>
    <t>#1646</t>
  </si>
  <si>
    <t>Patrick Stevens</t>
  </si>
  <si>
    <t>patrick.stevens218@gmail.com</t>
  </si>
  <si>
    <t>Kylieside</t>
  </si>
  <si>
    <t>#1647</t>
  </si>
  <si>
    <t>Thomasburgh</t>
  </si>
  <si>
    <t>#1648</t>
  </si>
  <si>
    <t>Gregorymouth</t>
  </si>
  <si>
    <t>#1649</t>
  </si>
  <si>
    <t>West Michael</t>
  </si>
  <si>
    <t>#1650</t>
  </si>
  <si>
    <t>#1651</t>
  </si>
  <si>
    <t>Kevin Williams</t>
  </si>
  <si>
    <t>kevin.williams971@yahoo.com</t>
  </si>
  <si>
    <t>South Laurenland</t>
  </si>
  <si>
    <t>#1652</t>
  </si>
  <si>
    <t>$58.37</t>
  </si>
  <si>
    <t>Port Josephborough</t>
  </si>
  <si>
    <t>#1653</t>
  </si>
  <si>
    <t>Melinda Williams</t>
  </si>
  <si>
    <t>South Tinastad</t>
  </si>
  <si>
    <t>#1654</t>
  </si>
  <si>
    <t>Meganfort</t>
  </si>
  <si>
    <t>#1655</t>
  </si>
  <si>
    <t>taylor.davis403@outlook.com</t>
  </si>
  <si>
    <t>Lake Evan</t>
  </si>
  <si>
    <t>#1656</t>
  </si>
  <si>
    <t>Anthony Vaughn</t>
  </si>
  <si>
    <t>West Karen</t>
  </si>
  <si>
    <t>#1657</t>
  </si>
  <si>
    <t>George Green</t>
  </si>
  <si>
    <t>Port Williamstad</t>
  </si>
  <si>
    <t>#1658</t>
  </si>
  <si>
    <t>Courtneyview</t>
  </si>
  <si>
    <t>#1659</t>
  </si>
  <si>
    <t>Carrollchester</t>
  </si>
  <si>
    <t>#1660</t>
  </si>
  <si>
    <t>Davidchester</t>
  </si>
  <si>
    <t>#1661</t>
  </si>
  <si>
    <t>Lake Tracybury</t>
  </si>
  <si>
    <t>#1662</t>
  </si>
  <si>
    <t>SAVE20 </t>
  </si>
  <si>
    <t>North Jefferyberg</t>
  </si>
  <si>
    <t>#1663</t>
  </si>
  <si>
    <t>Kyle Rice</t>
  </si>
  <si>
    <t>kyle.rice164@icloud.com</t>
  </si>
  <si>
    <t>East Jenniferchester</t>
  </si>
  <si>
    <t>#1664</t>
  </si>
  <si>
    <t>Larryfort</t>
  </si>
  <si>
    <t>#1665</t>
  </si>
  <si>
    <t>Cindytown</t>
  </si>
  <si>
    <t>#1666</t>
  </si>
  <si>
    <t>North Kayla</t>
  </si>
  <si>
    <t>#1667</t>
  </si>
  <si>
    <t>Savannahburgh</t>
  </si>
  <si>
    <t>#1668</t>
  </si>
  <si>
    <t>Matthewberg</t>
  </si>
  <si>
    <t>#1669</t>
  </si>
  <si>
    <t>Schultzfort</t>
  </si>
  <si>
    <t>#1670</t>
  </si>
  <si>
    <t>South David</t>
  </si>
  <si>
    <t>#1671</t>
  </si>
  <si>
    <t>Samuel Smith</t>
  </si>
  <si>
    <t>Grayview</t>
  </si>
  <si>
    <t>#1672</t>
  </si>
  <si>
    <t>New Andrew</t>
  </si>
  <si>
    <t>#1673</t>
  </si>
  <si>
    <t>Matthewmouth</t>
  </si>
  <si>
    <t>#1674</t>
  </si>
  <si>
    <t>Mary Meza</t>
  </si>
  <si>
    <t>mary.meza759@gmail.com</t>
  </si>
  <si>
    <t>#1675</t>
  </si>
  <si>
    <t>Foxburgh</t>
  </si>
  <si>
    <t>#1676</t>
  </si>
  <si>
    <t>North Derek</t>
  </si>
  <si>
    <t>#1677</t>
  </si>
  <si>
    <t>$87.98</t>
  </si>
  <si>
    <t>South Jeffrey</t>
  </si>
  <si>
    <t>#1678</t>
  </si>
  <si>
    <t>West Deborahshire</t>
  </si>
  <si>
    <t>#1679</t>
  </si>
  <si>
    <t>New Robynberg</t>
  </si>
  <si>
    <t>#1680</t>
  </si>
  <si>
    <t>New Christian</t>
  </si>
  <si>
    <t>#1681</t>
  </si>
  <si>
    <t>Mirandaside</t>
  </si>
  <si>
    <t>#1682</t>
  </si>
  <si>
    <t>KIMBERLY TORRES</t>
  </si>
  <si>
    <t>kimberly.torres39@yahoo.com</t>
  </si>
  <si>
    <t>$29.98</t>
  </si>
  <si>
    <t>Cassandraville</t>
  </si>
  <si>
    <t>#1683</t>
  </si>
  <si>
    <t>East Steventon</t>
  </si>
  <si>
    <t>#1684</t>
  </si>
  <si>
    <t>Kevinbury</t>
  </si>
  <si>
    <t>#1685</t>
  </si>
  <si>
    <t>East Drewmouth</t>
  </si>
  <si>
    <t>#1686</t>
  </si>
  <si>
    <t>Garnerborough</t>
  </si>
  <si>
    <t>#1687</t>
  </si>
  <si>
    <t>New Gregory</t>
  </si>
  <si>
    <t>#1688</t>
  </si>
  <si>
    <t>#1689</t>
  </si>
  <si>
    <t>Dominique Huerta</t>
  </si>
  <si>
    <t>Haynesfurt</t>
  </si>
  <si>
    <t>#1690</t>
  </si>
  <si>
    <t>Tara Jackson</t>
  </si>
  <si>
    <t>tara.jackson708@outlook.com</t>
  </si>
  <si>
    <t>Georgeside</t>
  </si>
  <si>
    <t>#1691</t>
  </si>
  <si>
    <t>New David</t>
  </si>
  <si>
    <t>#1692</t>
  </si>
  <si>
    <t>$8.99</t>
  </si>
  <si>
    <t>Lake Andrewshire</t>
  </si>
  <si>
    <t>#1693</t>
  </si>
  <si>
    <t>Jack Bryant</t>
  </si>
  <si>
    <t>jack.bryant173@gmail.com</t>
  </si>
  <si>
    <t>Ambertown</t>
  </si>
  <si>
    <t>#1694</t>
  </si>
  <si>
    <t>South Henrystad</t>
  </si>
  <si>
    <t>#1695</t>
  </si>
  <si>
    <t>$79.98</t>
  </si>
  <si>
    <t>Thompsonport</t>
  </si>
  <si>
    <t>#1696</t>
  </si>
  <si>
    <t>Lake Michael</t>
  </si>
  <si>
    <t>#1697</t>
  </si>
  <si>
    <t>North Barbaratown</t>
  </si>
  <si>
    <t>#1698</t>
  </si>
  <si>
    <t>South Madison</t>
  </si>
  <si>
    <t>#1699</t>
  </si>
  <si>
    <t>South Francisco</t>
  </si>
  <si>
    <t>#1700</t>
  </si>
  <si>
    <t>Port Nancymouth</t>
  </si>
  <si>
    <t>#1701</t>
  </si>
  <si>
    <t xml:space="preserve">Backpack - 25L  </t>
  </si>
  <si>
    <t>Port Karenshire</t>
  </si>
  <si>
    <t>#1702</t>
  </si>
  <si>
    <t>rose.english118@icloud.com</t>
  </si>
  <si>
    <t>#1703</t>
  </si>
  <si>
    <t>Luke Keller</t>
  </si>
  <si>
    <t>luke.keller471@icloud.com</t>
  </si>
  <si>
    <t>Port Crystalmouth</t>
  </si>
  <si>
    <t>#1704</t>
  </si>
  <si>
    <t>Allen Diaz</t>
  </si>
  <si>
    <t>allen.diaz546@gmail.com</t>
  </si>
  <si>
    <t>East Sharon</t>
  </si>
  <si>
    <t>#1705</t>
  </si>
  <si>
    <t>Erichaven</t>
  </si>
  <si>
    <t>#1706</t>
  </si>
  <si>
    <t>North Daniel</t>
  </si>
  <si>
    <t>#1707</t>
  </si>
  <si>
    <t>Jacqueline Richmond</t>
  </si>
  <si>
    <t>jacqueline.richmond595@outlook.com</t>
  </si>
  <si>
    <t>East Heidi</t>
  </si>
  <si>
    <t>#1708</t>
  </si>
  <si>
    <t>#1709</t>
  </si>
  <si>
    <t>Port Charles</t>
  </si>
  <si>
    <t>#1710</t>
  </si>
  <si>
    <t>$2.25</t>
  </si>
  <si>
    <t>Campbellborough</t>
  </si>
  <si>
    <t>#1711</t>
  </si>
  <si>
    <t>East Sarahfort</t>
  </si>
  <si>
    <t>#1712</t>
  </si>
  <si>
    <t>David Hayden</t>
  </si>
  <si>
    <t>david.hayden411@outlook.com</t>
  </si>
  <si>
    <t>New Daniel</t>
  </si>
  <si>
    <t>#1713</t>
  </si>
  <si>
    <t>Christian Leonard</t>
  </si>
  <si>
    <t>christian.leonard732@gmail.com</t>
  </si>
  <si>
    <t>Katietown</t>
  </si>
  <si>
    <t>#1714</t>
  </si>
  <si>
    <t>New Jefferyton</t>
  </si>
  <si>
    <t>#1715</t>
  </si>
  <si>
    <t>Solomonchester</t>
  </si>
  <si>
    <t>#1716</t>
  </si>
  <si>
    <t>Rita Hall</t>
  </si>
  <si>
    <t>rita.hall18@outlook.com</t>
  </si>
  <si>
    <t>North Markhaven</t>
  </si>
  <si>
    <t>#1717</t>
  </si>
  <si>
    <t>#1718</t>
  </si>
  <si>
    <t>Stacey Gonzales</t>
  </si>
  <si>
    <t>stacey.gonzales655@icloud.com</t>
  </si>
  <si>
    <t>North Jamesfort</t>
  </si>
  <si>
    <t>#1719</t>
  </si>
  <si>
    <t>GRACE RAY</t>
  </si>
  <si>
    <t>grace.ray807@yahoo.com</t>
  </si>
  <si>
    <t>Lutzton</t>
  </si>
  <si>
    <t>#1720</t>
  </si>
  <si>
    <t>Gregory Vega</t>
  </si>
  <si>
    <t>gregory.vega882@outlook.com</t>
  </si>
  <si>
    <t>East Julianshire</t>
  </si>
  <si>
    <t>#1721</t>
  </si>
  <si>
    <t>JAMES CASTRO</t>
  </si>
  <si>
    <t>New Christopherview</t>
  </si>
  <si>
    <t>#1722</t>
  </si>
  <si>
    <t>South Travis</t>
  </si>
  <si>
    <t>#1723</t>
  </si>
  <si>
    <t>Cervantesmouth</t>
  </si>
  <si>
    <t>#1724</t>
  </si>
  <si>
    <t>Trevorside</t>
  </si>
  <si>
    <t>#1725</t>
  </si>
  <si>
    <t>West Derekport</t>
  </si>
  <si>
    <t>#1726</t>
  </si>
  <si>
    <t>ann.byrd498@icloud.com</t>
  </si>
  <si>
    <t>$20.98</t>
  </si>
  <si>
    <t>Johnhaven</t>
  </si>
  <si>
    <t>#1727</t>
  </si>
  <si>
    <t>Boyerfort</t>
  </si>
  <si>
    <t>#1728</t>
  </si>
  <si>
    <t>Hernandezshire</t>
  </si>
  <si>
    <t>#1729</t>
  </si>
  <si>
    <t>Houstonstad</t>
  </si>
  <si>
    <t>#1730</t>
  </si>
  <si>
    <t>Port Robin</t>
  </si>
  <si>
    <t>#1731</t>
  </si>
  <si>
    <t>KENNETH DAVIS</t>
  </si>
  <si>
    <t>Dylanmouth</t>
  </si>
  <si>
    <t>#1732</t>
  </si>
  <si>
    <t>ANGELA CARR</t>
  </si>
  <si>
    <t>South Jasonside</t>
  </si>
  <si>
    <t>#1733</t>
  </si>
  <si>
    <t>Justinfurt</t>
  </si>
  <si>
    <t>#1734</t>
  </si>
  <si>
    <t>Danielle Johnson</t>
  </si>
  <si>
    <t>danielle.johnson52@yahoo.com</t>
  </si>
  <si>
    <t>Mauriceland</t>
  </si>
  <si>
    <t>#1735</t>
  </si>
  <si>
    <t>North Kelly</t>
  </si>
  <si>
    <t>#1736</t>
  </si>
  <si>
    <t>East Thomasberg</t>
  </si>
  <si>
    <t>#1737</t>
  </si>
  <si>
    <t>Millerland</t>
  </si>
  <si>
    <t>#1738</t>
  </si>
  <si>
    <t>Williamhaven</t>
  </si>
  <si>
    <t>#1739</t>
  </si>
  <si>
    <t>Lake Jamesbury</t>
  </si>
  <si>
    <t>#1740</t>
  </si>
  <si>
    <t>Port Markport</t>
  </si>
  <si>
    <t>#1741</t>
  </si>
  <si>
    <t>Port Nicholasport</t>
  </si>
  <si>
    <t>#1742</t>
  </si>
  <si>
    <t>Rodney Lamb</t>
  </si>
  <si>
    <t>rodney.lamb872@icloud.com</t>
  </si>
  <si>
    <t>East Corey</t>
  </si>
  <si>
    <t>#1743</t>
  </si>
  <si>
    <t>Alexandrachester</t>
  </si>
  <si>
    <t>#1744</t>
  </si>
  <si>
    <t>Velasquezville</t>
  </si>
  <si>
    <t>#1745</t>
  </si>
  <si>
    <t>Richardshire</t>
  </si>
  <si>
    <t>#1746</t>
  </si>
  <si>
    <t>$82.76</t>
  </si>
  <si>
    <t>North Amandafurt</t>
  </si>
  <si>
    <t>#1747</t>
  </si>
  <si>
    <t xml:space="preserve">Ceramic Coffee Mug Set (4pc)  </t>
  </si>
  <si>
    <t>Deborahton</t>
  </si>
  <si>
    <t>#1748</t>
  </si>
  <si>
    <t>Cameronberg</t>
  </si>
  <si>
    <t>#1749</t>
  </si>
  <si>
    <t>South Maria</t>
  </si>
  <si>
    <t>#1750</t>
  </si>
  <si>
    <t>Masseyton</t>
  </si>
  <si>
    <t>#1751</t>
  </si>
  <si>
    <t>Zacharyfurt</t>
  </si>
  <si>
    <t>#1752</t>
  </si>
  <si>
    <t>East Lindseyside</t>
  </si>
  <si>
    <t>#1753</t>
  </si>
  <si>
    <t>Kelly Wyatt</t>
  </si>
  <si>
    <t>kelly.wyatt277@yahoo.com</t>
  </si>
  <si>
    <t>Lake Beverlyside</t>
  </si>
  <si>
    <t>#1754</t>
  </si>
  <si>
    <t>#1755</t>
  </si>
  <si>
    <t>melinda.williams310@icloud.com</t>
  </si>
  <si>
    <t>South Brianmouth</t>
  </si>
  <si>
    <t>#1756</t>
  </si>
  <si>
    <t>Heatherfort</t>
  </si>
  <si>
    <t>#1757</t>
  </si>
  <si>
    <t>Justinberg</t>
  </si>
  <si>
    <t>#1758</t>
  </si>
  <si>
    <t>Andersontown</t>
  </si>
  <si>
    <t>#1759</t>
  </si>
  <si>
    <t>Danaport</t>
  </si>
  <si>
    <t>#1760</t>
  </si>
  <si>
    <t>South Aaronstad</t>
  </si>
  <si>
    <t>#1761</t>
  </si>
  <si>
    <t>Amandafurt</t>
  </si>
  <si>
    <t>#1762</t>
  </si>
  <si>
    <t>Caseyhaven</t>
  </si>
  <si>
    <t>#1763</t>
  </si>
  <si>
    <t>Tamaraside</t>
  </si>
  <si>
    <t>#1764</t>
  </si>
  <si>
    <t>Lake Rhondaton</t>
  </si>
  <si>
    <t>#1765</t>
  </si>
  <si>
    <t>Brian Gardner</t>
  </si>
  <si>
    <t>brian.gardner260@outlook.com</t>
  </si>
  <si>
    <t>Chelseafurt</t>
  </si>
  <si>
    <t>#1766</t>
  </si>
  <si>
    <t>East David</t>
  </si>
  <si>
    <t>#1767</t>
  </si>
  <si>
    <t>WIRELESS MOUSE</t>
  </si>
  <si>
    <t>East Robert</t>
  </si>
  <si>
    <t>#1768</t>
  </si>
  <si>
    <t>Port Melinda</t>
  </si>
  <si>
    <t>#1769</t>
  </si>
  <si>
    <t>North William</t>
  </si>
  <si>
    <t>#1770</t>
  </si>
  <si>
    <t>Richard Ward</t>
  </si>
  <si>
    <t>richard.ward894@icloud.com</t>
  </si>
  <si>
    <t>Lake Aprilstad</t>
  </si>
  <si>
    <t>#1771</t>
  </si>
  <si>
    <t>$25.98</t>
  </si>
  <si>
    <t>East Aaron</t>
  </si>
  <si>
    <t>#1772</t>
  </si>
  <si>
    <t>Haneyhaven</t>
  </si>
  <si>
    <t>#1773</t>
  </si>
  <si>
    <t>morgan.johnson938@outlook.com</t>
  </si>
  <si>
    <t>$2.70</t>
  </si>
  <si>
    <t>Lake Zacharybury</t>
  </si>
  <si>
    <t>#1774</t>
  </si>
  <si>
    <t>Mooremouth</t>
  </si>
  <si>
    <t>#1775</t>
  </si>
  <si>
    <t>East Patricia</t>
  </si>
  <si>
    <t>#1776</t>
  </si>
  <si>
    <t>Michael Wilson</t>
  </si>
  <si>
    <t>michael.wilson464@icloud.com</t>
  </si>
  <si>
    <t>Cookeport</t>
  </si>
  <si>
    <t>#1777</t>
  </si>
  <si>
    <t>Deanmouth</t>
  </si>
  <si>
    <t>#1778</t>
  </si>
  <si>
    <t>West Drewland</t>
  </si>
  <si>
    <t>#1779</t>
  </si>
  <si>
    <t>Lake Joseph</t>
  </si>
  <si>
    <t>#1780</t>
  </si>
  <si>
    <t>West Debra</t>
  </si>
  <si>
    <t>#1781</t>
  </si>
  <si>
    <t>Clarkmouth</t>
  </si>
  <si>
    <t>#1782</t>
  </si>
  <si>
    <t>Peckstad</t>
  </si>
  <si>
    <t>#1783</t>
  </si>
  <si>
    <t>#1784</t>
  </si>
  <si>
    <t>Austin Norris</t>
  </si>
  <si>
    <t>Rebeccaland</t>
  </si>
  <si>
    <t>#1785</t>
  </si>
  <si>
    <t>Wilkins, Jordan</t>
  </si>
  <si>
    <t>South Courtney</t>
  </si>
  <si>
    <t>#1786</t>
  </si>
  <si>
    <t>North Ricardoland</t>
  </si>
  <si>
    <t>#1787</t>
  </si>
  <si>
    <t>New Melissashire</t>
  </si>
  <si>
    <t>#1788</t>
  </si>
  <si>
    <t>North Benjamin</t>
  </si>
  <si>
    <t>#1789</t>
  </si>
  <si>
    <t>Port Martin</t>
  </si>
  <si>
    <t>#1790</t>
  </si>
  <si>
    <t>Carrstad</t>
  </si>
  <si>
    <t>#1791</t>
  </si>
  <si>
    <t>Kathleen Mayer</t>
  </si>
  <si>
    <t>kathleen.mayer237@outlook.com</t>
  </si>
  <si>
    <t>North Thomasmouth</t>
  </si>
  <si>
    <t>#1792</t>
  </si>
  <si>
    <t>Boylechester</t>
  </si>
  <si>
    <t>#1793</t>
  </si>
  <si>
    <t>Pattonville</t>
  </si>
  <si>
    <t>#1794</t>
  </si>
  <si>
    <t>Carson, John</t>
  </si>
  <si>
    <t>Port Cindyhaven</t>
  </si>
  <si>
    <t>#1795</t>
  </si>
  <si>
    <t>South Joside</t>
  </si>
  <si>
    <t>#1796</t>
  </si>
  <si>
    <t>West Christopher</t>
  </si>
  <si>
    <t>#1797</t>
  </si>
  <si>
    <t>Melissahaven</t>
  </si>
  <si>
    <t>#1798</t>
  </si>
  <si>
    <t>North Shannon</t>
  </si>
  <si>
    <t>#1799</t>
  </si>
  <si>
    <t>Taylorbury</t>
  </si>
  <si>
    <t>#1800</t>
  </si>
  <si>
    <t>kaitlyn.hernandez713@gmail.com</t>
  </si>
  <si>
    <t>#1801</t>
  </si>
  <si>
    <t>Nicholasview</t>
  </si>
  <si>
    <t>#1802</t>
  </si>
  <si>
    <t>Ronald Davis</t>
  </si>
  <si>
    <t>ronald.davis995@yahoo.com</t>
  </si>
  <si>
    <t>Nicoletown</t>
  </si>
  <si>
    <t>#1803</t>
  </si>
  <si>
    <t>Pamelabury</t>
  </si>
  <si>
    <t>#1804</t>
  </si>
  <si>
    <t>South Johntown</t>
  </si>
  <si>
    <t>#1805</t>
  </si>
  <si>
    <t>Joshua Vaughan</t>
  </si>
  <si>
    <t>joshua.vaughan453@yahoo.com</t>
  </si>
  <si>
    <t>$31.97</t>
  </si>
  <si>
    <t>New Brianfurt</t>
  </si>
  <si>
    <t>#1806</t>
  </si>
  <si>
    <t>Yangville</t>
  </si>
  <si>
    <t>#1807</t>
  </si>
  <si>
    <t>Claudiashire</t>
  </si>
  <si>
    <t>#1808</t>
  </si>
  <si>
    <t>jeremy tucker</t>
  </si>
  <si>
    <t>Jessicafurt</t>
  </si>
  <si>
    <t>#1809</t>
  </si>
  <si>
    <t>Charleschester</t>
  </si>
  <si>
    <t>#1810</t>
  </si>
  <si>
    <t>North Williamstad</t>
  </si>
  <si>
    <t>#1811</t>
  </si>
  <si>
    <t>East Jeffrey</t>
  </si>
  <si>
    <t>#1812</t>
  </si>
  <si>
    <t>Kathyshire</t>
  </si>
  <si>
    <t>#1813</t>
  </si>
  <si>
    <t>West Kevinview</t>
  </si>
  <si>
    <t>#1814</t>
  </si>
  <si>
    <t>Nicholasburgh</t>
  </si>
  <si>
    <t>#1815</t>
  </si>
  <si>
    <t>Smithfort</t>
  </si>
  <si>
    <t>#1816</t>
  </si>
  <si>
    <t>West Kyle</t>
  </si>
  <si>
    <t>#1817</t>
  </si>
  <si>
    <t>Randall Rhodes</t>
  </si>
  <si>
    <t>randall.rhodes730@outlook.com</t>
  </si>
  <si>
    <t>#1818</t>
  </si>
  <si>
    <t xml:space="preserve">USB-C Fast Charger 20W  </t>
  </si>
  <si>
    <t>Richardsonburgh</t>
  </si>
  <si>
    <t>#1819</t>
  </si>
  <si>
    <t>Joseph Phillips</t>
  </si>
  <si>
    <t>joseph.phillips672@yahoo.com</t>
  </si>
  <si>
    <t>Diazfort</t>
  </si>
  <si>
    <t>#1820</t>
  </si>
  <si>
    <t>Albert Phillips</t>
  </si>
  <si>
    <t>albert.phillips237@gmail.com</t>
  </si>
  <si>
    <t>$20.58</t>
  </si>
  <si>
    <t>Berrystad</t>
  </si>
  <si>
    <t>#1821</t>
  </si>
  <si>
    <t>Austinview</t>
  </si>
  <si>
    <t>#1822</t>
  </si>
  <si>
    <t>West Gabrielland</t>
  </si>
  <si>
    <t>#1823</t>
  </si>
  <si>
    <t>#1824</t>
  </si>
  <si>
    <t>South Andrew</t>
  </si>
  <si>
    <t>#1825</t>
  </si>
  <si>
    <t>Port Peter</t>
  </si>
  <si>
    <t>#1826</t>
  </si>
  <si>
    <t>North Aprilburgh</t>
  </si>
  <si>
    <t>#1827</t>
  </si>
  <si>
    <t>Kelly Ramos</t>
  </si>
  <si>
    <t>kelly.ramos77@gmail.com</t>
  </si>
  <si>
    <t>$19.23</t>
  </si>
  <si>
    <t>North Evan</t>
  </si>
  <si>
    <t>#1828</t>
  </si>
  <si>
    <t>East Michael</t>
  </si>
  <si>
    <t>#1829</t>
  </si>
  <si>
    <t>Alvarezstad</t>
  </si>
  <si>
    <t>#1830</t>
  </si>
  <si>
    <t>$2.00</t>
  </si>
  <si>
    <t>Salazarland</t>
  </si>
  <si>
    <t>#1831</t>
  </si>
  <si>
    <t>Port Danielstad</t>
  </si>
  <si>
    <t>#1832</t>
  </si>
  <si>
    <t>Rayhaven</t>
  </si>
  <si>
    <t>#1833</t>
  </si>
  <si>
    <t>Jacksontown</t>
  </si>
  <si>
    <t>#1834</t>
  </si>
  <si>
    <t>Jennyfurt</t>
  </si>
  <si>
    <t>#1835</t>
  </si>
  <si>
    <t>Port Karenland</t>
  </si>
  <si>
    <t>#1836</t>
  </si>
  <si>
    <t>Fordburgh</t>
  </si>
  <si>
    <t>#1837</t>
  </si>
  <si>
    <t>Kristytown</t>
  </si>
  <si>
    <t>#1838</t>
  </si>
  <si>
    <t>$31.98</t>
  </si>
  <si>
    <t>Riverastad</t>
  </si>
  <si>
    <t>#1839</t>
  </si>
  <si>
    <t>West Albertton</t>
  </si>
  <si>
    <t>#1840</t>
  </si>
  <si>
    <t>West Donfurt</t>
  </si>
  <si>
    <t>#1841</t>
  </si>
  <si>
    <t>Port Lynn</t>
  </si>
  <si>
    <t>#1842</t>
  </si>
  <si>
    <t>East Nicolefort</t>
  </si>
  <si>
    <t>#1843</t>
  </si>
  <si>
    <t>New Amyville</t>
  </si>
  <si>
    <t>#1844</t>
  </si>
  <si>
    <t>Katherinestad</t>
  </si>
  <si>
    <t>#1845</t>
  </si>
  <si>
    <t>$55.98</t>
  </si>
  <si>
    <t>Smithberg</t>
  </si>
  <si>
    <t>#1846</t>
  </si>
  <si>
    <t>$24.97</t>
  </si>
  <si>
    <t>Humphreymouth</t>
  </si>
  <si>
    <t>#1847</t>
  </si>
  <si>
    <t>Johnsonberg</t>
  </si>
  <si>
    <t>#1848</t>
  </si>
  <si>
    <t>Jesusland</t>
  </si>
  <si>
    <t>#1849</t>
  </si>
  <si>
    <t>Gravesshire</t>
  </si>
  <si>
    <t>#1850</t>
  </si>
  <si>
    <t>Lake Johnbury</t>
  </si>
  <si>
    <t>#1851</t>
  </si>
  <si>
    <t>Jonesfort</t>
  </si>
  <si>
    <t>#1852</t>
  </si>
  <si>
    <t>South Michelle</t>
  </si>
  <si>
    <t>#1853</t>
  </si>
  <si>
    <t>Maria Patterson</t>
  </si>
  <si>
    <t>maria.patterson62@icloud.com</t>
  </si>
  <si>
    <t>Lake Lindaport</t>
  </si>
  <si>
    <t>#1854</t>
  </si>
  <si>
    <t>Tonybury</t>
  </si>
  <si>
    <t>#1855</t>
  </si>
  <si>
    <t>Denise Chen</t>
  </si>
  <si>
    <t>denise.chen782@outlook.com</t>
  </si>
  <si>
    <t>Jamesfort</t>
  </si>
  <si>
    <t>#1856</t>
  </si>
  <si>
    <t>South Leslie</t>
  </si>
  <si>
    <t>#1857</t>
  </si>
  <si>
    <t>Sydneyville</t>
  </si>
  <si>
    <t>#1858</t>
  </si>
  <si>
    <t>Leather Wallet   Brown</t>
  </si>
  <si>
    <t>East William</t>
  </si>
  <si>
    <t>#1859</t>
  </si>
  <si>
    <t>North Ronald</t>
  </si>
  <si>
    <t>#1860</t>
  </si>
  <si>
    <t>$55.48</t>
  </si>
  <si>
    <t>Simpsonstad</t>
  </si>
  <si>
    <t>#1861</t>
  </si>
  <si>
    <t>Blackwellland</t>
  </si>
  <si>
    <t>#1862</t>
  </si>
  <si>
    <t>Port Jason</t>
  </si>
  <si>
    <t>#1863</t>
  </si>
  <si>
    <t>Amandaland</t>
  </si>
  <si>
    <t>#1864</t>
  </si>
  <si>
    <t>Coreyton</t>
  </si>
  <si>
    <t>#1865</t>
  </si>
  <si>
    <t>Port Traciburgh</t>
  </si>
  <si>
    <t>#1866</t>
  </si>
  <si>
    <t>Melissa Jones</t>
  </si>
  <si>
    <t>Kelseybury</t>
  </si>
  <si>
    <t>#1867</t>
  </si>
  <si>
    <t>#1868</t>
  </si>
  <si>
    <t>$2.80</t>
  </si>
  <si>
    <t>West Amber</t>
  </si>
  <si>
    <t>#1869</t>
  </si>
  <si>
    <t>Lake Thomasville</t>
  </si>
  <si>
    <t>#1870</t>
  </si>
  <si>
    <t>Danaton</t>
  </si>
  <si>
    <t>#1871</t>
  </si>
  <si>
    <t>West Laura</t>
  </si>
  <si>
    <t>#1872</t>
  </si>
  <si>
    <t>Lake Kennethport</t>
  </si>
  <si>
    <t>#1873</t>
  </si>
  <si>
    <t>Johnsonton</t>
  </si>
  <si>
    <t>#1874</t>
  </si>
  <si>
    <t>Nguyen, Lauren</t>
  </si>
  <si>
    <t>$35.97</t>
  </si>
  <si>
    <t>East Adamview</t>
  </si>
  <si>
    <t>#1875</t>
  </si>
  <si>
    <t>Youngmouth</t>
  </si>
  <si>
    <t>#1876</t>
  </si>
  <si>
    <t>#1877</t>
  </si>
  <si>
    <t>Chavez, Summer</t>
  </si>
  <si>
    <t>summer.chavez101@icloud.com</t>
  </si>
  <si>
    <t>Port Colleen</t>
  </si>
  <si>
    <t>#1878</t>
  </si>
  <si>
    <t>North Lindseymouth</t>
  </si>
  <si>
    <t>#1879</t>
  </si>
  <si>
    <t>Christophermouth</t>
  </si>
  <si>
    <t>#1880</t>
  </si>
  <si>
    <t>West Susanchester</t>
  </si>
  <si>
    <t>#1881</t>
  </si>
  <si>
    <t>Gregory Tanner</t>
  </si>
  <si>
    <t>gregory.tanner968@outlook.com</t>
  </si>
  <si>
    <t>South Josephborough</t>
  </si>
  <si>
    <t>#1882</t>
  </si>
  <si>
    <t>North Travis</t>
  </si>
  <si>
    <t>#1883</t>
  </si>
  <si>
    <t>Robertstad</t>
  </si>
  <si>
    <t>#1884</t>
  </si>
  <si>
    <t>Krueger, Anthony</t>
  </si>
  <si>
    <t>Tiffanyview</t>
  </si>
  <si>
    <t>#1885</t>
  </si>
  <si>
    <t>Loweland</t>
  </si>
  <si>
    <t>#1886</t>
  </si>
  <si>
    <t>Brianmouth</t>
  </si>
  <si>
    <t>#1887</t>
  </si>
  <si>
    <t>Cindyville</t>
  </si>
  <si>
    <t>#1888</t>
  </si>
  <si>
    <t>Lisahaven</t>
  </si>
  <si>
    <t>#1889</t>
  </si>
  <si>
    <t>Johnchester</t>
  </si>
  <si>
    <t>#1890</t>
  </si>
  <si>
    <t>New Brendaville</t>
  </si>
  <si>
    <t>#1891</t>
  </si>
  <si>
    <t>West Alisonstad</t>
  </si>
  <si>
    <t>#1892</t>
  </si>
  <si>
    <t>Thomas Vazquez</t>
  </si>
  <si>
    <t>West Amy</t>
  </si>
  <si>
    <t>#1893</t>
  </si>
  <si>
    <t>Martinezland</t>
  </si>
  <si>
    <t>#1894</t>
  </si>
  <si>
    <t>Davis, Alan</t>
  </si>
  <si>
    <t>#1895</t>
  </si>
  <si>
    <t>Tanya Brown</t>
  </si>
  <si>
    <t>tanya.brown516@outlook.com</t>
  </si>
  <si>
    <t>#1896</t>
  </si>
  <si>
    <t>Lake Brentland</t>
  </si>
  <si>
    <t>#1897</t>
  </si>
  <si>
    <t>Wilkersonberg</t>
  </si>
  <si>
    <t>#1898</t>
  </si>
  <si>
    <t>Westfurt</t>
  </si>
  <si>
    <t>#1899</t>
  </si>
  <si>
    <t>South Amandachester</t>
  </si>
  <si>
    <t>#1900</t>
  </si>
  <si>
    <t>Lake Seanton</t>
  </si>
  <si>
    <t>#1901</t>
  </si>
  <si>
    <t>#1902</t>
  </si>
  <si>
    <t>Robertland</t>
  </si>
  <si>
    <t>#1903</t>
  </si>
  <si>
    <t>Timothyview</t>
  </si>
  <si>
    <t>#1904</t>
  </si>
  <si>
    <t>christopher osborne</t>
  </si>
  <si>
    <t>West Adamport</t>
  </si>
  <si>
    <t>#1905</t>
  </si>
  <si>
    <t>Richardfort</t>
  </si>
  <si>
    <t>#1906</t>
  </si>
  <si>
    <t>Jacksonside</t>
  </si>
  <si>
    <t>#1907</t>
  </si>
  <si>
    <t>04-08-2026 13:57</t>
  </si>
  <si>
    <t>Batesstad</t>
  </si>
  <si>
    <t>#1908</t>
  </si>
  <si>
    <t>East Terryfurt</t>
  </si>
  <si>
    <t>#1909</t>
  </si>
  <si>
    <t>South Monica</t>
  </si>
  <si>
    <t>#1910</t>
  </si>
  <si>
    <t>$74.96</t>
  </si>
  <si>
    <t>Olsenshire</t>
  </si>
  <si>
    <t>#1911</t>
  </si>
  <si>
    <t>Veronicafort</t>
  </si>
  <si>
    <t>#1912</t>
  </si>
  <si>
    <t>Seanshire</t>
  </si>
  <si>
    <t>#1913</t>
  </si>
  <si>
    <t>North Johnview</t>
  </si>
  <si>
    <t>#1914</t>
  </si>
  <si>
    <t>Lake Ashleyton</t>
  </si>
  <si>
    <t>#1915</t>
  </si>
  <si>
    <t>george.green694@icloud.com</t>
  </si>
  <si>
    <t>West Kathryn</t>
  </si>
  <si>
    <t>#1916</t>
  </si>
  <si>
    <t>Greenbury</t>
  </si>
  <si>
    <t>#1917</t>
  </si>
  <si>
    <t>$21.18</t>
  </si>
  <si>
    <t>East Brianna</t>
  </si>
  <si>
    <t>#1918</t>
  </si>
  <si>
    <t>West Stephenton</t>
  </si>
  <si>
    <t>#1919</t>
  </si>
  <si>
    <t xml:space="preserve">  Catherine Mcgee</t>
  </si>
  <si>
    <t>catherine.mcgee63@icloud.com</t>
  </si>
  <si>
    <t>Knightmouth</t>
  </si>
  <si>
    <t>#1920</t>
  </si>
  <si>
    <t>Heather Rivers</t>
  </si>
  <si>
    <t>heather.rivers451@icloud.com</t>
  </si>
  <si>
    <t>Juanland</t>
  </si>
  <si>
    <t>#1921</t>
  </si>
  <si>
    <t>Lauren Howard</t>
  </si>
  <si>
    <t>lauren.howard163@icloud.com</t>
  </si>
  <si>
    <t>New Philip</t>
  </si>
  <si>
    <t>#1922</t>
  </si>
  <si>
    <t>$17.18</t>
  </si>
  <si>
    <t>Lake Jodi</t>
  </si>
  <si>
    <t>#1923</t>
  </si>
  <si>
    <t>Sherryfurt</t>
  </si>
  <si>
    <t>#1924</t>
  </si>
  <si>
    <t>South Stephanie</t>
  </si>
  <si>
    <t>#1925</t>
  </si>
  <si>
    <t>$19.38</t>
  </si>
  <si>
    <t>Rodriguezhaven</t>
  </si>
  <si>
    <t>#1926</t>
  </si>
  <si>
    <t>New John</t>
  </si>
  <si>
    <t>#1927</t>
  </si>
  <si>
    <t>Erinburgh</t>
  </si>
  <si>
    <t>#1928</t>
  </si>
  <si>
    <t>North Jeremyside</t>
  </si>
  <si>
    <t>#1929</t>
  </si>
  <si>
    <t>East Kelly</t>
  </si>
  <si>
    <t>#1930</t>
  </si>
  <si>
    <t>South Cheyenne</t>
  </si>
  <si>
    <t>#1931</t>
  </si>
  <si>
    <t>JANET MARTINEZ</t>
  </si>
  <si>
    <t>North Paul</t>
  </si>
  <si>
    <t>#1932</t>
  </si>
  <si>
    <t>JAIME VARGAS</t>
  </si>
  <si>
    <t>Port Douglas</t>
  </si>
  <si>
    <t>#1933</t>
  </si>
  <si>
    <t>Lake Wandaport</t>
  </si>
  <si>
    <t>#1934</t>
  </si>
  <si>
    <t>North Kristen</t>
  </si>
  <si>
    <t>#1935</t>
  </si>
  <si>
    <t>John Dunlap</t>
  </si>
  <si>
    <t>john.dunlap479@outlook.com</t>
  </si>
  <si>
    <t>Lake Sean</t>
  </si>
  <si>
    <t>#1936</t>
  </si>
  <si>
    <t>West Derekborough</t>
  </si>
  <si>
    <t>#1937</t>
  </si>
  <si>
    <t>Richard Zavala</t>
  </si>
  <si>
    <t>richard.zavala602@gmail.com</t>
  </si>
  <si>
    <t>Lake Blake</t>
  </si>
  <si>
    <t>#1938</t>
  </si>
  <si>
    <t>Rangelborough</t>
  </si>
  <si>
    <t>#1939</t>
  </si>
  <si>
    <t>Lake Joshua</t>
  </si>
  <si>
    <t>#1940</t>
  </si>
  <si>
    <t>New Chad</t>
  </si>
  <si>
    <t>#1941</t>
  </si>
  <si>
    <t>West Corystad</t>
  </si>
  <si>
    <t>#1942</t>
  </si>
  <si>
    <t>Jamie Brown</t>
  </si>
  <si>
    <t>jamie.brown582@icloud.com</t>
  </si>
  <si>
    <t>Port Lorishire</t>
  </si>
  <si>
    <t>#1943</t>
  </si>
  <si>
    <t>William Young</t>
  </si>
  <si>
    <t>william.young346@outlook.com</t>
  </si>
  <si>
    <t>LEATHER WALLET - BROWN</t>
  </si>
  <si>
    <t>Martinezmouth</t>
  </si>
  <si>
    <t>#1944</t>
  </si>
  <si>
    <t>Cruz, Matthew</t>
  </si>
  <si>
    <t>matthew.cruz992@gmail.com</t>
  </si>
  <si>
    <t>West Crystal</t>
  </si>
  <si>
    <t>#1945</t>
  </si>
  <si>
    <t>Singh, Tina</t>
  </si>
  <si>
    <t>#1946</t>
  </si>
  <si>
    <t>Backpack   25L</t>
  </si>
  <si>
    <t>North Angelamouth</t>
  </si>
  <si>
    <t>#1947</t>
  </si>
  <si>
    <t>North Raymond</t>
  </si>
  <si>
    <t>#1948</t>
  </si>
  <si>
    <t>New Jeffreystad</t>
  </si>
  <si>
    <t>#1949</t>
  </si>
  <si>
    <t>Cindyland</t>
  </si>
  <si>
    <t>#1950</t>
  </si>
  <si>
    <t>Lake Brianbury</t>
  </si>
  <si>
    <t>#1951</t>
  </si>
  <si>
    <t>Port Kathrynstad</t>
  </si>
  <si>
    <t>#1952</t>
  </si>
  <si>
    <t>Riosside</t>
  </si>
  <si>
    <t>#1953</t>
  </si>
  <si>
    <t>North Danfort</t>
  </si>
  <si>
    <t>#1954</t>
  </si>
  <si>
    <t>East Jonathanmouth</t>
  </si>
  <si>
    <t>#1955</t>
  </si>
  <si>
    <t>Tiffanyfort</t>
  </si>
  <si>
    <t>#1956</t>
  </si>
  <si>
    <t>Jacob Gibbs</t>
  </si>
  <si>
    <t>jacob.gibbs527@gmail.com</t>
  </si>
  <si>
    <t>Danielstad</t>
  </si>
  <si>
    <t>#1957</t>
  </si>
  <si>
    <t>Jacqueline Wiley</t>
  </si>
  <si>
    <t>jacqueline.wiley718@icloud.com</t>
  </si>
  <si>
    <t>Dawnmouth</t>
  </si>
  <si>
    <t>#1958</t>
  </si>
  <si>
    <t>Lake Erica</t>
  </si>
  <si>
    <t>#1959</t>
  </si>
  <si>
    <t>Reidbury</t>
  </si>
  <si>
    <t>#1960</t>
  </si>
  <si>
    <t>Debramouth</t>
  </si>
  <si>
    <t>#1961</t>
  </si>
  <si>
    <t>Brentport</t>
  </si>
  <si>
    <t>#1962</t>
  </si>
  <si>
    <t>#1963</t>
  </si>
  <si>
    <t xml:space="preserve">  Sean Frank</t>
  </si>
  <si>
    <t>New Bruce</t>
  </si>
  <si>
    <t>#1964</t>
  </si>
  <si>
    <t>New Devin</t>
  </si>
  <si>
    <t>#1965</t>
  </si>
  <si>
    <t>#1966</t>
  </si>
  <si>
    <t>GERALD LI</t>
  </si>
  <si>
    <t>Aaronview</t>
  </si>
  <si>
    <t>#1967</t>
  </si>
  <si>
    <t>Port Triciaburgh</t>
  </si>
  <si>
    <t>#1968</t>
  </si>
  <si>
    <t>West Christyview</t>
  </si>
  <si>
    <t>#1969</t>
  </si>
  <si>
    <t>South Brad</t>
  </si>
  <si>
    <t>#1970</t>
  </si>
  <si>
    <t>Bradfordbury</t>
  </si>
  <si>
    <t>#1971</t>
  </si>
  <si>
    <t>Ryanhaven</t>
  </si>
  <si>
    <t>#1972</t>
  </si>
  <si>
    <t>Timothymouth</t>
  </si>
  <si>
    <t>#1973</t>
  </si>
  <si>
    <t>Jasonfurt</t>
  </si>
  <si>
    <t>#1974</t>
  </si>
  <si>
    <t>Stephanie Miller</t>
  </si>
  <si>
    <t>stephanie.miller962@yahoo.com</t>
  </si>
  <si>
    <t>Jeremychester</t>
  </si>
  <si>
    <t>#1975</t>
  </si>
  <si>
    <t>East Christinaview</t>
  </si>
  <si>
    <t>#1976</t>
  </si>
  <si>
    <t>Christy Long</t>
  </si>
  <si>
    <t>christy.long561@yahoo.com</t>
  </si>
  <si>
    <t>Murphystad</t>
  </si>
  <si>
    <t>#1977</t>
  </si>
  <si>
    <t>Christopher Lopez</t>
  </si>
  <si>
    <t>christopher.lopez666@gmail.com</t>
  </si>
  <si>
    <t>$7.60</t>
  </si>
  <si>
    <t>West Tammy</t>
  </si>
  <si>
    <t>#1978</t>
  </si>
  <si>
    <t>#1979</t>
  </si>
  <si>
    <t>$16.78</t>
  </si>
  <si>
    <t>Karenville</t>
  </si>
  <si>
    <t>#1980</t>
  </si>
  <si>
    <t>Estradashire</t>
  </si>
  <si>
    <t>#1981</t>
  </si>
  <si>
    <t xml:space="preserve"> SAVE20 </t>
  </si>
  <si>
    <t>Davidmouth</t>
  </si>
  <si>
    <t>#1982</t>
  </si>
  <si>
    <t>Ericmouth</t>
  </si>
  <si>
    <t>#1983</t>
  </si>
  <si>
    <t>West Melissaport</t>
  </si>
  <si>
    <t>#1984</t>
  </si>
  <si>
    <t>West Stephen</t>
  </si>
  <si>
    <t>#1985</t>
  </si>
  <si>
    <t>Thompsontown</t>
  </si>
  <si>
    <t>#1986</t>
  </si>
  <si>
    <t>FACIAL CLEANSER 200ML</t>
  </si>
  <si>
    <t>Darrenchester</t>
  </si>
  <si>
    <t>#1987</t>
  </si>
  <si>
    <t>West Timothy</t>
  </si>
  <si>
    <t>#1988</t>
  </si>
  <si>
    <t>Aliciaville</t>
  </si>
  <si>
    <t>#1989</t>
  </si>
  <si>
    <t>$49.98</t>
  </si>
  <si>
    <t>North James</t>
  </si>
  <si>
    <t>#1990</t>
  </si>
  <si>
    <t>Shaffermouth</t>
  </si>
  <si>
    <t>#1991</t>
  </si>
  <si>
    <t>PAUL PRATT</t>
  </si>
  <si>
    <t>paul.pratt856@outlook.com</t>
  </si>
  <si>
    <t>Millershire</t>
  </si>
  <si>
    <t>#1992</t>
  </si>
  <si>
    <t>Megan Holmes</t>
  </si>
  <si>
    <t>megan.holmes105@yahoo.com</t>
  </si>
  <si>
    <t>Lake Brandon</t>
  </si>
  <si>
    <t>#1993</t>
  </si>
  <si>
    <t>Nelsonhaven</t>
  </si>
  <si>
    <t>#1994</t>
  </si>
  <si>
    <t>Jackson, Tara</t>
  </si>
  <si>
    <t>#1995</t>
  </si>
  <si>
    <t>Bryantview</t>
  </si>
  <si>
    <t>#1996</t>
  </si>
  <si>
    <t>Sancheztown</t>
  </si>
  <si>
    <t>#1997</t>
  </si>
  <si>
    <t>Devon Rodriguez</t>
  </si>
  <si>
    <t>Donnachester</t>
  </si>
  <si>
    <t>#1998</t>
  </si>
  <si>
    <t>North Cynthiahaven</t>
  </si>
  <si>
    <t>#1999</t>
  </si>
  <si>
    <t>Barrettbury</t>
  </si>
  <si>
    <t>#2000</t>
  </si>
  <si>
    <t>Kimberlytown</t>
  </si>
  <si>
    <t>#2001</t>
  </si>
  <si>
    <t>South Amymouth</t>
  </si>
  <si>
    <t>#2002</t>
  </si>
  <si>
    <t>Port Lance</t>
  </si>
  <si>
    <t>#2003</t>
  </si>
  <si>
    <t>Boltonberg</t>
  </si>
  <si>
    <t>#2004</t>
  </si>
  <si>
    <t>Bennetttown</t>
  </si>
  <si>
    <t>#2005</t>
  </si>
  <si>
    <t>Brian Johnson</t>
  </si>
  <si>
    <t>brian.johnson756@yahoo.com</t>
  </si>
  <si>
    <t>Russellshire</t>
  </si>
  <si>
    <t>#2006</t>
  </si>
  <si>
    <t>Hannah Lee</t>
  </si>
  <si>
    <t>hannah.lee589@icloud.com</t>
  </si>
  <si>
    <t>$38.98</t>
  </si>
  <si>
    <t>Coleport</t>
  </si>
  <si>
    <t>#2007</t>
  </si>
  <si>
    <t>Dennisfort</t>
  </si>
  <si>
    <t>#2008</t>
  </si>
  <si>
    <t>Keyburgh</t>
  </si>
  <si>
    <t>#2009</t>
  </si>
  <si>
    <t>Shawn Alexander</t>
  </si>
  <si>
    <t>shawn.alexander522@outlook.com</t>
  </si>
  <si>
    <t>Rodgersland</t>
  </si>
  <si>
    <t>#2010</t>
  </si>
  <si>
    <t>East Alicia</t>
  </si>
  <si>
    <t>#2011</t>
  </si>
  <si>
    <t>North Kimberly</t>
  </si>
  <si>
    <t>#2012</t>
  </si>
  <si>
    <t>#2013</t>
  </si>
  <si>
    <t>Kellyport</t>
  </si>
  <si>
    <t>#2014</t>
  </si>
  <si>
    <t>Juan Martin</t>
  </si>
  <si>
    <t>juan.martin929@gmail.com</t>
  </si>
  <si>
    <t>Brownmouth</t>
  </si>
  <si>
    <t>#2015</t>
  </si>
  <si>
    <t>Davisbury</t>
  </si>
  <si>
    <t>#2016</t>
  </si>
  <si>
    <t>Port Ryanmouth</t>
  </si>
  <si>
    <t>#2017</t>
  </si>
  <si>
    <t>North Edwardside</t>
  </si>
  <si>
    <t>#2018</t>
  </si>
  <si>
    <t>East Dawn</t>
  </si>
  <si>
    <t>#2019</t>
  </si>
  <si>
    <t>Angelafort</t>
  </si>
  <si>
    <t>#2020</t>
  </si>
  <si>
    <t>Lake Caitlynbury</t>
  </si>
  <si>
    <t>#2021</t>
  </si>
  <si>
    <t>JOHN CARSON</t>
  </si>
  <si>
    <t>Delgadoside</t>
  </si>
  <si>
    <t>#2022</t>
  </si>
  <si>
    <t>Allison Byrd</t>
  </si>
  <si>
    <t>allison.byrd266@yahoo.com</t>
  </si>
  <si>
    <t>Lewisland</t>
  </si>
  <si>
    <t>#2023</t>
  </si>
  <si>
    <t>Wardview</t>
  </si>
  <si>
    <t>#2024</t>
  </si>
  <si>
    <t>Robertside</t>
  </si>
  <si>
    <t>#2025</t>
  </si>
  <si>
    <t>$2.20</t>
  </si>
  <si>
    <t>East Stephenville</t>
  </si>
  <si>
    <t>#2026</t>
  </si>
  <si>
    <t>Lake Jennifer</t>
  </si>
  <si>
    <t>#2027</t>
  </si>
  <si>
    <t>sandra potter</t>
  </si>
  <si>
    <t>Port Ginaburgh</t>
  </si>
  <si>
    <t>#2028</t>
  </si>
  <si>
    <t>Sarah Smith</t>
  </si>
  <si>
    <t>sarah.smith33@icloud.com</t>
  </si>
  <si>
    <t>Mullinsbury</t>
  </si>
  <si>
    <t>#2029</t>
  </si>
  <si>
    <t>$16.23</t>
  </si>
  <si>
    <t>Emilyton</t>
  </si>
  <si>
    <t>#2030</t>
  </si>
  <si>
    <t>Alexanderville</t>
  </si>
  <si>
    <t>#2031</t>
  </si>
  <si>
    <t>Calderonton</t>
  </si>
  <si>
    <t>#2032</t>
  </si>
  <si>
    <t>West Peter</t>
  </si>
  <si>
    <t>#2033</t>
  </si>
  <si>
    <t>Annetteborough</t>
  </si>
  <si>
    <t>#2034</t>
  </si>
  <si>
    <t>Thomastown</t>
  </si>
  <si>
    <t>#2035</t>
  </si>
  <si>
    <t>South William</t>
  </si>
  <si>
    <t>#2036</t>
  </si>
  <si>
    <t>Garrisonville</t>
  </si>
  <si>
    <t>#2037</t>
  </si>
  <si>
    <t>Sotohaven</t>
  </si>
  <si>
    <t>#2038</t>
  </si>
  <si>
    <t>Donovanburgh</t>
  </si>
  <si>
    <t>#2039</t>
  </si>
  <si>
    <t>Amber Kennedy</t>
  </si>
  <si>
    <t>amber.kennedy723@icloud.com</t>
  </si>
  <si>
    <t>Joshuamouth</t>
  </si>
  <si>
    <t>#2040</t>
  </si>
  <si>
    <t>Thompsonburgh</t>
  </si>
  <si>
    <t>#2041</t>
  </si>
  <si>
    <t>Paul Pratt</t>
  </si>
  <si>
    <t>Port Alexishaven</t>
  </si>
  <si>
    <t>#2042</t>
  </si>
  <si>
    <t>North Jasmin</t>
  </si>
  <si>
    <t>#2043</t>
  </si>
  <si>
    <t>Charlesburgh</t>
  </si>
  <si>
    <t>#2044</t>
  </si>
  <si>
    <t>Juliemouth</t>
  </si>
  <si>
    <t>#2045</t>
  </si>
  <si>
    <t>Tinahaven</t>
  </si>
  <si>
    <t>#2046</t>
  </si>
  <si>
    <t>Brockville</t>
  </si>
  <si>
    <t>#2047</t>
  </si>
  <si>
    <t>Meganville</t>
  </si>
  <si>
    <t>#2048</t>
  </si>
  <si>
    <t>North Amanda</t>
  </si>
  <si>
    <t>#2049</t>
  </si>
  <si>
    <t>Grayville</t>
  </si>
  <si>
    <t>#2050</t>
  </si>
  <si>
    <t>Kylieport</t>
  </si>
  <si>
    <t>#2051</t>
  </si>
  <si>
    <t>West Melissachester</t>
  </si>
  <si>
    <t>#2052</t>
  </si>
  <si>
    <t>Toddville</t>
  </si>
  <si>
    <t>#2053</t>
  </si>
  <si>
    <t>North Anthonyville</t>
  </si>
  <si>
    <t>#2054</t>
  </si>
  <si>
    <t>Monica Hodge</t>
  </si>
  <si>
    <t>monica.hodge369@icloud.com</t>
  </si>
  <si>
    <t>Lauraberg</t>
  </si>
  <si>
    <t>#2055</t>
  </si>
  <si>
    <t>katelyn johnson</t>
  </si>
  <si>
    <t>West Michelletown</t>
  </si>
  <si>
    <t>#2056</t>
  </si>
  <si>
    <t>$59.98</t>
  </si>
  <si>
    <t>Jenniferberg</t>
  </si>
  <si>
    <t>#2057</t>
  </si>
  <si>
    <t>Monica Hicks</t>
  </si>
  <si>
    <t>$57.95</t>
  </si>
  <si>
    <t>North Jamiefort</t>
  </si>
  <si>
    <t>#2058</t>
  </si>
  <si>
    <t>South Dwayne</t>
  </si>
  <si>
    <t>#2059</t>
  </si>
  <si>
    <t>#2060</t>
  </si>
  <si>
    <t>$23.98</t>
  </si>
  <si>
    <t>Spearsmouth</t>
  </si>
  <si>
    <t>#2061</t>
  </si>
  <si>
    <t>Quinnfurt</t>
  </si>
  <si>
    <t>#2062</t>
  </si>
  <si>
    <t>South Laura</t>
  </si>
  <si>
    <t>#2063</t>
  </si>
  <si>
    <t>West Scott</t>
  </si>
  <si>
    <t>#2064</t>
  </si>
  <si>
    <t>Ericaport</t>
  </si>
  <si>
    <t>#2065</t>
  </si>
  <si>
    <t>North Maria</t>
  </si>
  <si>
    <t>#2066</t>
  </si>
  <si>
    <t>Washingtonland</t>
  </si>
  <si>
    <t>#2067</t>
  </si>
  <si>
    <t>$32.38</t>
  </si>
  <si>
    <t>East Douglas</t>
  </si>
  <si>
    <t>#2068</t>
  </si>
  <si>
    <t>Wilsonshire</t>
  </si>
  <si>
    <t>#2069</t>
  </si>
  <si>
    <t xml:space="preserve">  Jeffrey Myers</t>
  </si>
  <si>
    <t>jeffrey.myers692@icloud.com</t>
  </si>
  <si>
    <t>Freemanborough</t>
  </si>
  <si>
    <t>#2070</t>
  </si>
  <si>
    <t>#2071</t>
  </si>
  <si>
    <t>Harrisonbury</t>
  </si>
  <si>
    <t>#2072</t>
  </si>
  <si>
    <t>Lauraport</t>
  </si>
  <si>
    <t>#2073</t>
  </si>
  <si>
    <t>North Dustinborough</t>
  </si>
  <si>
    <t>#2074</t>
  </si>
  <si>
    <t>Allenport</t>
  </si>
  <si>
    <t>#2075</t>
  </si>
  <si>
    <t>North Theresaport</t>
  </si>
  <si>
    <t>#2076</t>
  </si>
  <si>
    <t>Herman, Megan</t>
  </si>
  <si>
    <t>$22.08</t>
  </si>
  <si>
    <t>#2077</t>
  </si>
  <si>
    <t>Mcguireburgh</t>
  </si>
  <si>
    <t>#2078</t>
  </si>
  <si>
    <t>daniel.hill472@outlook.com</t>
  </si>
  <si>
    <t>East Cheryl</t>
  </si>
  <si>
    <t>#2079</t>
  </si>
  <si>
    <t>Joneshaven</t>
  </si>
  <si>
    <t>#2080</t>
  </si>
  <si>
    <t>New Kimberly</t>
  </si>
  <si>
    <t>#2081</t>
  </si>
  <si>
    <t>East Dominicbury</t>
  </si>
  <si>
    <t>#2082</t>
  </si>
  <si>
    <t>Lake Karen</t>
  </si>
  <si>
    <t>#2083</t>
  </si>
  <si>
    <t>Montgomeryberg</t>
  </si>
  <si>
    <t>#2084</t>
  </si>
  <si>
    <t>Luisstad</t>
  </si>
  <si>
    <t>#2085</t>
  </si>
  <si>
    <t>Nixonmouth</t>
  </si>
  <si>
    <t>#2086</t>
  </si>
  <si>
    <t>#2087</t>
  </si>
  <si>
    <t>East Brittany</t>
  </si>
  <si>
    <t>#2088</t>
  </si>
  <si>
    <t>Taylorborough</t>
  </si>
  <si>
    <t>#2089</t>
  </si>
  <si>
    <t>North Justinberg</t>
  </si>
  <si>
    <t>#2090</t>
  </si>
  <si>
    <t>Jeffrey Myers</t>
  </si>
  <si>
    <t>Ericksonshire</t>
  </si>
  <si>
    <t>#2091</t>
  </si>
  <si>
    <t>East Matthew</t>
  </si>
  <si>
    <t>#2092</t>
  </si>
  <si>
    <t>East Cynthiaville</t>
  </si>
  <si>
    <t>#2093</t>
  </si>
  <si>
    <t>Shannonhaven</t>
  </si>
  <si>
    <t>#2094</t>
  </si>
  <si>
    <t>Rebeccastad</t>
  </si>
  <si>
    <t>#2095</t>
  </si>
  <si>
    <t>Douglasberg</t>
  </si>
  <si>
    <t>#2096</t>
  </si>
  <si>
    <t>Bryan, Cynthia</t>
  </si>
  <si>
    <t>cynthia.bryan502@icloud.com</t>
  </si>
  <si>
    <t>Hendersonville</t>
  </si>
  <si>
    <t>#2097</t>
  </si>
  <si>
    <t>North Tommy</t>
  </si>
  <si>
    <t>#2098</t>
  </si>
  <si>
    <t>Port Amberberg</t>
  </si>
  <si>
    <t>#2099</t>
  </si>
  <si>
    <t>Julie Terrell</t>
  </si>
  <si>
    <t>julie.terrell409@icloud.com</t>
  </si>
  <si>
    <t>North Janice</t>
  </si>
  <si>
    <t>#2100</t>
  </si>
  <si>
    <t>Benjaminstad</t>
  </si>
  <si>
    <t>#2101</t>
  </si>
  <si>
    <t>Catherine Mcgee</t>
  </si>
  <si>
    <t>Port Jeremyland</t>
  </si>
  <si>
    <t>#2102</t>
  </si>
  <si>
    <t>Diana Romero</t>
  </si>
  <si>
    <t>diana.romero386@outlook.com</t>
  </si>
  <si>
    <t>Coleburgh</t>
  </si>
  <si>
    <t>#2103</t>
  </si>
  <si>
    <t>Jonestown</t>
  </si>
  <si>
    <t>#2104</t>
  </si>
  <si>
    <t>East Jamesside</t>
  </si>
  <si>
    <t>#2105</t>
  </si>
  <si>
    <t>Sandersport</t>
  </si>
  <si>
    <t>#2106</t>
  </si>
  <si>
    <t>Port Danielland</t>
  </si>
  <si>
    <t>#2107</t>
  </si>
  <si>
    <t>West Lauren</t>
  </si>
  <si>
    <t>#2108</t>
  </si>
  <si>
    <t>Mooreshire</t>
  </si>
  <si>
    <t>#2109</t>
  </si>
  <si>
    <t>Stephenview</t>
  </si>
  <si>
    <t>#2110</t>
  </si>
  <si>
    <t>West Lesliefurt</t>
  </si>
  <si>
    <t>#2111</t>
  </si>
  <si>
    <t>Johnsonfurt</t>
  </si>
  <si>
    <t>#2112</t>
  </si>
  <si>
    <t>East Brandon</t>
  </si>
  <si>
    <t>#2113</t>
  </si>
  <si>
    <t>Lisachester</t>
  </si>
  <si>
    <t>#2114</t>
  </si>
  <si>
    <t>Pittshaven</t>
  </si>
  <si>
    <t>#2115</t>
  </si>
  <si>
    <t>Huffmanhaven</t>
  </si>
  <si>
    <t>#2116</t>
  </si>
  <si>
    <t>South Megantown</t>
  </si>
  <si>
    <t>#2117</t>
  </si>
  <si>
    <t>Murray, Cody</t>
  </si>
  <si>
    <t>East Nicholasshire</t>
  </si>
  <si>
    <t>#2118</t>
  </si>
  <si>
    <t>East Robertmouth</t>
  </si>
  <si>
    <t>#2119</t>
  </si>
  <si>
    <t>Savagefurt</t>
  </si>
  <si>
    <t>#2120</t>
  </si>
  <si>
    <t>Mitchellshire</t>
  </si>
  <si>
    <t>#2121</t>
  </si>
  <si>
    <t>Mcculloughfurt</t>
  </si>
  <si>
    <t>#2122</t>
  </si>
  <si>
    <t>Courtneystad</t>
  </si>
  <si>
    <t>#2123</t>
  </si>
  <si>
    <t>$4.75</t>
  </si>
  <si>
    <t>Santanaport</t>
  </si>
  <si>
    <t>#2124</t>
  </si>
  <si>
    <t>Andreahaven</t>
  </si>
  <si>
    <t>#2125</t>
  </si>
  <si>
    <t>Cummingsburgh</t>
  </si>
  <si>
    <t>#2126</t>
  </si>
  <si>
    <t>Kelseyland</t>
  </si>
  <si>
    <t>#2127</t>
  </si>
  <si>
    <t>West Stephanieberg</t>
  </si>
  <si>
    <t>#2128</t>
  </si>
  <si>
    <t>YOGA MAT - EXTRA THICK</t>
  </si>
  <si>
    <t>Adamsshire</t>
  </si>
  <si>
    <t>#2129</t>
  </si>
  <si>
    <t>East Regina</t>
  </si>
  <si>
    <t>#2130</t>
  </si>
  <si>
    <t>West Jeffreystad</t>
  </si>
  <si>
    <t>#2131</t>
  </si>
  <si>
    <t>New Cynthia</t>
  </si>
  <si>
    <t>#2132</t>
  </si>
  <si>
    <t>New Troy</t>
  </si>
  <si>
    <t>#2133</t>
  </si>
  <si>
    <t>David Pierce</t>
  </si>
  <si>
    <t>david.pierce107@outlook.com</t>
  </si>
  <si>
    <t>West Randy</t>
  </si>
  <si>
    <t>#2134</t>
  </si>
  <si>
    <t>North Samantha</t>
  </si>
  <si>
    <t>#2135</t>
  </si>
  <si>
    <t>East Julian</t>
  </si>
  <si>
    <t>#2136</t>
  </si>
  <si>
    <t>Campbellport</t>
  </si>
  <si>
    <t>#2137</t>
  </si>
  <si>
    <t>Hornstad</t>
  </si>
  <si>
    <t>#2138</t>
  </si>
  <si>
    <t>West Lucastown</t>
  </si>
  <si>
    <t>#2139</t>
  </si>
  <si>
    <t>North Anneton</t>
  </si>
  <si>
    <t>#2140</t>
  </si>
  <si>
    <t>Petersberg</t>
  </si>
  <si>
    <t>#2141</t>
  </si>
  <si>
    <t>$34.97</t>
  </si>
  <si>
    <t>West Laurahaven</t>
  </si>
  <si>
    <t>#2142</t>
  </si>
  <si>
    <t>Heatherbury</t>
  </si>
  <si>
    <t>#2143</t>
  </si>
  <si>
    <t>$109.98</t>
  </si>
  <si>
    <t>Sanchezmouth</t>
  </si>
  <si>
    <t>#2144</t>
  </si>
  <si>
    <t>East Margaret</t>
  </si>
  <si>
    <t>#2145</t>
  </si>
  <si>
    <t>Freemanville</t>
  </si>
  <si>
    <t>#2146</t>
  </si>
  <si>
    <t>Nancy Nichols</t>
  </si>
  <si>
    <t>#2147</t>
  </si>
  <si>
    <t>East Reneeborough</t>
  </si>
  <si>
    <t>#2148</t>
  </si>
  <si>
    <t xml:space="preserve">  Jane Gregory</t>
  </si>
  <si>
    <t>Lake Cynthia</t>
  </si>
  <si>
    <t>#2149</t>
  </si>
  <si>
    <t>Hillmouth</t>
  </si>
  <si>
    <t>#2150</t>
  </si>
  <si>
    <t>USB C Fast Charger 20W</t>
  </si>
  <si>
    <t>East Kimberlyborough</t>
  </si>
  <si>
    <t>#2151</t>
  </si>
  <si>
    <t>Marcus Sloan</t>
  </si>
  <si>
    <t>marcus.sloan49@icloud.com</t>
  </si>
  <si>
    <t>Woodardton</t>
  </si>
  <si>
    <t>#2152</t>
  </si>
  <si>
    <t>Jasonchester</t>
  </si>
  <si>
    <t>#2153</t>
  </si>
  <si>
    <t>#2154</t>
  </si>
  <si>
    <t>Christymouth</t>
  </si>
  <si>
    <t>#2155</t>
  </si>
  <si>
    <t>New Annamouth</t>
  </si>
  <si>
    <t>#2156</t>
  </si>
  <si>
    <t>East Melissastad</t>
  </si>
  <si>
    <t>#2157</t>
  </si>
  <si>
    <t>East James</t>
  </si>
  <si>
    <t>#2158</t>
  </si>
  <si>
    <t>Eric Bailey</t>
  </si>
  <si>
    <t>eric.bailey970@yahoo.com</t>
  </si>
  <si>
    <t>Lake Charles</t>
  </si>
  <si>
    <t>#2159</t>
  </si>
  <si>
    <t>Lake Jameston</t>
  </si>
  <si>
    <t>#2160</t>
  </si>
  <si>
    <t>West Angelafurt</t>
  </si>
  <si>
    <t>#2161</t>
  </si>
  <si>
    <t>Victoria Wilson</t>
  </si>
  <si>
    <t>victoria.wilson114@gmail.com</t>
  </si>
  <si>
    <t>Non Stick Frying Pan 10in</t>
  </si>
  <si>
    <t>West Austin</t>
  </si>
  <si>
    <t>#2162</t>
  </si>
  <si>
    <t>Joditon</t>
  </si>
  <si>
    <t>#2163</t>
  </si>
  <si>
    <t>Kimhaven</t>
  </si>
  <si>
    <t>#2164</t>
  </si>
  <si>
    <t>Smithmouth</t>
  </si>
  <si>
    <t>#2165</t>
  </si>
  <si>
    <t>#2166</t>
  </si>
  <si>
    <t>South Christy</t>
  </si>
  <si>
    <t>#2167</t>
  </si>
  <si>
    <t>Salasfurt</t>
  </si>
  <si>
    <t>#2168</t>
  </si>
  <si>
    <t>Gailmouth</t>
  </si>
  <si>
    <t>#2169</t>
  </si>
  <si>
    <t>West Emilyview</t>
  </si>
  <si>
    <t>#2170</t>
  </si>
  <si>
    <t>Thompsonbury</t>
  </si>
  <si>
    <t>#2171</t>
  </si>
  <si>
    <t>West Steven</t>
  </si>
  <si>
    <t>#2172</t>
  </si>
  <si>
    <t>Bushberg</t>
  </si>
  <si>
    <t>#2173</t>
  </si>
  <si>
    <t>Courtney Bullock</t>
  </si>
  <si>
    <t>courtney.bullock860@outlook.com</t>
  </si>
  <si>
    <t>Tracyshire</t>
  </si>
  <si>
    <t>#2174</t>
  </si>
  <si>
    <t>Port Devinstad</t>
  </si>
  <si>
    <t>#2175</t>
  </si>
  <si>
    <t>Welchberg</t>
  </si>
  <si>
    <t>#2176</t>
  </si>
  <si>
    <t>joseph martin</t>
  </si>
  <si>
    <t>North Patrickbury</t>
  </si>
  <si>
    <t>#2177</t>
  </si>
  <si>
    <t>Clarkeland</t>
  </si>
  <si>
    <t>#2178</t>
  </si>
  <si>
    <t>Jasmineland</t>
  </si>
  <si>
    <t>#2179</t>
  </si>
  <si>
    <t>Danielsview</t>
  </si>
  <si>
    <t>#2180</t>
  </si>
  <si>
    <t>Taylorshire</t>
  </si>
  <si>
    <t>#2181</t>
  </si>
  <si>
    <t>VICKI JOHNSON</t>
  </si>
  <si>
    <t>Calvinfurt</t>
  </si>
  <si>
    <t>#2182</t>
  </si>
  <si>
    <t>Joshuachester</t>
  </si>
  <si>
    <t>#2183</t>
  </si>
  <si>
    <t>East Lesliefort</t>
  </si>
  <si>
    <t>#2184</t>
  </si>
  <si>
    <t>AMANDA ROBINSON</t>
  </si>
  <si>
    <t>New Jameschester</t>
  </si>
  <si>
    <t>#2185</t>
  </si>
  <si>
    <t>Johnmouth</t>
  </si>
  <si>
    <t>#2186</t>
  </si>
  <si>
    <t>Sullivanmouth</t>
  </si>
  <si>
    <t>#2187</t>
  </si>
  <si>
    <t>Tiffany Jones</t>
  </si>
  <si>
    <t>tiffany.jones564@outlook.com</t>
  </si>
  <si>
    <t>Oliviatown</t>
  </si>
  <si>
    <t>#2188</t>
  </si>
  <si>
    <t>Rodriguezbury</t>
  </si>
  <si>
    <t>#2189</t>
  </si>
  <si>
    <t>Adam Johnson</t>
  </si>
  <si>
    <t>adam.johnson932@outlook.com</t>
  </si>
  <si>
    <t>ADJUSTABLE DUMBBELL SET</t>
  </si>
  <si>
    <t>East Justinstad</t>
  </si>
  <si>
    <t>#2190</t>
  </si>
  <si>
    <t>marie rose</t>
  </si>
  <si>
    <t>marie.rose93@gmail.com</t>
  </si>
  <si>
    <t>Shannonfort</t>
  </si>
  <si>
    <t>#2191</t>
  </si>
  <si>
    <t>$74.77</t>
  </si>
  <si>
    <t>Lake Mariaberg</t>
  </si>
  <si>
    <t>#2192</t>
  </si>
  <si>
    <t>New Franciscoberg</t>
  </si>
  <si>
    <t>#2193</t>
  </si>
  <si>
    <t>$4.20</t>
  </si>
  <si>
    <t>Christinastad</t>
  </si>
  <si>
    <t>#2194</t>
  </si>
  <si>
    <t>Tracy Kennedy</t>
  </si>
  <si>
    <t>tracy.kennedy796@outlook.com</t>
  </si>
  <si>
    <t>$45.98</t>
  </si>
  <si>
    <t>Caseyfurt</t>
  </si>
  <si>
    <t>#2195</t>
  </si>
  <si>
    <t>Port Emilyfort</t>
  </si>
  <si>
    <t>#2196</t>
  </si>
  <si>
    <t>anthony.vaughn72@gmail.com</t>
  </si>
  <si>
    <t>Lake Karenchester</t>
  </si>
  <si>
    <t>#2197</t>
  </si>
  <si>
    <t>East Patrick</t>
  </si>
  <si>
    <t>#2198</t>
  </si>
  <si>
    <t>Gloriafurt</t>
  </si>
  <si>
    <t>#2199</t>
  </si>
  <si>
    <t>#2200</t>
  </si>
  <si>
    <t>#2201</t>
  </si>
  <si>
    <t>Rachel Colon</t>
  </si>
  <si>
    <t>$34.68</t>
  </si>
  <si>
    <t>#2202</t>
  </si>
  <si>
    <t>New Jerry</t>
  </si>
  <si>
    <t>#2203</t>
  </si>
  <si>
    <t>Lake Jillianfurt</t>
  </si>
  <si>
    <t>#2204</t>
  </si>
  <si>
    <t xml:space="preserve">Yoga Mat - Extra Thick  </t>
  </si>
  <si>
    <t>West Ericport</t>
  </si>
  <si>
    <t>#2205</t>
  </si>
  <si>
    <t>New Thomaston</t>
  </si>
  <si>
    <t>#2206</t>
  </si>
  <si>
    <t>Fernandezbury</t>
  </si>
  <si>
    <t>#2207</t>
  </si>
  <si>
    <t>Jefferyberg</t>
  </si>
  <si>
    <t>#2208</t>
  </si>
  <si>
    <t>Lake Gina</t>
  </si>
  <si>
    <t>#2209</t>
  </si>
  <si>
    <t>Markfort</t>
  </si>
  <si>
    <t>#2210</t>
  </si>
  <si>
    <t>Port Thomasville</t>
  </si>
  <si>
    <t>#2211</t>
  </si>
  <si>
    <t>$39.98</t>
  </si>
  <si>
    <t>West Gregoryborough</t>
  </si>
  <si>
    <t>#2212</t>
  </si>
  <si>
    <t xml:space="preserve">  Anthony Patterson</t>
  </si>
  <si>
    <t>#2213</t>
  </si>
  <si>
    <t>Bradshawshire</t>
  </si>
  <si>
    <t>#2214</t>
  </si>
  <si>
    <t>Kimberly Williams</t>
  </si>
  <si>
    <t>kimberly.williams555@outlook.com</t>
  </si>
  <si>
    <t>New Erin</t>
  </si>
  <si>
    <t>#2215</t>
  </si>
  <si>
    <t>Margaret Conley</t>
  </si>
  <si>
    <t>margaret.conley327@icloud.com</t>
  </si>
  <si>
    <t>Lake Andrewstad</t>
  </si>
  <si>
    <t>#2216</t>
  </si>
  <si>
    <t>Laurenchester</t>
  </si>
  <si>
    <t>#2217</t>
  </si>
  <si>
    <t>#2218</t>
  </si>
  <si>
    <t>melissa.jones297@yahoo.com</t>
  </si>
  <si>
    <t>Haydenton</t>
  </si>
  <si>
    <t>#2219</t>
  </si>
  <si>
    <t>North Nicholas</t>
  </si>
  <si>
    <t>#2220</t>
  </si>
  <si>
    <t>East Williamport</t>
  </si>
  <si>
    <t>#2221</t>
  </si>
  <si>
    <t>East Karen</t>
  </si>
  <si>
    <t>#2222</t>
  </si>
  <si>
    <t>Tiffanyborough</t>
  </si>
  <si>
    <t>#2223</t>
  </si>
  <si>
    <t>West Angela</t>
  </si>
  <si>
    <t>#2224</t>
  </si>
  <si>
    <t>East Jennifer</t>
  </si>
  <si>
    <t>#2225</t>
  </si>
  <si>
    <t>#2226</t>
  </si>
  <si>
    <t>Elizabethside</t>
  </si>
  <si>
    <t>#2227</t>
  </si>
  <si>
    <t>Lake Wendyshire</t>
  </si>
  <si>
    <t>#2228</t>
  </si>
  <si>
    <t>#2229</t>
  </si>
  <si>
    <t>Diane Harper</t>
  </si>
  <si>
    <t>diane.harper925@gmail.com</t>
  </si>
  <si>
    <t>North Jennifer</t>
  </si>
  <si>
    <t>#2230</t>
  </si>
  <si>
    <t>South Chadside</t>
  </si>
  <si>
    <t>#2231</t>
  </si>
  <si>
    <t>Ingram, Jose</t>
  </si>
  <si>
    <t>Daniellefort</t>
  </si>
  <si>
    <t>#2232</t>
  </si>
  <si>
    <t>$12.49</t>
  </si>
  <si>
    <t>Port Michele</t>
  </si>
  <si>
    <t>#2233</t>
  </si>
  <si>
    <t>Port Scottfurt</t>
  </si>
  <si>
    <t>#2234</t>
  </si>
  <si>
    <t>Pettytown</t>
  </si>
  <si>
    <t>#2235</t>
  </si>
  <si>
    <t>Lindastad</t>
  </si>
  <si>
    <t>#2236</t>
  </si>
  <si>
    <t>Katrinastad</t>
  </si>
  <si>
    <t>#2237</t>
  </si>
  <si>
    <t>Port Stephanieview</t>
  </si>
  <si>
    <t>#2238</t>
  </si>
  <si>
    <t>Rossmouth</t>
  </si>
  <si>
    <t>#2239</t>
  </si>
  <si>
    <t>Popeberg</t>
  </si>
  <si>
    <t>#2240</t>
  </si>
  <si>
    <t>Rose English</t>
  </si>
  <si>
    <t>North Lisa</t>
  </si>
  <si>
    <t>#2241</t>
  </si>
  <si>
    <t>South Thomas</t>
  </si>
  <si>
    <t>#2242</t>
  </si>
  <si>
    <t>Bishopland</t>
  </si>
  <si>
    <t>#2243</t>
  </si>
  <si>
    <t>New Williamhaven</t>
  </si>
  <si>
    <t>#2244</t>
  </si>
  <si>
    <t>Nicholsberg</t>
  </si>
  <si>
    <t>#2245</t>
  </si>
  <si>
    <t>North Pamela</t>
  </si>
  <si>
    <t>#2246</t>
  </si>
  <si>
    <t>$21.98</t>
  </si>
  <si>
    <t>Hernandezhaven</t>
  </si>
  <si>
    <t>#2247</t>
  </si>
  <si>
    <t>Walkershire</t>
  </si>
  <si>
    <t>#2248</t>
  </si>
  <si>
    <t>Abbottchester</t>
  </si>
  <si>
    <t>#2249</t>
  </si>
  <si>
    <t>Port Alexander</t>
  </si>
  <si>
    <t>#2250</t>
  </si>
  <si>
    <t>East Michelle</t>
  </si>
  <si>
    <t>#2251</t>
  </si>
  <si>
    <t>East Patriciaborough</t>
  </si>
  <si>
    <t>#2252</t>
  </si>
  <si>
    <t>#2253</t>
  </si>
  <si>
    <t>Amychester</t>
  </si>
  <si>
    <t>#2254</t>
  </si>
  <si>
    <t>Misty Martin</t>
  </si>
  <si>
    <t>misty.martin667@gmail.com</t>
  </si>
  <si>
    <t>Jimeneztown</t>
  </si>
  <si>
    <t>#2255</t>
  </si>
  <si>
    <t>East Tammybury</t>
  </si>
  <si>
    <t>#2256</t>
  </si>
  <si>
    <t>Port Rodney</t>
  </si>
  <si>
    <t>#2257</t>
  </si>
  <si>
    <t>Romeroview</t>
  </si>
  <si>
    <t>#2258</t>
  </si>
  <si>
    <t>$18.16</t>
  </si>
  <si>
    <t>West Shawna</t>
  </si>
  <si>
    <t>#2259</t>
  </si>
  <si>
    <t>Karen Lewis</t>
  </si>
  <si>
    <t>karen.lewis137@icloud.com</t>
  </si>
  <si>
    <t>Port Tylerstad</t>
  </si>
  <si>
    <t>#2260</t>
  </si>
  <si>
    <t xml:space="preserve">  Stacey Johnson</t>
  </si>
  <si>
    <t>Simonchester</t>
  </si>
  <si>
    <t>#2261</t>
  </si>
  <si>
    <t>East Lisaland</t>
  </si>
  <si>
    <t>#2262</t>
  </si>
  <si>
    <t>#2263</t>
  </si>
  <si>
    <t>Joeview</t>
  </si>
  <si>
    <t>#2264</t>
  </si>
  <si>
    <t>Richardsonview</t>
  </si>
  <si>
    <t>#2265</t>
  </si>
  <si>
    <t>North Allisonville</t>
  </si>
  <si>
    <t>#2266</t>
  </si>
  <si>
    <t>New Richardhaven</t>
  </si>
  <si>
    <t>#2267</t>
  </si>
  <si>
    <t>Port Megan</t>
  </si>
  <si>
    <t>#2268</t>
  </si>
  <si>
    <t>Jeremy Hicks</t>
  </si>
  <si>
    <t>jeremy.hicks984@yahoo.com</t>
  </si>
  <si>
    <t>Port Patrickton</t>
  </si>
  <si>
    <t>#2269</t>
  </si>
  <si>
    <t>Lake Elizabethside</t>
  </si>
  <si>
    <t>#2270</t>
  </si>
  <si>
    <t>Mcdonaldfurt</t>
  </si>
  <si>
    <t>#2271</t>
  </si>
  <si>
    <t>Chelseatown</t>
  </si>
  <si>
    <t>#2272</t>
  </si>
  <si>
    <t>North Kevinville</t>
  </si>
  <si>
    <t>#2273</t>
  </si>
  <si>
    <t>Wrighttown</t>
  </si>
  <si>
    <t>#2274</t>
  </si>
  <si>
    <t>STAINLESS STEEL WATER BOTTLE</t>
  </si>
  <si>
    <t>#2275</t>
  </si>
  <si>
    <t>East Patriciahaven</t>
  </si>
  <si>
    <t>#2276</t>
  </si>
  <si>
    <t>North Katherine</t>
  </si>
  <si>
    <t>#2277</t>
  </si>
  <si>
    <t>Alextown</t>
  </si>
  <si>
    <t>#2278</t>
  </si>
  <si>
    <t>Howardmouth</t>
  </si>
  <si>
    <t>#2279</t>
  </si>
  <si>
    <t>New Angela</t>
  </si>
  <si>
    <t>#2280</t>
  </si>
  <si>
    <t>East Peggyport</t>
  </si>
  <si>
    <t>#2281</t>
  </si>
  <si>
    <t>New Charlesport</t>
  </si>
  <si>
    <t>#2282</t>
  </si>
  <si>
    <t>$1.80</t>
  </si>
  <si>
    <t>East Wesleyberg</t>
  </si>
  <si>
    <t>#2283</t>
  </si>
  <si>
    <t>$59.95</t>
  </si>
  <si>
    <t>New Ann</t>
  </si>
  <si>
    <t>#2284</t>
  </si>
  <si>
    <t>Simonton</t>
  </si>
  <si>
    <t>#2285</t>
  </si>
  <si>
    <t>$2.40</t>
  </si>
  <si>
    <t>Hodgechester</t>
  </si>
  <si>
    <t>#2286</t>
  </si>
  <si>
    <t>Kathrynshire</t>
  </si>
  <si>
    <t>#2287</t>
  </si>
  <si>
    <t>Barbaraland</t>
  </si>
  <si>
    <t>#2288</t>
  </si>
  <si>
    <t>Stevensberg</t>
  </si>
  <si>
    <t>#2289</t>
  </si>
  <si>
    <t>West Donald</t>
  </si>
  <si>
    <t>#2290</t>
  </si>
  <si>
    <t>Mariatown</t>
  </si>
  <si>
    <t>#2291</t>
  </si>
  <si>
    <t>Christopherland</t>
  </si>
  <si>
    <t>#2292</t>
  </si>
  <si>
    <t>DANIELLE THORNTON</t>
  </si>
  <si>
    <t>danielle.thornton674@icloud.com</t>
  </si>
  <si>
    <t>Christophershire</t>
  </si>
  <si>
    <t>#2293</t>
  </si>
  <si>
    <t>New Danielle</t>
  </si>
  <si>
    <t>#2294</t>
  </si>
  <si>
    <t>Port Brentton</t>
  </si>
  <si>
    <t>#2295</t>
  </si>
  <si>
    <t>MICHELE DAVIS</t>
  </si>
  <si>
    <t>North April</t>
  </si>
  <si>
    <t>#2296</t>
  </si>
  <si>
    <t>Ashleyborough</t>
  </si>
  <si>
    <t>#2297</t>
  </si>
  <si>
    <t>East Sandra</t>
  </si>
  <si>
    <t>#2298</t>
  </si>
  <si>
    <t>New Bradley</t>
  </si>
  <si>
    <t>#2299</t>
  </si>
  <si>
    <t>Port Alejandrohaven</t>
  </si>
  <si>
    <t>#2300</t>
  </si>
  <si>
    <t>Bestview</t>
  </si>
  <si>
    <t>#2301</t>
  </si>
  <si>
    <t>Stanleyside</t>
  </si>
  <si>
    <t>#2302</t>
  </si>
  <si>
    <t>North Angela</t>
  </si>
  <si>
    <t>#2303</t>
  </si>
  <si>
    <t>Port Traceyton</t>
  </si>
  <si>
    <t>#2304</t>
  </si>
  <si>
    <t>Michealtown</t>
  </si>
  <si>
    <t>#2305</t>
  </si>
  <si>
    <t>Johnsonmouth</t>
  </si>
  <si>
    <t>#2306</t>
  </si>
  <si>
    <t>Kimberly Estrada</t>
  </si>
  <si>
    <t>kimberly.estrada858@gmail.com</t>
  </si>
  <si>
    <t>Grimesport</t>
  </si>
  <si>
    <t>#2307</t>
  </si>
  <si>
    <t>Jennifershire</t>
  </si>
  <si>
    <t>#2308</t>
  </si>
  <si>
    <t>Joseborough</t>
  </si>
  <si>
    <t>#2309</t>
  </si>
  <si>
    <t>Andresmouth</t>
  </si>
  <si>
    <t>#2310</t>
  </si>
  <si>
    <t>Harrischester</t>
  </si>
  <si>
    <t>#2311</t>
  </si>
  <si>
    <t>Jenniferfurt</t>
  </si>
  <si>
    <t>#2312</t>
  </si>
  <si>
    <t>Velezshire</t>
  </si>
  <si>
    <t>#2313</t>
  </si>
  <si>
    <t>South Anthony</t>
  </si>
  <si>
    <t>#2314</t>
  </si>
  <si>
    <t>darin alvarez</t>
  </si>
  <si>
    <t>Port Russellstad</t>
  </si>
  <si>
    <t>#2315</t>
  </si>
  <si>
    <t>#2316</t>
  </si>
  <si>
    <t>West Jesseside</t>
  </si>
  <si>
    <t>#2317</t>
  </si>
  <si>
    <t>Katherineborough</t>
  </si>
  <si>
    <t>#2318</t>
  </si>
  <si>
    <t>South Michealfort</t>
  </si>
  <si>
    <t>#2319</t>
  </si>
  <si>
    <t>$27.98</t>
  </si>
  <si>
    <t>Andreastad</t>
  </si>
  <si>
    <t>#2320</t>
  </si>
  <si>
    <t>Yangburgh</t>
  </si>
  <si>
    <t>#2321</t>
  </si>
  <si>
    <t>New Keith</t>
  </si>
  <si>
    <t>#2322</t>
  </si>
  <si>
    <t>Scottfort</t>
  </si>
  <si>
    <t>#2323</t>
  </si>
  <si>
    <t>Edwardside</t>
  </si>
  <si>
    <t>#2324</t>
  </si>
  <si>
    <t>Lake Steven</t>
  </si>
  <si>
    <t>#2325</t>
  </si>
  <si>
    <t>West Cole</t>
  </si>
  <si>
    <t>#2326</t>
  </si>
  <si>
    <t>New Darius</t>
  </si>
  <si>
    <t>#2327</t>
  </si>
  <si>
    <t>Lake Yolandatown</t>
  </si>
  <si>
    <t>#2328</t>
  </si>
  <si>
    <t>$30.48</t>
  </si>
  <si>
    <t>South Holly</t>
  </si>
  <si>
    <t>#2329</t>
  </si>
  <si>
    <t>#2330</t>
  </si>
  <si>
    <t>Rossland</t>
  </si>
  <si>
    <t>#2331</t>
  </si>
  <si>
    <t>East Rhonda</t>
  </si>
  <si>
    <t>#2332</t>
  </si>
  <si>
    <t>Robert Clark</t>
  </si>
  <si>
    <t>robert.clark185@icloud.com</t>
  </si>
  <si>
    <t>Garciaborough</t>
  </si>
  <si>
    <t>#2333</t>
  </si>
  <si>
    <t>Lake Jasmine</t>
  </si>
  <si>
    <t>#2334</t>
  </si>
  <si>
    <t>Lake Claudiastad</t>
  </si>
  <si>
    <t>#2335</t>
  </si>
  <si>
    <t>Rileyborough</t>
  </si>
  <si>
    <t>#2336</t>
  </si>
  <si>
    <t>Lake Josephborough</t>
  </si>
  <si>
    <t>#2337</t>
  </si>
  <si>
    <t>Jennifer Willis</t>
  </si>
  <si>
    <t>North Nicolefurt</t>
  </si>
  <si>
    <t>#2338</t>
  </si>
  <si>
    <t>East Donaldfort</t>
  </si>
  <si>
    <t>#2339</t>
  </si>
  <si>
    <t>Elizabethville</t>
  </si>
  <si>
    <t>#2340</t>
  </si>
  <si>
    <t>Joshua Ayers</t>
  </si>
  <si>
    <t>joshua.ayers935@yahoo.com</t>
  </si>
  <si>
    <t>South Loganbury</t>
  </si>
  <si>
    <t>#2341</t>
  </si>
  <si>
    <t>#2342</t>
  </si>
  <si>
    <t>West Paulamouth</t>
  </si>
  <si>
    <t>#2343</t>
  </si>
  <si>
    <t>Rasmussenbury</t>
  </si>
  <si>
    <t>#2344</t>
  </si>
  <si>
    <t>#2345</t>
  </si>
  <si>
    <t>South Erik</t>
  </si>
  <si>
    <t>#2346</t>
  </si>
  <si>
    <t>Maldonado, Timothy</t>
  </si>
  <si>
    <t>West Jamie</t>
  </si>
  <si>
    <t>#2347</t>
  </si>
  <si>
    <t>Andersonstad</t>
  </si>
  <si>
    <t>#2348</t>
  </si>
  <si>
    <t>Susanbury</t>
  </si>
  <si>
    <t>#2349</t>
  </si>
  <si>
    <t>Nealtown</t>
  </si>
  <si>
    <t>#2350</t>
  </si>
  <si>
    <t>Silvaside</t>
  </si>
  <si>
    <t>#2351</t>
  </si>
  <si>
    <t>$1.00</t>
  </si>
  <si>
    <t>Lisaton</t>
  </si>
  <si>
    <t>#2352</t>
  </si>
  <si>
    <t>Ianberg</t>
  </si>
  <si>
    <t>#2353</t>
  </si>
  <si>
    <t>East Desiree</t>
  </si>
  <si>
    <t>#2354</t>
  </si>
  <si>
    <t>Racheltown</t>
  </si>
  <si>
    <t>#2355</t>
  </si>
  <si>
    <t>Thomas Hall</t>
  </si>
  <si>
    <t>thomas.hall134@gmail.com</t>
  </si>
  <si>
    <t>$20.28</t>
  </si>
  <si>
    <t>Wilsonborough</t>
  </si>
  <si>
    <t>#2356</t>
  </si>
  <si>
    <t>Joanne Perez</t>
  </si>
  <si>
    <t>joanne.perez120@gmail.com</t>
  </si>
  <si>
    <t>South Tammieborough</t>
  </si>
  <si>
    <t>#2357</t>
  </si>
  <si>
    <t>Frederickbury</t>
  </si>
  <si>
    <t>#2358</t>
  </si>
  <si>
    <t>Robert Ramsey</t>
  </si>
  <si>
    <t>robert.ramsey440@outlook.com</t>
  </si>
  <si>
    <t>Robinsonton</t>
  </si>
  <si>
    <t>#2359</t>
  </si>
  <si>
    <t>Paul Hopkins</t>
  </si>
  <si>
    <t>paul.hopkins457@yahoo.com</t>
  </si>
  <si>
    <t>#2360</t>
  </si>
  <si>
    <t>Wesleymouth</t>
  </si>
  <si>
    <t>#2361</t>
  </si>
  <si>
    <t>New Steven</t>
  </si>
  <si>
    <t>#2362</t>
  </si>
  <si>
    <t>West Beth</t>
  </si>
  <si>
    <t>#2363</t>
  </si>
  <si>
    <t>Rebeccaton</t>
  </si>
  <si>
    <t>#2364</t>
  </si>
  <si>
    <t>New Alyssa</t>
  </si>
  <si>
    <t>#2365</t>
  </si>
  <si>
    <t>Lake Charlesview</t>
  </si>
  <si>
    <t>#2366</t>
  </si>
  <si>
    <t>Lake Amanda</t>
  </si>
  <si>
    <t>#2367</t>
  </si>
  <si>
    <t>CATHERINE VANG</t>
  </si>
  <si>
    <t>catherine.vang600@yahoo.com</t>
  </si>
  <si>
    <t>Brittneychester</t>
  </si>
  <si>
    <t>#2368</t>
  </si>
  <si>
    <t>South Marciafurt</t>
  </si>
  <si>
    <t>#2369</t>
  </si>
  <si>
    <t>#2370</t>
  </si>
  <si>
    <t>East Jamesshire</t>
  </si>
  <si>
    <t>#2371</t>
  </si>
  <si>
    <t>North Nicholasport</t>
  </si>
  <si>
    <t>#2372</t>
  </si>
  <si>
    <t>Lisa Cook</t>
  </si>
  <si>
    <t>lisa.cook622@gmail.com</t>
  </si>
  <si>
    <t>#2373</t>
  </si>
  <si>
    <t>#2374</t>
  </si>
  <si>
    <t>$34.32</t>
  </si>
  <si>
    <t>New Jacqueline</t>
  </si>
  <si>
    <t>#2375</t>
  </si>
  <si>
    <t>#2376</t>
  </si>
  <si>
    <t>Teresa Campbell</t>
  </si>
  <si>
    <t>teresa.campbell610@icloud.com</t>
  </si>
  <si>
    <t>Burkemouth</t>
  </si>
  <si>
    <t>#2377</t>
  </si>
  <si>
    <t>Brenda Perez</t>
  </si>
  <si>
    <t>brenda.perez884@outlook.com</t>
  </si>
  <si>
    <t>Singhtown</t>
  </si>
  <si>
    <t>#2378</t>
  </si>
  <si>
    <t>Turnerchester</t>
  </si>
  <si>
    <t>#2379</t>
  </si>
  <si>
    <t>Danielle Thornton</t>
  </si>
  <si>
    <t>West Tamara</t>
  </si>
  <si>
    <t>#2380</t>
  </si>
  <si>
    <t>Tinachester</t>
  </si>
  <si>
    <t>#2381</t>
  </si>
  <si>
    <t>Kingmouth</t>
  </si>
  <si>
    <t>#2382</t>
  </si>
  <si>
    <t>Port Bradhaven</t>
  </si>
  <si>
    <t>#2383</t>
  </si>
  <si>
    <t>Johntown</t>
  </si>
  <si>
    <t>#2384</t>
  </si>
  <si>
    <t>New Patrick</t>
  </si>
  <si>
    <t>#2385</t>
  </si>
  <si>
    <t>Lake Nancyside</t>
  </si>
  <si>
    <t>#2386</t>
  </si>
  <si>
    <t>West Katherine</t>
  </si>
  <si>
    <t>#2387</t>
  </si>
  <si>
    <t>Guzmanfort</t>
  </si>
  <si>
    <t>#2388</t>
  </si>
  <si>
    <t>New Crystalside</t>
  </si>
  <si>
    <t>#2389</t>
  </si>
  <si>
    <t>#2390</t>
  </si>
  <si>
    <t>Richardton</t>
  </si>
  <si>
    <t>#2391</t>
  </si>
  <si>
    <t>West Shelbytown</t>
  </si>
  <si>
    <t>#2392</t>
  </si>
  <si>
    <t>Gabrielbury</t>
  </si>
  <si>
    <t>#2393</t>
  </si>
  <si>
    <t>BRYAN BARNES</t>
  </si>
  <si>
    <t>bryan.barnes666@yahoo.com</t>
  </si>
  <si>
    <t>South Angel</t>
  </si>
  <si>
    <t>#2394</t>
  </si>
  <si>
    <t>$8.40</t>
  </si>
  <si>
    <t>$52.57</t>
  </si>
  <si>
    <t>North Isabellamouth</t>
  </si>
  <si>
    <t>#2395</t>
  </si>
  <si>
    <t>Christinachester</t>
  </si>
  <si>
    <t>#2396</t>
  </si>
  <si>
    <t>Lake Meganland</t>
  </si>
  <si>
    <t>#2397</t>
  </si>
  <si>
    <t>Alexandraport</t>
  </si>
  <si>
    <t>#2398</t>
  </si>
  <si>
    <t>Lake Devinstad</t>
  </si>
  <si>
    <t>#2399</t>
  </si>
  <si>
    <t>$49.31</t>
  </si>
  <si>
    <t>Port Marvinport</t>
  </si>
  <si>
    <t>#2400</t>
  </si>
  <si>
    <t>#2401</t>
  </si>
  <si>
    <t>Patrick Evans</t>
  </si>
  <si>
    <t>patrick.evans152@icloud.com</t>
  </si>
  <si>
    <t>Lake Pamelaport</t>
  </si>
  <si>
    <t>#2402</t>
  </si>
  <si>
    <t>Lake Mariatown</t>
  </si>
  <si>
    <t>#2403</t>
  </si>
  <si>
    <t>Hansenmouth</t>
  </si>
  <si>
    <t>#2404</t>
  </si>
  <si>
    <t>$7.00</t>
  </si>
  <si>
    <t>Roberthaven</t>
  </si>
  <si>
    <t>#2405</t>
  </si>
  <si>
    <t>#2406</t>
  </si>
  <si>
    <t>Lake Alexanderfort</t>
  </si>
  <si>
    <t>#2407</t>
  </si>
  <si>
    <t>West Richardland</t>
  </si>
  <si>
    <t>#2408</t>
  </si>
  <si>
    <t>Grantshire</t>
  </si>
  <si>
    <t>#2409</t>
  </si>
  <si>
    <t xml:space="preserve">  Charles Franco</t>
  </si>
  <si>
    <t>#2410</t>
  </si>
  <si>
    <t>Port Jose</t>
  </si>
  <si>
    <t>#2411</t>
  </si>
  <si>
    <t xml:space="preserve">  Cheryl Coleman</t>
  </si>
  <si>
    <t>West Jasonborough</t>
  </si>
  <si>
    <t>#2412</t>
  </si>
  <si>
    <t>Veronicashire</t>
  </si>
  <si>
    <t>#2413</t>
  </si>
  <si>
    <t>Greerhaven</t>
  </si>
  <si>
    <t>#2414</t>
  </si>
  <si>
    <t>Janetton</t>
  </si>
  <si>
    <t>#2415</t>
  </si>
  <si>
    <t>Stephaniebury</t>
  </si>
  <si>
    <t>#2416</t>
  </si>
  <si>
    <t>East Robertburgh</t>
  </si>
  <si>
    <t>#2417</t>
  </si>
  <si>
    <t>Jeremyfort</t>
  </si>
  <si>
    <t>#2418</t>
  </si>
  <si>
    <t>Jenningsborough</t>
  </si>
  <si>
    <t>#2419</t>
  </si>
  <si>
    <t>Hardymouth</t>
  </si>
  <si>
    <t>#2420</t>
  </si>
  <si>
    <t>Myerschester</t>
  </si>
  <si>
    <t>#2421</t>
  </si>
  <si>
    <t>Bradleyview</t>
  </si>
  <si>
    <t>#2422</t>
  </si>
  <si>
    <t>Michaelberg</t>
  </si>
  <si>
    <t>#2423</t>
  </si>
  <si>
    <t>Washingtonburgh</t>
  </si>
  <si>
    <t>#2424</t>
  </si>
  <si>
    <t>Matthewland</t>
  </si>
  <si>
    <t>#2425</t>
  </si>
  <si>
    <t>Floresfort</t>
  </si>
  <si>
    <t>#2426</t>
  </si>
  <si>
    <t>#2427</t>
  </si>
  <si>
    <t>South Garyside</t>
  </si>
  <si>
    <t>#2428</t>
  </si>
  <si>
    <t>Jessicafort</t>
  </si>
  <si>
    <t>#2429</t>
  </si>
  <si>
    <t>Elizabethborough</t>
  </si>
  <si>
    <t>#2430</t>
  </si>
  <si>
    <t>South Andreastad</t>
  </si>
  <si>
    <t>#2431</t>
  </si>
  <si>
    <t>$20.23</t>
  </si>
  <si>
    <t>West Jennifer</t>
  </si>
  <si>
    <t>#2432</t>
  </si>
  <si>
    <t>$2.55</t>
  </si>
  <si>
    <t>Port Michaelton</t>
  </si>
  <si>
    <t>#2433</t>
  </si>
  <si>
    <t>Luisville</t>
  </si>
  <si>
    <t>#2434</t>
  </si>
  <si>
    <t>New Rogerside</t>
  </si>
  <si>
    <t>#2435</t>
  </si>
  <si>
    <t>Shannonport</t>
  </si>
  <si>
    <t>#2436</t>
  </si>
  <si>
    <t>David Fleming</t>
  </si>
  <si>
    <t>david.fleming778@gmail.com</t>
  </si>
  <si>
    <t>Port Dustin</t>
  </si>
  <si>
    <t>#2437</t>
  </si>
  <si>
    <t>Lake Ianmouth</t>
  </si>
  <si>
    <t>#2438</t>
  </si>
  <si>
    <t>#2439</t>
  </si>
  <si>
    <t>Russell Walton</t>
  </si>
  <si>
    <t>#2440</t>
  </si>
  <si>
    <t>#2441</t>
  </si>
  <si>
    <t>Delgadobury</t>
  </si>
  <si>
    <t>#2442</t>
  </si>
  <si>
    <t>Martinezshire</t>
  </si>
  <si>
    <t>#2443</t>
  </si>
  <si>
    <t>$40.98</t>
  </si>
  <si>
    <t>South Patriciastad</t>
  </si>
  <si>
    <t>#2444</t>
  </si>
  <si>
    <t>South Justinland</t>
  </si>
  <si>
    <t>#2445</t>
  </si>
  <si>
    <t>Thomasbury</t>
  </si>
  <si>
    <t>#2446</t>
  </si>
  <si>
    <t>$13.50</t>
  </si>
  <si>
    <t>East Edwardburgh</t>
  </si>
  <si>
    <t>#2447</t>
  </si>
  <si>
    <t>Lake Tamarahaven</t>
  </si>
  <si>
    <t>#2448</t>
  </si>
  <si>
    <t>peter alvarez</t>
  </si>
  <si>
    <t>South Kelly</t>
  </si>
  <si>
    <t>#2449</t>
  </si>
  <si>
    <t>Jennyburgh</t>
  </si>
  <si>
    <t>#2450</t>
  </si>
  <si>
    <t>Rebeccamouth</t>
  </si>
  <si>
    <t>#2451</t>
  </si>
  <si>
    <t>$33.77</t>
  </si>
  <si>
    <t>South Nathanville</t>
  </si>
  <si>
    <t>#2452</t>
  </si>
  <si>
    <t>andrea.gallegos495@gmail.com</t>
  </si>
  <si>
    <t>New Eric</t>
  </si>
  <si>
    <t>#2453</t>
  </si>
  <si>
    <t>Williams, Cynthia</t>
  </si>
  <si>
    <t>$50.47</t>
  </si>
  <si>
    <t>Hectorville</t>
  </si>
  <si>
    <t>#2454</t>
  </si>
  <si>
    <t>North Evelyn</t>
  </si>
  <si>
    <t>#2455</t>
  </si>
  <si>
    <t>East Kenneth</t>
  </si>
  <si>
    <t>#2456</t>
  </si>
  <si>
    <t>East Miranda</t>
  </si>
  <si>
    <t>#2457</t>
  </si>
  <si>
    <t>East Andrea</t>
  </si>
  <si>
    <t>#2458</t>
  </si>
  <si>
    <t>New Kevinborough</t>
  </si>
  <si>
    <t>#2459</t>
  </si>
  <si>
    <t>North Patriciaton</t>
  </si>
  <si>
    <t>#2460</t>
  </si>
  <si>
    <t>East Darryl</t>
  </si>
  <si>
    <t>#2461</t>
  </si>
  <si>
    <t>Pearsonchester</t>
  </si>
  <si>
    <t>#2462</t>
  </si>
  <si>
    <t>Warrenfurt</t>
  </si>
  <si>
    <t>#2463</t>
  </si>
  <si>
    <t>New Anne</t>
  </si>
  <si>
    <t>#2464</t>
  </si>
  <si>
    <t>West Tiffanyfurt</t>
  </si>
  <si>
    <t>#2465</t>
  </si>
  <si>
    <t>Wayneside</t>
  </si>
  <si>
    <t>#2466</t>
  </si>
  <si>
    <t>Port Haydentown</t>
  </si>
  <si>
    <t>#2467</t>
  </si>
  <si>
    <t>#2468</t>
  </si>
  <si>
    <t>East Anthony</t>
  </si>
  <si>
    <t>#2469</t>
  </si>
  <si>
    <t>Davishaven</t>
  </si>
  <si>
    <t>#2470</t>
  </si>
  <si>
    <t>Bryan Barnes</t>
  </si>
  <si>
    <t>East Daniel</t>
  </si>
  <si>
    <t>#2471</t>
  </si>
  <si>
    <t>Michelleborough</t>
  </si>
  <si>
    <t>#2472</t>
  </si>
  <si>
    <t>East Jason</t>
  </si>
  <si>
    <t>#2473</t>
  </si>
  <si>
    <t>Lake Donna</t>
  </si>
  <si>
    <t>#2474</t>
  </si>
  <si>
    <t>TEST TEST</t>
  </si>
  <si>
    <t>test@test.com</t>
  </si>
  <si>
    <t>Angelamouth</t>
  </si>
  <si>
    <t>#2475</t>
  </si>
  <si>
    <t>Robertton</t>
  </si>
  <si>
    <t>#2476</t>
  </si>
  <si>
    <t>Larryburgh</t>
  </si>
  <si>
    <t>#2477</t>
  </si>
  <si>
    <t>tara jackson</t>
  </si>
  <si>
    <t>Cunninghammouth</t>
  </si>
  <si>
    <t>#2478</t>
  </si>
  <si>
    <t>$3.75</t>
  </si>
  <si>
    <t>Longland</t>
  </si>
  <si>
    <t>#2479</t>
  </si>
  <si>
    <t>North Timothy</t>
  </si>
  <si>
    <t>#2480</t>
  </si>
  <si>
    <t>stacey.johnson444@outlook.com</t>
  </si>
  <si>
    <t>Kimberlyberg</t>
  </si>
  <si>
    <t>#2481</t>
  </si>
  <si>
    <t>veronica.price991@outlook.com</t>
  </si>
  <si>
    <t>Armstrongborough</t>
  </si>
  <si>
    <t>#2482</t>
  </si>
  <si>
    <t>Mclaughlinmouth</t>
  </si>
  <si>
    <t>#2483</t>
  </si>
  <si>
    <t>#2484</t>
  </si>
  <si>
    <t>CORY WALTON</t>
  </si>
  <si>
    <t>cory.walton975@outlook.com</t>
  </si>
  <si>
    <t>Derekville</t>
  </si>
  <si>
    <t>#2485</t>
  </si>
  <si>
    <t>Port Jenniferburgh</t>
  </si>
  <si>
    <t>#2486</t>
  </si>
  <si>
    <t>New Jessicachester</t>
  </si>
  <si>
    <t>#2487</t>
  </si>
  <si>
    <t>Lawrenceshire</t>
  </si>
  <si>
    <t>#2488</t>
  </si>
  <si>
    <t xml:space="preserve">  James Miller</t>
  </si>
  <si>
    <t>New Michelleshire</t>
  </si>
  <si>
    <t>#2489</t>
  </si>
  <si>
    <t>North Carla</t>
  </si>
  <si>
    <t>#2490</t>
  </si>
  <si>
    <t>Luisfort</t>
  </si>
  <si>
    <t>#2491</t>
  </si>
  <si>
    <t>Whitefort</t>
  </si>
  <si>
    <t>#2492</t>
  </si>
  <si>
    <t>Lisa Mckinney</t>
  </si>
  <si>
    <t>lisa.mckinney195@gmail.com</t>
  </si>
  <si>
    <t>West Williamstad</t>
  </si>
  <si>
    <t>#2493</t>
  </si>
  <si>
    <t xml:space="preserve">Portable Power Bank 10000mAh  </t>
  </si>
  <si>
    <t>South Jesse</t>
  </si>
  <si>
    <t>#2494</t>
  </si>
  <si>
    <t>Tateville</t>
  </si>
  <si>
    <t>#2495</t>
  </si>
  <si>
    <t>Kinghaven</t>
  </si>
  <si>
    <t>#2496</t>
  </si>
  <si>
    <t>Port Kristina</t>
  </si>
  <si>
    <t>#2497</t>
  </si>
  <si>
    <t>$8.75</t>
  </si>
  <si>
    <t>East Brian</t>
  </si>
  <si>
    <t>#2498</t>
  </si>
  <si>
    <t>Cooperchester</t>
  </si>
  <si>
    <t>#2499</t>
  </si>
  <si>
    <t>East Linda</t>
  </si>
  <si>
    <t>#2500</t>
  </si>
  <si>
    <t>kayla lee</t>
  </si>
  <si>
    <t>Duncanport</t>
  </si>
  <si>
    <t>#2501</t>
  </si>
  <si>
    <t>#2502</t>
  </si>
  <si>
    <t>North Benjamintown</t>
  </si>
  <si>
    <t>#2503</t>
  </si>
  <si>
    <t>North Michaelside</t>
  </si>
  <si>
    <t>#2504</t>
  </si>
  <si>
    <t>#2505</t>
  </si>
  <si>
    <t>Nelsontown</t>
  </si>
  <si>
    <t>#2506</t>
  </si>
  <si>
    <t>Ryanshire</t>
  </si>
  <si>
    <t>#2507</t>
  </si>
  <si>
    <t>$2.02</t>
  </si>
  <si>
    <t>#2508</t>
  </si>
  <si>
    <t>West Aaronside</t>
  </si>
  <si>
    <t>#2509</t>
  </si>
  <si>
    <t>#2510</t>
  </si>
  <si>
    <t>Kylie Riddle</t>
  </si>
  <si>
    <t>kylie.riddle17@gmail.com</t>
  </si>
  <si>
    <t>Johnsonburgh</t>
  </si>
  <si>
    <t>#2511</t>
  </si>
  <si>
    <t>Paul Mills</t>
  </si>
  <si>
    <t>paul.mills467@gmail.com</t>
  </si>
  <si>
    <t>West Tabithamouth</t>
  </si>
  <si>
    <t>#2512</t>
  </si>
  <si>
    <t>Higginsborough</t>
  </si>
  <si>
    <t>#2513</t>
  </si>
  <si>
    <t>Eric Santiago</t>
  </si>
  <si>
    <t>eric.santiago110@icloud.com</t>
  </si>
  <si>
    <t>West Devon</t>
  </si>
  <si>
    <t>#2514</t>
  </si>
  <si>
    <t>russell.walton605@icloud.com</t>
  </si>
  <si>
    <t>New Kyle</t>
  </si>
  <si>
    <t>#2515</t>
  </si>
  <si>
    <t>Wilsonburgh</t>
  </si>
  <si>
    <t>#2516</t>
  </si>
  <si>
    <t>Lake Danielbury</t>
  </si>
  <si>
    <t>#2517</t>
  </si>
  <si>
    <t>Andrewmouth</t>
  </si>
  <si>
    <t>#2518</t>
  </si>
  <si>
    <t xml:space="preserve">  John Hoffman</t>
  </si>
  <si>
    <t>#2519</t>
  </si>
  <si>
    <t>NATALIE DIXON</t>
  </si>
  <si>
    <t>Lake Veronica</t>
  </si>
  <si>
    <t>#2520</t>
  </si>
  <si>
    <t>South Johnhaven</t>
  </si>
  <si>
    <t>#2521</t>
  </si>
  <si>
    <t>NON-STICK FRYING PAN 10IN</t>
  </si>
  <si>
    <t>Frenchbury</t>
  </si>
  <si>
    <t>#2522</t>
  </si>
  <si>
    <t>West Rebecca</t>
  </si>
  <si>
    <t>#2523</t>
  </si>
  <si>
    <t>New Carolyn</t>
  </si>
  <si>
    <t>#2524</t>
  </si>
  <si>
    <t>Robertschester</t>
  </si>
  <si>
    <t>#2525</t>
  </si>
  <si>
    <t>Danielsport</t>
  </si>
  <si>
    <t>#2526</t>
  </si>
  <si>
    <t>West Shaunberg</t>
  </si>
  <si>
    <t>#2527</t>
  </si>
  <si>
    <t>Samuel Snyder</t>
  </si>
  <si>
    <t>samuel.snyder328@icloud.com</t>
  </si>
  <si>
    <t>Myersburgh</t>
  </si>
  <si>
    <t>#2528</t>
  </si>
  <si>
    <t>East Bradleyfurt</t>
  </si>
  <si>
    <t>#2529</t>
  </si>
  <si>
    <t>South Troychester</t>
  </si>
  <si>
    <t>#2530</t>
  </si>
  <si>
    <t>West Dennis</t>
  </si>
  <si>
    <t>#2531</t>
  </si>
  <si>
    <t>West Leslieton</t>
  </si>
  <si>
    <t>#2532</t>
  </si>
  <si>
    <t>West Ebony</t>
  </si>
  <si>
    <t>#2533</t>
  </si>
  <si>
    <t>South Janetport</t>
  </si>
  <si>
    <t>#2534</t>
  </si>
  <si>
    <t>South Hector</t>
  </si>
  <si>
    <t>#2535</t>
  </si>
  <si>
    <t>Stephaniechester</t>
  </si>
  <si>
    <t>#2536</t>
  </si>
  <si>
    <t>Lauraburgh</t>
  </si>
  <si>
    <t>#2537</t>
  </si>
  <si>
    <t>East Joseph</t>
  </si>
  <si>
    <t>#2538</t>
  </si>
  <si>
    <t>New Brandi</t>
  </si>
  <si>
    <t>#2539</t>
  </si>
  <si>
    <t>Lake George</t>
  </si>
  <si>
    <t>#2540</t>
  </si>
  <si>
    <t>Elizabethmouth</t>
  </si>
  <si>
    <t>#2541</t>
  </si>
  <si>
    <t>West Erikabury</t>
  </si>
  <si>
    <t>#2542</t>
  </si>
  <si>
    <t>South Kathleenhaven</t>
  </si>
  <si>
    <t>#2543</t>
  </si>
  <si>
    <t>Brownchester</t>
  </si>
  <si>
    <t>#2544</t>
  </si>
  <si>
    <t>Lake Leah</t>
  </si>
  <si>
    <t>#2545</t>
  </si>
  <si>
    <t>South Savannahton</t>
  </si>
  <si>
    <t>#2546</t>
  </si>
  <si>
    <t>$24.68</t>
  </si>
  <si>
    <t>East Karla</t>
  </si>
  <si>
    <t>#2547</t>
  </si>
  <si>
    <t>Marie Rose</t>
  </si>
  <si>
    <t>North Susan</t>
  </si>
  <si>
    <t>#2548</t>
  </si>
  <si>
    <t>New Melissaview</t>
  </si>
  <si>
    <t>#2549</t>
  </si>
  <si>
    <t>Buchananchester</t>
  </si>
  <si>
    <t>#2550</t>
  </si>
  <si>
    <t>East Stephen</t>
  </si>
  <si>
    <t>#2551</t>
  </si>
  <si>
    <t>Karentown</t>
  </si>
  <si>
    <t>#2552</t>
  </si>
  <si>
    <t>michael jacobson</t>
  </si>
  <si>
    <t>Nathanport</t>
  </si>
  <si>
    <t>#2553</t>
  </si>
  <si>
    <t>Lloydtown</t>
  </si>
  <si>
    <t>#2554</t>
  </si>
  <si>
    <t>Port Davidmouth</t>
  </si>
  <si>
    <t>#2555</t>
  </si>
  <si>
    <t>South Melissamouth</t>
  </si>
  <si>
    <t>#2556</t>
  </si>
  <si>
    <t>Thomasside</t>
  </si>
  <si>
    <t>#2557</t>
  </si>
  <si>
    <t>Caldwellstad</t>
  </si>
  <si>
    <t>#2558</t>
  </si>
  <si>
    <t>North Lauraburgh</t>
  </si>
  <si>
    <t>#2559</t>
  </si>
  <si>
    <t>#2560</t>
  </si>
  <si>
    <t>Dana Davenport</t>
  </si>
  <si>
    <t>dana.davenport907@yahoo.com</t>
  </si>
  <si>
    <t>#2561</t>
  </si>
  <si>
    <t>#2562</t>
  </si>
  <si>
    <t>Lake Angela</t>
  </si>
  <si>
    <t>#2563</t>
  </si>
  <si>
    <t>#2564</t>
  </si>
  <si>
    <t>Jodyport</t>
  </si>
  <si>
    <t>#2565</t>
  </si>
  <si>
    <t>Lukehaven</t>
  </si>
  <si>
    <t>#2566</t>
  </si>
  <si>
    <t>Diane Nunez</t>
  </si>
  <si>
    <t>diane.nunez756@outlook.com</t>
  </si>
  <si>
    <t>Lake Oscarmouth</t>
  </si>
  <si>
    <t>#2567</t>
  </si>
  <si>
    <t>Test Order</t>
  </si>
  <si>
    <t>Elizabethchester</t>
  </si>
  <si>
    <t>#2568</t>
  </si>
  <si>
    <t>East Deborah</t>
  </si>
  <si>
    <t>#2569</t>
  </si>
  <si>
    <t>West Sarahmouth</t>
  </si>
  <si>
    <t>#2570</t>
  </si>
  <si>
    <t>#2571</t>
  </si>
  <si>
    <t>Camposville</t>
  </si>
  <si>
    <t>#2572</t>
  </si>
  <si>
    <t>South Daniel</t>
  </si>
  <si>
    <t>#2573</t>
  </si>
  <si>
    <t>Lake Dillon</t>
  </si>
  <si>
    <t>#2574</t>
  </si>
  <si>
    <t>Teresaberg</t>
  </si>
  <si>
    <t>#2575</t>
  </si>
  <si>
    <t>Craigborough</t>
  </si>
  <si>
    <t>#2576</t>
  </si>
  <si>
    <t>New Courtney</t>
  </si>
  <si>
    <t>#2577</t>
  </si>
  <si>
    <t>Sarahside</t>
  </si>
  <si>
    <t>#2578</t>
  </si>
  <si>
    <t>TYLER WILLIAMS</t>
  </si>
  <si>
    <t>Jackfurt</t>
  </si>
  <si>
    <t>#2579</t>
  </si>
  <si>
    <t>Lake Jason</t>
  </si>
  <si>
    <t>#2580</t>
  </si>
  <si>
    <t>Oliver, Shawn</t>
  </si>
  <si>
    <t>Rivasmouth</t>
  </si>
  <si>
    <t>#2581</t>
  </si>
  <si>
    <t>Campbellmouth</t>
  </si>
  <si>
    <t>#2582</t>
  </si>
  <si>
    <t>East Raymondview</t>
  </si>
  <si>
    <t>#2583</t>
  </si>
  <si>
    <t>Leeview</t>
  </si>
  <si>
    <t>#2584</t>
  </si>
  <si>
    <t>Robin Ruiz</t>
  </si>
  <si>
    <t>robin.ruiz407@yahoo.com</t>
  </si>
  <si>
    <t>Hernandezchester</t>
  </si>
  <si>
    <t>#2585</t>
  </si>
  <si>
    <t>Rachelfort</t>
  </si>
  <si>
    <t>#2586</t>
  </si>
  <si>
    <t>West Dale</t>
  </si>
  <si>
    <t>#2587</t>
  </si>
  <si>
    <t>RONNIE JOHNSON</t>
  </si>
  <si>
    <t>ronnie.johnson454@outlook.com</t>
  </si>
  <si>
    <t>Patrickshire</t>
  </si>
  <si>
    <t>#2588</t>
  </si>
  <si>
    <t>Port Jackville</t>
  </si>
  <si>
    <t>#2589</t>
  </si>
  <si>
    <t>Manntown</t>
  </si>
  <si>
    <t>#2590</t>
  </si>
  <si>
    <t>West Howardland</t>
  </si>
  <si>
    <t>#2591</t>
  </si>
  <si>
    <t>Gonzalezmouth</t>
  </si>
  <si>
    <t>#2592</t>
  </si>
  <si>
    <t>Riceborough</t>
  </si>
  <si>
    <t>#2593</t>
  </si>
  <si>
    <t>Marystad</t>
  </si>
  <si>
    <t>#2594</t>
  </si>
  <si>
    <t>Lake Daniellechester</t>
  </si>
  <si>
    <t>#2595</t>
  </si>
  <si>
    <t xml:space="preserve">Polarized Sunglasses  </t>
  </si>
  <si>
    <t>New Malloryburgh</t>
  </si>
  <si>
    <t>#2596</t>
  </si>
  <si>
    <t>#2597</t>
  </si>
  <si>
    <t>Joe Duran</t>
  </si>
  <si>
    <t>joe.duran923@icloud.com</t>
  </si>
  <si>
    <t>Mcclainfurt</t>
  </si>
  <si>
    <t>#2598</t>
  </si>
  <si>
    <t>Bergville</t>
  </si>
  <si>
    <t>#2599</t>
  </si>
  <si>
    <t>#2600</t>
  </si>
  <si>
    <t>New Shawn</t>
  </si>
  <si>
    <t>#2601</t>
  </si>
  <si>
    <t>Austinborough</t>
  </si>
  <si>
    <t>#2602</t>
  </si>
  <si>
    <t>East Leah</t>
  </si>
  <si>
    <t>#2603</t>
  </si>
  <si>
    <t>#2604</t>
  </si>
  <si>
    <t>Parkerstad</t>
  </si>
  <si>
    <t>#2605</t>
  </si>
  <si>
    <t>brooke crawford</t>
  </si>
  <si>
    <t>Samanthastad</t>
  </si>
  <si>
    <t>#2606</t>
  </si>
  <si>
    <t>New Joyce</t>
  </si>
  <si>
    <t>#2607</t>
  </si>
  <si>
    <t>Chelseyhaven</t>
  </si>
  <si>
    <t>#2608</t>
  </si>
  <si>
    <t>Perez, Joanne</t>
  </si>
  <si>
    <t>PORTABLE POWER BANK 10000MAH</t>
  </si>
  <si>
    <t>Rossville</t>
  </si>
  <si>
    <t>#2609</t>
  </si>
  <si>
    <t>West Carly</t>
  </si>
  <si>
    <t>#2610</t>
  </si>
  <si>
    <t>South Roy</t>
  </si>
  <si>
    <t>#2611</t>
  </si>
  <si>
    <t>New Michaelmouth</t>
  </si>
  <si>
    <t>#2612</t>
  </si>
  <si>
    <t>North Laurenville</t>
  </si>
  <si>
    <t>#2613</t>
  </si>
  <si>
    <t>laura pruitt</t>
  </si>
  <si>
    <t>Gutierrezstad</t>
  </si>
  <si>
    <t>#2614</t>
  </si>
  <si>
    <t>South Douglas</t>
  </si>
  <si>
    <t>#2615</t>
  </si>
  <si>
    <t>Lake Jeremiah</t>
  </si>
  <si>
    <t>#2616</t>
  </si>
  <si>
    <t>North Andrewshire</t>
  </si>
  <si>
    <t>#2617</t>
  </si>
  <si>
    <t>Blevinsborough</t>
  </si>
  <si>
    <t>#2618</t>
  </si>
  <si>
    <t>Harrisfurt</t>
  </si>
  <si>
    <t>#2619</t>
  </si>
  <si>
    <t>Reedtown</t>
  </si>
  <si>
    <t>#2620</t>
  </si>
  <si>
    <t>Lake Lori</t>
  </si>
  <si>
    <t>#2621</t>
  </si>
  <si>
    <t>South Jamesview</t>
  </si>
  <si>
    <t>#2622</t>
  </si>
  <si>
    <t>Lake Nancyberg</t>
  </si>
  <si>
    <t>#2623</t>
  </si>
  <si>
    <t>Snyderside</t>
  </si>
  <si>
    <t>#2624</t>
  </si>
  <si>
    <t>Sheltonfurt</t>
  </si>
  <si>
    <t>#2625</t>
  </si>
  <si>
    <t>NICHOLAS PARKER</t>
  </si>
  <si>
    <t>#2626</t>
  </si>
  <si>
    <t>Port Ashleyview</t>
  </si>
  <si>
    <t>#2627</t>
  </si>
  <si>
    <t>Taylorton</t>
  </si>
  <si>
    <t>#2628</t>
  </si>
  <si>
    <t>Jillmouth</t>
  </si>
  <si>
    <t>#2629</t>
  </si>
  <si>
    <t>North Kevinbury</t>
  </si>
  <si>
    <t>#2630</t>
  </si>
  <si>
    <t>New Andrea</t>
  </si>
  <si>
    <t>#2631</t>
  </si>
  <si>
    <t>Heathtown</t>
  </si>
  <si>
    <t>#2632</t>
  </si>
  <si>
    <t>New Melinda</t>
  </si>
  <si>
    <t>#2633</t>
  </si>
  <si>
    <t>New Meghanhaven</t>
  </si>
  <si>
    <t>#2634</t>
  </si>
  <si>
    <t>East Gwendolynport</t>
  </si>
  <si>
    <t>#2635</t>
  </si>
  <si>
    <t>Port Ethan</t>
  </si>
  <si>
    <t>#2636</t>
  </si>
  <si>
    <t>Gutierrezville</t>
  </si>
  <si>
    <t>#2637</t>
  </si>
  <si>
    <t>North Brittanyville</t>
  </si>
  <si>
    <t>#2638</t>
  </si>
  <si>
    <t>South Bobberg</t>
  </si>
  <si>
    <t>#2639</t>
  </si>
  <si>
    <t>Port Natalieport</t>
  </si>
  <si>
    <t>#2640</t>
  </si>
  <si>
    <t>East Faith</t>
  </si>
  <si>
    <t>#2641</t>
  </si>
  <si>
    <t>Port Heathertown</t>
  </si>
  <si>
    <t>#2642</t>
  </si>
  <si>
    <t>Marshberg</t>
  </si>
  <si>
    <t>#2643</t>
  </si>
  <si>
    <t>#2644</t>
  </si>
  <si>
    <t>West Ashleyside</t>
  </si>
  <si>
    <t>#2645</t>
  </si>
  <si>
    <t>South Carlberg</t>
  </si>
  <si>
    <t>#2646</t>
  </si>
  <si>
    <t>South Juanview</t>
  </si>
  <si>
    <t>#2647</t>
  </si>
  <si>
    <t>West Ianmouth</t>
  </si>
  <si>
    <t>#2648</t>
  </si>
  <si>
    <t>Eugenefurt</t>
  </si>
  <si>
    <t>#2649</t>
  </si>
  <si>
    <t>Kimberly Mitchell</t>
  </si>
  <si>
    <t>kimberly.mitchell299@gmail.com</t>
  </si>
  <si>
    <t>Garyton</t>
  </si>
  <si>
    <t>#2650</t>
  </si>
  <si>
    <t>Sullivanhaven</t>
  </si>
  <si>
    <t>#2651</t>
  </si>
  <si>
    <t>Haley Glover</t>
  </si>
  <si>
    <t>haley.glover361@yahoo.com</t>
  </si>
  <si>
    <t>Markside</t>
  </si>
  <si>
    <t>#2652</t>
  </si>
  <si>
    <t>South Juliafort</t>
  </si>
  <si>
    <t>#2653</t>
  </si>
  <si>
    <t>Georgemouth</t>
  </si>
  <si>
    <t>#2654</t>
  </si>
  <si>
    <t>Amy Thompson</t>
  </si>
  <si>
    <t>amy.thompson410@outlook.com</t>
  </si>
  <si>
    <t>Aguilarmouth</t>
  </si>
  <si>
    <t>#2655</t>
  </si>
  <si>
    <t>West Anthony</t>
  </si>
  <si>
    <t>#2656</t>
  </si>
  <si>
    <t>Lake Brittneyton</t>
  </si>
  <si>
    <t>#2657</t>
  </si>
  <si>
    <t>Kristiberg</t>
  </si>
  <si>
    <t>#2658</t>
  </si>
  <si>
    <t>#2659</t>
  </si>
  <si>
    <t>#2660</t>
  </si>
  <si>
    <t>Patriciaside</t>
  </si>
  <si>
    <t>#2661</t>
  </si>
  <si>
    <t>Weaverborough</t>
  </si>
  <si>
    <t>#2662</t>
  </si>
  <si>
    <t>Perkinsville</t>
  </si>
  <si>
    <t>#2663</t>
  </si>
  <si>
    <t xml:space="preserve">  Dustin Griffin</t>
  </si>
  <si>
    <t>#2664</t>
  </si>
  <si>
    <t>Michelleland</t>
  </si>
  <si>
    <t>#2665</t>
  </si>
  <si>
    <t>West Christopherberg</t>
  </si>
  <si>
    <t>#2666</t>
  </si>
  <si>
    <t>Port Jasminefort</t>
  </si>
  <si>
    <t>#2667</t>
  </si>
  <si>
    <t>Gibbsbury</t>
  </si>
  <si>
    <t>#2668</t>
  </si>
  <si>
    <t>South Sabrinatown</t>
  </si>
  <si>
    <t>#2669</t>
  </si>
  <si>
    <t>Lake Mark</t>
  </si>
  <si>
    <t>#2670</t>
  </si>
  <si>
    <t>New Franciscoshire</t>
  </si>
  <si>
    <t>#2671</t>
  </si>
  <si>
    <t>#2672</t>
  </si>
  <si>
    <t>New Robertchester</t>
  </si>
  <si>
    <t>#2673</t>
  </si>
  <si>
    <t>Catherine Vang</t>
  </si>
  <si>
    <t>#2674</t>
  </si>
  <si>
    <t>Jonathanville</t>
  </si>
  <si>
    <t>#2675</t>
  </si>
  <si>
    <t>South Julie</t>
  </si>
  <si>
    <t>#2676</t>
  </si>
  <si>
    <t>Luisbury</t>
  </si>
  <si>
    <t>#2677</t>
  </si>
  <si>
    <t>DEREK RICHARDSON</t>
  </si>
  <si>
    <t>derek.richardson414@outlook.com</t>
  </si>
  <si>
    <t>South Raymond</t>
  </si>
  <si>
    <t>#2678</t>
  </si>
  <si>
    <t>New Gordon</t>
  </si>
  <si>
    <t>#2679</t>
  </si>
  <si>
    <t>West Ryanville</t>
  </si>
  <si>
    <t>#2680</t>
  </si>
  <si>
    <t>james castro</t>
  </si>
  <si>
    <t>South Manuel</t>
  </si>
  <si>
    <t>#2681</t>
  </si>
  <si>
    <t>Farmer, Bradley</t>
  </si>
  <si>
    <t>bradley.farmer290@icloud.com</t>
  </si>
  <si>
    <t>Kimberlyview</t>
  </si>
  <si>
    <t>#2682</t>
  </si>
  <si>
    <t>Port Deborahchester</t>
  </si>
  <si>
    <t>#2683</t>
  </si>
  <si>
    <t>$60.98</t>
  </si>
  <si>
    <t>Michelleview</t>
  </si>
  <si>
    <t>#2684</t>
  </si>
  <si>
    <t xml:space="preserve">  Linda Byrd</t>
  </si>
  <si>
    <t>Lake Christopherberg</t>
  </si>
  <si>
    <t>#2685</t>
  </si>
  <si>
    <t>#2686</t>
  </si>
  <si>
    <t>erika maxwell</t>
  </si>
  <si>
    <t>Wilsonview</t>
  </si>
  <si>
    <t>#2687</t>
  </si>
  <si>
    <t>Patrickmouth</t>
  </si>
  <si>
    <t>#2688</t>
  </si>
  <si>
    <t>Smithview</t>
  </si>
  <si>
    <t>#2689</t>
  </si>
  <si>
    <t>Sarabury</t>
  </si>
  <si>
    <t>#2690</t>
  </si>
  <si>
    <t>Andrewton</t>
  </si>
  <si>
    <t>#2691</t>
  </si>
  <si>
    <t>$1.50</t>
  </si>
  <si>
    <t>Veronicaborough</t>
  </si>
  <si>
    <t>#2692</t>
  </si>
  <si>
    <t>New Sarahfurt</t>
  </si>
  <si>
    <t>#2693</t>
  </si>
  <si>
    <t>Glennmouth</t>
  </si>
  <si>
    <t>#2694</t>
  </si>
  <si>
    <t>North Rogerberg</t>
  </si>
  <si>
    <t>#2695</t>
  </si>
  <si>
    <t>Alimouth</t>
  </si>
  <si>
    <t>#2696</t>
  </si>
  <si>
    <t>New Brandon</t>
  </si>
  <si>
    <t>#2697</t>
  </si>
  <si>
    <t>West Melissa</t>
  </si>
  <si>
    <t>#2698</t>
  </si>
  <si>
    <t>New Michael</t>
  </si>
  <si>
    <t>#2699</t>
  </si>
  <si>
    <t>New Madison</t>
  </si>
  <si>
    <t>#2700</t>
  </si>
  <si>
    <t>Markbury</t>
  </si>
  <si>
    <t>#2701</t>
  </si>
  <si>
    <t>Kennethshire</t>
  </si>
  <si>
    <t>#2702</t>
  </si>
  <si>
    <t>North Karenchester</t>
  </si>
  <si>
    <t>#2703</t>
  </si>
  <si>
    <t>East Catherinechester</t>
  </si>
  <si>
    <t>#2704</t>
  </si>
  <si>
    <t>East Annaville</t>
  </si>
  <si>
    <t>#2705</t>
  </si>
  <si>
    <t>Castillostad</t>
  </si>
  <si>
    <t>#2706</t>
  </si>
  <si>
    <t>Matthewfurt</t>
  </si>
  <si>
    <t>#2707</t>
  </si>
  <si>
    <t>Lauren Williams</t>
  </si>
  <si>
    <t>lauren.williams316@icloud.com</t>
  </si>
  <si>
    <t>Amandachester</t>
  </si>
  <si>
    <t>#2708</t>
  </si>
  <si>
    <t>Watershaven</t>
  </si>
  <si>
    <t>#2709</t>
  </si>
  <si>
    <t>Port Sherry</t>
  </si>
  <si>
    <t>#2710</t>
  </si>
  <si>
    <t>West Nicholastown</t>
  </si>
  <si>
    <t>#2711</t>
  </si>
  <si>
    <t>North Andrewmouth</t>
  </si>
  <si>
    <t>#2712</t>
  </si>
  <si>
    <t>East Christine</t>
  </si>
  <si>
    <t>#2713</t>
  </si>
  <si>
    <t>Carmenland</t>
  </si>
  <si>
    <t>#2714</t>
  </si>
  <si>
    <t>South Edwardtown</t>
  </si>
  <si>
    <t>#2715</t>
  </si>
  <si>
    <t>Adamston</t>
  </si>
  <si>
    <t>#2716</t>
  </si>
  <si>
    <t>North Kari</t>
  </si>
  <si>
    <t>#2717</t>
  </si>
  <si>
    <t>Milesberg</t>
  </si>
  <si>
    <t>#2718</t>
  </si>
  <si>
    <t>North Patricialand</t>
  </si>
  <si>
    <t>#2719</t>
  </si>
  <si>
    <t>Burnshaven</t>
  </si>
  <si>
    <t>#2720</t>
  </si>
  <si>
    <t>Christopherburgh</t>
  </si>
  <si>
    <t>#2721</t>
  </si>
  <si>
    <t>$3.00</t>
  </si>
  <si>
    <t>Hendersonview</t>
  </si>
  <si>
    <t>#2722</t>
  </si>
  <si>
    <t>Petersonhaven</t>
  </si>
  <si>
    <t>#2723</t>
  </si>
  <si>
    <t>Laura Johnson</t>
  </si>
  <si>
    <t>laura.johnson708@outlook.com</t>
  </si>
  <si>
    <t>Jessicatown</t>
  </si>
  <si>
    <t>#2724</t>
  </si>
  <si>
    <t>New Hectormouth</t>
  </si>
  <si>
    <t>#2725</t>
  </si>
  <si>
    <t>Jennifer Lee</t>
  </si>
  <si>
    <t>jennifer.lee321@icloud.com</t>
  </si>
  <si>
    <t>Garciamouth</t>
  </si>
  <si>
    <t>#2726</t>
  </si>
  <si>
    <t xml:space="preserve">  Sandra Potter</t>
  </si>
  <si>
    <t>Reeseport</t>
  </si>
  <si>
    <t>#2727</t>
  </si>
  <si>
    <t>East Joseview</t>
  </si>
  <si>
    <t>#2728</t>
  </si>
  <si>
    <t>Darrylfort</t>
  </si>
  <si>
    <t>#2729</t>
  </si>
  <si>
    <t>New Deanna</t>
  </si>
  <si>
    <t>#2730</t>
  </si>
  <si>
    <t>Melaniehaven</t>
  </si>
  <si>
    <t>#2731</t>
  </si>
  <si>
    <t>Batesborough</t>
  </si>
  <si>
    <t>#2732</t>
  </si>
  <si>
    <t>Jacksonfurt</t>
  </si>
  <si>
    <t>#2733</t>
  </si>
  <si>
    <t>Angela Martin</t>
  </si>
  <si>
    <t>Garciaville</t>
  </si>
  <si>
    <t>#2734</t>
  </si>
  <si>
    <t>Timothyshire</t>
  </si>
  <si>
    <t>#2735</t>
  </si>
  <si>
    <t>North Deborah</t>
  </si>
  <si>
    <t>#2736</t>
  </si>
  <si>
    <t>Henryside</t>
  </si>
  <si>
    <t>#2737</t>
  </si>
  <si>
    <t>East Courtneystad</t>
  </si>
  <si>
    <t>#2738</t>
  </si>
  <si>
    <t>Melanie Kennedy</t>
  </si>
  <si>
    <t>melanie.kennedy658@yahoo.com</t>
  </si>
  <si>
    <t>#2739</t>
  </si>
  <si>
    <t>$22.98</t>
  </si>
  <si>
    <t>Lake Vincentburgh</t>
  </si>
  <si>
    <t>#2740</t>
  </si>
  <si>
    <t>North Christopher</t>
  </si>
  <si>
    <t>#2741</t>
  </si>
  <si>
    <t>North Samanthaland</t>
  </si>
  <si>
    <t>#2742</t>
  </si>
  <si>
    <t>Pamfurt</t>
  </si>
  <si>
    <t>#2743</t>
  </si>
  <si>
    <t>North Heidi</t>
  </si>
  <si>
    <t>#2744</t>
  </si>
  <si>
    <t>$55.97</t>
  </si>
  <si>
    <t>Fosterview</t>
  </si>
  <si>
    <t>#2745</t>
  </si>
  <si>
    <t>Madisonfort</t>
  </si>
  <si>
    <t>#2746</t>
  </si>
  <si>
    <t>East Derekhaven</t>
  </si>
  <si>
    <t>#2747</t>
  </si>
  <si>
    <t>MICHELLE BELL</t>
  </si>
  <si>
    <t>Krystaltown</t>
  </si>
  <si>
    <t>#2748</t>
  </si>
  <si>
    <t>#2749</t>
  </si>
  <si>
    <t>Mortonview</t>
  </si>
  <si>
    <t>#2750</t>
  </si>
  <si>
    <t>Danielsfurt</t>
  </si>
  <si>
    <t>#2751</t>
  </si>
  <si>
    <t>West Melissafurt</t>
  </si>
  <si>
    <t>#2752</t>
  </si>
  <si>
    <t>$29.97</t>
  </si>
  <si>
    <t>#2753</t>
  </si>
  <si>
    <t>$10.00</t>
  </si>
  <si>
    <t>East Deniseburgh</t>
  </si>
  <si>
    <t>#2754</t>
  </si>
  <si>
    <t>jaime vargas</t>
  </si>
  <si>
    <t>#2755</t>
  </si>
  <si>
    <t>Rojas, Thomas</t>
  </si>
  <si>
    <t>Rodriguezport</t>
  </si>
  <si>
    <t>#2756</t>
  </si>
  <si>
    <t>Port John</t>
  </si>
  <si>
    <t>#2757</t>
  </si>
  <si>
    <t xml:space="preserve">  Amy West</t>
  </si>
  <si>
    <t>amy.west811@icloud.com</t>
  </si>
  <si>
    <t>Cunninghamland</t>
  </si>
  <si>
    <t>#2758</t>
  </si>
  <si>
    <t>Gibbsfurt</t>
  </si>
  <si>
    <t>#2759</t>
  </si>
  <si>
    <t>Davidville</t>
  </si>
  <si>
    <t>#2760</t>
  </si>
  <si>
    <t>JACQUELINE RICHMOND</t>
  </si>
  <si>
    <t>West Annaport</t>
  </si>
  <si>
    <t>#2761</t>
  </si>
  <si>
    <t>East Sarahstad</t>
  </si>
  <si>
    <t>#2762</t>
  </si>
  <si>
    <t>South Brianport</t>
  </si>
  <si>
    <t>#2763</t>
  </si>
  <si>
    <t>Duncan, Ruth</t>
  </si>
  <si>
    <t>New Frances</t>
  </si>
  <si>
    <t>#2764</t>
  </si>
  <si>
    <t>Calhountown</t>
  </si>
  <si>
    <t>#2765</t>
  </si>
  <si>
    <t>West Ashley</t>
  </si>
  <si>
    <t>#2766</t>
  </si>
  <si>
    <t>West Gabrielside</t>
  </si>
  <si>
    <t>#2767</t>
  </si>
  <si>
    <t>East Beth</t>
  </si>
  <si>
    <t>#2768</t>
  </si>
  <si>
    <t>North Heatherberg</t>
  </si>
  <si>
    <t>#2769</t>
  </si>
  <si>
    <t>Ramosberg</t>
  </si>
  <si>
    <t>#2770</t>
  </si>
  <si>
    <t>West Lynn</t>
  </si>
  <si>
    <t>#2771</t>
  </si>
  <si>
    <t>Roseton</t>
  </si>
  <si>
    <t>#2772</t>
  </si>
  <si>
    <t>West Sarahchester</t>
  </si>
  <si>
    <t>#2773</t>
  </si>
  <si>
    <t>Gregoryland</t>
  </si>
  <si>
    <t>#2774</t>
  </si>
  <si>
    <t>Lake Kyleborough</t>
  </si>
  <si>
    <t>#2775</t>
  </si>
  <si>
    <t>Jacobton</t>
  </si>
  <si>
    <t>#2776</t>
  </si>
  <si>
    <t>Lake Frankton</t>
  </si>
  <si>
    <t>#2777</t>
  </si>
  <si>
    <t>West Jamesfort</t>
  </si>
  <si>
    <t>#2778</t>
  </si>
  <si>
    <t>Flynnport</t>
  </si>
  <si>
    <t>#2779</t>
  </si>
  <si>
    <t>Hughesmouth</t>
  </si>
  <si>
    <t>#2780</t>
  </si>
  <si>
    <t>North Matthewfurt</t>
  </si>
  <si>
    <t>#2781</t>
  </si>
  <si>
    <t>Terryport</t>
  </si>
  <si>
    <t>#2782</t>
  </si>
  <si>
    <t>Bergton</t>
  </si>
  <si>
    <t>#2783</t>
  </si>
  <si>
    <t>New Cindy</t>
  </si>
  <si>
    <t>#2784</t>
  </si>
  <si>
    <t>West Anthonymouth</t>
  </si>
  <si>
    <t>#2785</t>
  </si>
  <si>
    <t>Marcmouth</t>
  </si>
  <si>
    <t>#2786</t>
  </si>
  <si>
    <t>North Teresa</t>
  </si>
  <si>
    <t>#2787</t>
  </si>
  <si>
    <t>South Stacie</t>
  </si>
  <si>
    <t>#2788</t>
  </si>
  <si>
    <t>West Dawn</t>
  </si>
  <si>
    <t>#2789</t>
  </si>
  <si>
    <t>Olsonberg</t>
  </si>
  <si>
    <t>#2790</t>
  </si>
  <si>
    <t>Thompsonton</t>
  </si>
  <si>
    <t>#2791</t>
  </si>
  <si>
    <t>Rosemouth</t>
  </si>
  <si>
    <t>#2792</t>
  </si>
  <si>
    <t>West Marcus</t>
  </si>
  <si>
    <t>#2793</t>
  </si>
  <si>
    <t>South Danielshire</t>
  </si>
  <si>
    <t>#2794</t>
  </si>
  <si>
    <t>Andradeburgh</t>
  </si>
  <si>
    <t>#2795</t>
  </si>
  <si>
    <t>Port Caitlin</t>
  </si>
  <si>
    <t>#2796</t>
  </si>
  <si>
    <t>Ricardomouth</t>
  </si>
  <si>
    <t>#2797</t>
  </si>
  <si>
    <t>Mcintoshbury</t>
  </si>
  <si>
    <t>#2798</t>
  </si>
  <si>
    <t>West Daniel</t>
  </si>
  <si>
    <t>#2799</t>
  </si>
  <si>
    <t>Port Jamie</t>
  </si>
  <si>
    <t>#2800</t>
  </si>
  <si>
    <t>#2801</t>
  </si>
  <si>
    <t>Lake Scottmouth</t>
  </si>
  <si>
    <t>#2802</t>
  </si>
  <si>
    <t>Johnsontown</t>
  </si>
  <si>
    <t>#2803</t>
  </si>
  <si>
    <t>West Keith</t>
  </si>
  <si>
    <t>#2804</t>
  </si>
  <si>
    <t>Rileystad</t>
  </si>
  <si>
    <t>#2805</t>
  </si>
  <si>
    <t>North Mark</t>
  </si>
  <si>
    <t>#2806</t>
  </si>
  <si>
    <t>Bennettside</t>
  </si>
  <si>
    <t>#2807</t>
  </si>
  <si>
    <t>New Loriport</t>
  </si>
  <si>
    <t>#2808</t>
  </si>
  <si>
    <t>#2809</t>
  </si>
  <si>
    <t>Timothyfort</t>
  </si>
  <si>
    <t>#2810</t>
  </si>
  <si>
    <t>Natashaview</t>
  </si>
  <si>
    <t>#2811</t>
  </si>
  <si>
    <t>#2812</t>
  </si>
  <si>
    <t>#2813</t>
  </si>
  <si>
    <t>Lake Breannashire</t>
  </si>
  <si>
    <t>#2814</t>
  </si>
  <si>
    <t>Alisonton</t>
  </si>
  <si>
    <t>#2815</t>
  </si>
  <si>
    <t>Danielle Franco</t>
  </si>
  <si>
    <t>danielle.franco952@yahoo.com</t>
  </si>
  <si>
    <t>Port Daniel</t>
  </si>
  <si>
    <t>#2816</t>
  </si>
  <si>
    <t>$11.20</t>
  </si>
  <si>
    <t>Andreaview</t>
  </si>
  <si>
    <t>#2817</t>
  </si>
  <si>
    <t>Charlesland</t>
  </si>
  <si>
    <t>#2818</t>
  </si>
  <si>
    <t>COURTNEY BULLOCK</t>
  </si>
  <si>
    <t>#2819</t>
  </si>
  <si>
    <t>East Michellefurt</t>
  </si>
  <si>
    <t>#2820</t>
  </si>
  <si>
    <t>#2821</t>
  </si>
  <si>
    <t>Lake Savannah</t>
  </si>
  <si>
    <t>#2822</t>
  </si>
  <si>
    <t>Smithhaven</t>
  </si>
  <si>
    <t>#2823</t>
  </si>
  <si>
    <t>New Tony</t>
  </si>
  <si>
    <t>#2824</t>
  </si>
  <si>
    <t>South Nicholasberg</t>
  </si>
  <si>
    <t>#2825</t>
  </si>
  <si>
    <t>Greenmouth</t>
  </si>
  <si>
    <t>#2826</t>
  </si>
  <si>
    <t>Jonburgh</t>
  </si>
  <si>
    <t>#2827</t>
  </si>
  <si>
    <t>East Nicholas</t>
  </si>
  <si>
    <t>#2828</t>
  </si>
  <si>
    <t>East Nicoleburgh</t>
  </si>
  <si>
    <t>#2829</t>
  </si>
  <si>
    <t>West Jessica</t>
  </si>
  <si>
    <t>#2830</t>
  </si>
  <si>
    <t>RUNNING SHOES - WOMEN'S</t>
  </si>
  <si>
    <t>Branchberg</t>
  </si>
  <si>
    <t>#2831</t>
  </si>
  <si>
    <t>North Stefanie</t>
  </si>
  <si>
    <t>#2832</t>
  </si>
  <si>
    <t>Nobletown</t>
  </si>
  <si>
    <t>#2833</t>
  </si>
  <si>
    <t>North Theresaton</t>
  </si>
  <si>
    <t>#2834</t>
  </si>
  <si>
    <t>rachel.colon654@yahoo.com</t>
  </si>
  <si>
    <t>North Javier</t>
  </si>
  <si>
    <t>#2835</t>
  </si>
  <si>
    <t>West Heathershire</t>
  </si>
  <si>
    <t>#2836</t>
  </si>
  <si>
    <t>South Catherineland</t>
  </si>
  <si>
    <t>#2837</t>
  </si>
  <si>
    <t>East Jamesfurt</t>
  </si>
  <si>
    <t>#2838</t>
  </si>
  <si>
    <t>Lake Troy</t>
  </si>
  <si>
    <t>#2839</t>
  </si>
  <si>
    <t>Port Michael</t>
  </si>
  <si>
    <t>#2840</t>
  </si>
  <si>
    <t>Robertsfort</t>
  </si>
  <si>
    <t>#2841</t>
  </si>
  <si>
    <t>Smithland</t>
  </si>
  <si>
    <t>#2842</t>
  </si>
  <si>
    <t>East Melissa</t>
  </si>
  <si>
    <t>#2843</t>
  </si>
  <si>
    <t>Lynchport</t>
  </si>
  <si>
    <t>#2844</t>
  </si>
  <si>
    <t xml:space="preserve">Vitamin C Serum 30ml  </t>
  </si>
  <si>
    <t>Lake Rickystad</t>
  </si>
  <si>
    <t>#2845</t>
  </si>
  <si>
    <t>Shepherdshire</t>
  </si>
  <si>
    <t>#2846</t>
  </si>
  <si>
    <t>Christina Mcknight</t>
  </si>
  <si>
    <t>christina.mcknight904@outlook.com</t>
  </si>
  <si>
    <t>Rodriguezmouth</t>
  </si>
  <si>
    <t>#2847</t>
  </si>
  <si>
    <t>William Fry</t>
  </si>
  <si>
    <t>william.fry209@gmail.com</t>
  </si>
  <si>
    <t>Murrayburgh</t>
  </si>
  <si>
    <t>#2848</t>
  </si>
  <si>
    <t>East Tamaraberg</t>
  </si>
  <si>
    <t>#2849</t>
  </si>
  <si>
    <t>alexandria miller</t>
  </si>
  <si>
    <t>Youngshire</t>
  </si>
  <si>
    <t>#2850</t>
  </si>
  <si>
    <t>Houston, William</t>
  </si>
  <si>
    <t>East Kimville</t>
  </si>
  <si>
    <t>#2851</t>
  </si>
  <si>
    <t>Lawrencebury</t>
  </si>
  <si>
    <t>#2852</t>
  </si>
  <si>
    <t>West Susan</t>
  </si>
  <si>
    <t>#2853</t>
  </si>
  <si>
    <t>Port Andrewburgh</t>
  </si>
  <si>
    <t>#2854</t>
  </si>
  <si>
    <t>Jacobside</t>
  </si>
  <si>
    <t>#2855</t>
  </si>
  <si>
    <t>North Richard</t>
  </si>
  <si>
    <t>#2856</t>
  </si>
  <si>
    <t>Burnsbury</t>
  </si>
  <si>
    <t>#2857</t>
  </si>
  <si>
    <t>Angelabury</t>
  </si>
  <si>
    <t>#2858</t>
  </si>
  <si>
    <t>Brianview</t>
  </si>
  <si>
    <t>#2859</t>
  </si>
  <si>
    <t>Heatherside</t>
  </si>
  <si>
    <t>#2860</t>
  </si>
  <si>
    <t>Port Patricia</t>
  </si>
  <si>
    <t>#2861</t>
  </si>
  <si>
    <t>West Brittanyborough</t>
  </si>
  <si>
    <t>#2862</t>
  </si>
  <si>
    <t>South Lisaton</t>
  </si>
  <si>
    <t>#2863</t>
  </si>
  <si>
    <t>Thomasborough</t>
  </si>
  <si>
    <t>#2864</t>
  </si>
  <si>
    <t>#2865</t>
  </si>
  <si>
    <t>New Lisaton</t>
  </si>
  <si>
    <t>#2866</t>
  </si>
  <si>
    <t>Hunt, Anthony</t>
  </si>
  <si>
    <t>$43.96</t>
  </si>
  <si>
    <t>East Catherine</t>
  </si>
  <si>
    <t>#2867</t>
  </si>
  <si>
    <t>Bonillaside</t>
  </si>
  <si>
    <t>#2868</t>
  </si>
  <si>
    <t>Reginafurt</t>
  </si>
  <si>
    <t>#2869</t>
  </si>
  <si>
    <t>Moodytown</t>
  </si>
  <si>
    <t>#2870</t>
  </si>
  <si>
    <t>Deniseshire</t>
  </si>
  <si>
    <t>#2871</t>
  </si>
  <si>
    <t>Michaelchester</t>
  </si>
  <si>
    <t>#2872</t>
  </si>
  <si>
    <t>Crawfordland</t>
  </si>
  <si>
    <t>#2873</t>
  </si>
  <si>
    <t>Lake Cynthialand</t>
  </si>
  <si>
    <t>#2874</t>
  </si>
  <si>
    <t>#2875</t>
  </si>
  <si>
    <t>VIP15 </t>
  </si>
  <si>
    <t>$35.73</t>
  </si>
  <si>
    <t>Cardenaston</t>
  </si>
  <si>
    <t>#2876</t>
  </si>
  <si>
    <t>Richardville</t>
  </si>
  <si>
    <t>#2877</t>
  </si>
  <si>
    <t>Jennifer White</t>
  </si>
  <si>
    <t>jennifer.white450@icloud.com</t>
  </si>
  <si>
    <t>#2878</t>
  </si>
  <si>
    <t>East Jakeberg</t>
  </si>
  <si>
    <t>#2879</t>
  </si>
  <si>
    <t>Roberttown</t>
  </si>
  <si>
    <t>#2880</t>
  </si>
  <si>
    <t>Brianna Hicks</t>
  </si>
  <si>
    <t>brianna.hicks972@icloud.com</t>
  </si>
  <si>
    <t>Shawnshire</t>
  </si>
  <si>
    <t>#2881</t>
  </si>
  <si>
    <t>East Briannamouth</t>
  </si>
  <si>
    <t>#2882</t>
  </si>
  <si>
    <t>Nicholasside</t>
  </si>
  <si>
    <t>#2883</t>
  </si>
  <si>
    <t>Teresaton</t>
  </si>
  <si>
    <t>#2884</t>
  </si>
  <si>
    <t>Shopify Test</t>
  </si>
  <si>
    <t>New Emilystad</t>
  </si>
  <si>
    <t>#2885</t>
  </si>
  <si>
    <t>Jessica Tucker</t>
  </si>
  <si>
    <t>jessica.tucker963@gmail.com</t>
  </si>
  <si>
    <t>Ryantown</t>
  </si>
  <si>
    <t>#2886</t>
  </si>
  <si>
    <t>Hernandezbury</t>
  </si>
  <si>
    <t>#2887</t>
  </si>
  <si>
    <t>East Charlestown</t>
  </si>
  <si>
    <t>#2888</t>
  </si>
  <si>
    <t>Barnesville</t>
  </si>
  <si>
    <t>#2889</t>
  </si>
  <si>
    <t>North Christopherhaven</t>
  </si>
  <si>
    <t>#2890</t>
  </si>
  <si>
    <t>South Earlburgh</t>
  </si>
  <si>
    <t>#2891</t>
  </si>
  <si>
    <t>Angelicamouth</t>
  </si>
  <si>
    <t>#2892</t>
  </si>
  <si>
    <t>#2893</t>
  </si>
  <si>
    <t>Lake William</t>
  </si>
  <si>
    <t>#2894</t>
  </si>
  <si>
    <t>Amymouth</t>
  </si>
  <si>
    <t>#2895</t>
  </si>
  <si>
    <t>Kevinberg</t>
  </si>
  <si>
    <t>#2896</t>
  </si>
  <si>
    <t>Huffmanmouth</t>
  </si>
  <si>
    <t>#2897</t>
  </si>
  <si>
    <t>Lake Mitchelltown</t>
  </si>
  <si>
    <t>#2898</t>
  </si>
  <si>
    <t>Pruittshire</t>
  </si>
  <si>
    <t>#2899</t>
  </si>
  <si>
    <t>TINA CRANE</t>
  </si>
  <si>
    <t>Samuelstad</t>
  </si>
  <si>
    <t>#2900</t>
  </si>
  <si>
    <t>West Shelleyside</t>
  </si>
  <si>
    <t>#2901</t>
  </si>
  <si>
    <t>#2902</t>
  </si>
  <si>
    <t>North Alexandraborough</t>
  </si>
  <si>
    <t>#2903</t>
  </si>
  <si>
    <t>Jeffreyport</t>
  </si>
  <si>
    <t>#2904</t>
  </si>
  <si>
    <t>Grantchester</t>
  </si>
  <si>
    <t>#2905</t>
  </si>
  <si>
    <t>Prattfurt</t>
  </si>
  <si>
    <t>#2906</t>
  </si>
  <si>
    <t>Jonesshire</t>
  </si>
  <si>
    <t>#2907</t>
  </si>
  <si>
    <t>Amyshire</t>
  </si>
  <si>
    <t>#2908</t>
  </si>
  <si>
    <t>$26.23</t>
  </si>
  <si>
    <t>#2909</t>
  </si>
  <si>
    <t>#2910</t>
  </si>
  <si>
    <t>Andresburgh</t>
  </si>
  <si>
    <t>#2911</t>
  </si>
  <si>
    <t>Grantbury</t>
  </si>
  <si>
    <t>#2912</t>
  </si>
  <si>
    <t>Longstad</t>
  </si>
  <si>
    <t>#2913</t>
  </si>
  <si>
    <t>JAMES MILLER</t>
  </si>
  <si>
    <t>Mercadostad</t>
  </si>
  <si>
    <t>#2914</t>
  </si>
  <si>
    <t>New Amanda</t>
  </si>
  <si>
    <t>#2915</t>
  </si>
  <si>
    <t>Port Courtney</t>
  </si>
  <si>
    <t>#2916</t>
  </si>
  <si>
    <t>Faithhaven</t>
  </si>
  <si>
    <t>#2917</t>
  </si>
  <si>
    <t xml:space="preserve">Scented Soy Candle - Vanilla  </t>
  </si>
  <si>
    <t>West Robert</t>
  </si>
  <si>
    <t>#2918</t>
  </si>
  <si>
    <t>New Justin</t>
  </si>
  <si>
    <t>#2919</t>
  </si>
  <si>
    <t>Hendrixmouth</t>
  </si>
  <si>
    <t>#2920</t>
  </si>
  <si>
    <t>JENNIFER BURKE</t>
  </si>
  <si>
    <t>Johnnyland</t>
  </si>
  <si>
    <t>#2921</t>
  </si>
  <si>
    <t>$23.48</t>
  </si>
  <si>
    <t>Port Ashley</t>
  </si>
  <si>
    <t>#2922</t>
  </si>
  <si>
    <t>Shawnbury</t>
  </si>
  <si>
    <t>#2923</t>
  </si>
  <si>
    <t>Rivasborough</t>
  </si>
  <si>
    <t>#2924</t>
  </si>
  <si>
    <t>Port Nina</t>
  </si>
  <si>
    <t>#2925</t>
  </si>
  <si>
    <t>Montoyaside</t>
  </si>
  <si>
    <t>#2926</t>
  </si>
  <si>
    <t>West Laurie</t>
  </si>
  <si>
    <t>#2927</t>
  </si>
  <si>
    <t>#2928</t>
  </si>
  <si>
    <t>North Jamesbury</t>
  </si>
  <si>
    <t>#2929</t>
  </si>
  <si>
    <t>Bakerburgh</t>
  </si>
  <si>
    <t>#2930</t>
  </si>
  <si>
    <t>North Tonybury</t>
  </si>
  <si>
    <t>#2931</t>
  </si>
  <si>
    <t>South Cassandraton</t>
  </si>
  <si>
    <t>#2932</t>
  </si>
  <si>
    <t>Chad Pierce</t>
  </si>
  <si>
    <t>chad.pierce440@outlook.com</t>
  </si>
  <si>
    <t>West Benjamin</t>
  </si>
  <si>
    <t>#2933</t>
  </si>
  <si>
    <t>East Kimberly</t>
  </si>
  <si>
    <t>#2934</t>
  </si>
  <si>
    <t>South Antonio</t>
  </si>
  <si>
    <t>#2935</t>
  </si>
  <si>
    <t>Christopherside</t>
  </si>
  <si>
    <t>#2936</t>
  </si>
  <si>
    <t>Pennymouth</t>
  </si>
  <si>
    <t>#2937</t>
  </si>
  <si>
    <t>#2938</t>
  </si>
  <si>
    <t>Rogersborough</t>
  </si>
  <si>
    <t>#2939</t>
  </si>
  <si>
    <t>$18.13</t>
  </si>
  <si>
    <t>Williamsstad</t>
  </si>
  <si>
    <t>#2940</t>
  </si>
  <si>
    <t>New Alejandra</t>
  </si>
  <si>
    <t>#2941</t>
  </si>
  <si>
    <t>Martinezville</t>
  </si>
  <si>
    <t>#2942</t>
  </si>
  <si>
    <t>$4.60</t>
  </si>
  <si>
    <t>Merrittchester</t>
  </si>
  <si>
    <t>#2943</t>
  </si>
  <si>
    <t>Isaiahport</t>
  </si>
  <si>
    <t>#2944</t>
  </si>
  <si>
    <t>North Melanie</t>
  </si>
  <si>
    <t>#2945</t>
  </si>
  <si>
    <t>Tracyton</t>
  </si>
  <si>
    <t>#2946</t>
  </si>
  <si>
    <t>Maystad</t>
  </si>
  <si>
    <t>#2947</t>
  </si>
  <si>
    <t>Martinezfurt</t>
  </si>
  <si>
    <t>#2948</t>
  </si>
  <si>
    <t>#2949</t>
  </si>
  <si>
    <t>Medinabury</t>
  </si>
  <si>
    <t>#2950</t>
  </si>
  <si>
    <t>Sandyshire</t>
  </si>
  <si>
    <t>#2951</t>
  </si>
  <si>
    <t>Brianchester</t>
  </si>
  <si>
    <t>#2952</t>
  </si>
  <si>
    <t>South Drewport</t>
  </si>
  <si>
    <t>#2953</t>
  </si>
  <si>
    <t>Stephenschester</t>
  </si>
  <si>
    <t>#2954</t>
  </si>
  <si>
    <t>#2955</t>
  </si>
  <si>
    <t>#2956</t>
  </si>
  <si>
    <t xml:space="preserve">  Ronald Stanley</t>
  </si>
  <si>
    <t>New Benjaminfort</t>
  </si>
  <si>
    <t>#2957</t>
  </si>
  <si>
    <t>South Oliviaburgh</t>
  </si>
  <si>
    <t>#2958</t>
  </si>
  <si>
    <t>Walker, Douglas</t>
  </si>
  <si>
    <t>Hallton</t>
  </si>
  <si>
    <t>#2959</t>
  </si>
  <si>
    <t>Campbellfurt</t>
  </si>
  <si>
    <t>#2960</t>
  </si>
  <si>
    <t>Port Mandyville</t>
  </si>
  <si>
    <t>#2961</t>
  </si>
  <si>
    <t>$18.98</t>
  </si>
  <si>
    <t>New Raymond</t>
  </si>
  <si>
    <t>#2962</t>
  </si>
  <si>
    <t>West Margaretstad</t>
  </si>
  <si>
    <t>#2963</t>
  </si>
  <si>
    <t>Keithfort</t>
  </si>
  <si>
    <t>#2964</t>
  </si>
  <si>
    <t>Ashleyberg</t>
  </si>
  <si>
    <t>#2965</t>
  </si>
  <si>
    <t>HEATHER RIVERS</t>
  </si>
  <si>
    <t>New Jessicamouth</t>
  </si>
  <si>
    <t>#2966</t>
  </si>
  <si>
    <t>New Amberbury</t>
  </si>
  <si>
    <t>#2967</t>
  </si>
  <si>
    <t>South Donna</t>
  </si>
  <si>
    <t>#2968</t>
  </si>
  <si>
    <t>Johnson, Kimberly</t>
  </si>
  <si>
    <t>Lake Craigburgh</t>
  </si>
  <si>
    <t>#2969</t>
  </si>
  <si>
    <t>South Lindsey</t>
  </si>
  <si>
    <t>#2970</t>
  </si>
  <si>
    <t>Carlsonhaven</t>
  </si>
  <si>
    <t>#2971</t>
  </si>
  <si>
    <t xml:space="preserve">  Amy Thompson</t>
  </si>
  <si>
    <t>Monicafort</t>
  </si>
  <si>
    <t>#2972</t>
  </si>
  <si>
    <t>Catherinefurt</t>
  </si>
  <si>
    <t>#2973</t>
  </si>
  <si>
    <t>Port Janetville</t>
  </si>
  <si>
    <t>#2974</t>
  </si>
  <si>
    <t>Meganhaven</t>
  </si>
  <si>
    <t>#2975</t>
  </si>
  <si>
    <t>Neilburgh</t>
  </si>
  <si>
    <t>#2976</t>
  </si>
  <si>
    <t>Abigailtown</t>
  </si>
  <si>
    <t>#2977</t>
  </si>
  <si>
    <t>#2978</t>
  </si>
  <si>
    <t>Dennisshire</t>
  </si>
  <si>
    <t>#2979</t>
  </si>
  <si>
    <t>Joycebury</t>
  </si>
  <si>
    <t>#2980</t>
  </si>
  <si>
    <t>Taylorville</t>
  </si>
  <si>
    <t>#2981</t>
  </si>
  <si>
    <t>Andreamouth</t>
  </si>
  <si>
    <t>#2982</t>
  </si>
  <si>
    <t>Bradley Farmer</t>
  </si>
  <si>
    <t>Port Darryl</t>
  </si>
  <si>
    <t>#2983</t>
  </si>
  <si>
    <t>Smithside</t>
  </si>
  <si>
    <t>#2984</t>
  </si>
  <si>
    <t>Garrettland</t>
  </si>
  <si>
    <t>#2985</t>
  </si>
  <si>
    <t>North Kevin</t>
  </si>
  <si>
    <t>#2986</t>
  </si>
  <si>
    <t>melissa smith</t>
  </si>
  <si>
    <t>Jacobmouth</t>
  </si>
  <si>
    <t>#2987</t>
  </si>
  <si>
    <t>Martinezview</t>
  </si>
  <si>
    <t>#2988</t>
  </si>
  <si>
    <t>North Lindaberg</t>
  </si>
  <si>
    <t>#2989</t>
  </si>
  <si>
    <t>Ramoshaven</t>
  </si>
  <si>
    <t>#2990</t>
  </si>
  <si>
    <t>Port Michaelborough</t>
  </si>
  <si>
    <t>#2991</t>
  </si>
  <si>
    <t>East Adamville</t>
  </si>
  <si>
    <t>#2992</t>
  </si>
  <si>
    <t>Robinsonberg</t>
  </si>
  <si>
    <t>#2993</t>
  </si>
  <si>
    <t>#2994</t>
  </si>
  <si>
    <t>Boydhaven</t>
  </si>
  <si>
    <t>#2995</t>
  </si>
  <si>
    <t>Delgadofurt</t>
  </si>
  <si>
    <t>#2996</t>
  </si>
  <si>
    <t>New Denise</t>
  </si>
  <si>
    <t>#2997</t>
  </si>
  <si>
    <t>Moorefurt</t>
  </si>
  <si>
    <t>#2998</t>
  </si>
  <si>
    <t>stephanie mcdonald</t>
  </si>
  <si>
    <t>Estradafort</t>
  </si>
  <si>
    <t>#2999</t>
  </si>
  <si>
    <t>Christianport</t>
  </si>
  <si>
    <t>#3000</t>
  </si>
  <si>
    <t>$31.78</t>
  </si>
  <si>
    <t>Grace Ray</t>
  </si>
  <si>
    <t xml:space="preserve">  Sharon Brown</t>
  </si>
  <si>
    <t>JACQUELINE GRAHAM</t>
  </si>
  <si>
    <t>$21.48</t>
  </si>
  <si>
    <t>Patterson, Anthony</t>
  </si>
  <si>
    <t>Total Orders</t>
  </si>
  <si>
    <t>Blank Values</t>
  </si>
  <si>
    <t>Order status</t>
  </si>
  <si>
    <t>Duplicate Oders</t>
  </si>
  <si>
    <t>Country Variations</t>
  </si>
  <si>
    <t>United Kindom</t>
  </si>
  <si>
    <t>Inconsistent Date Formats</t>
  </si>
  <si>
    <t>Negative Quantity Orders</t>
  </si>
  <si>
    <t>Test Orders</t>
  </si>
  <si>
    <t>Currency as Text</t>
  </si>
  <si>
    <t>None</t>
  </si>
  <si>
    <t>Data Quality Assessment</t>
  </si>
  <si>
    <t>Row Labels</t>
  </si>
  <si>
    <t>Grand Total</t>
  </si>
  <si>
    <t>Sum of Sales</t>
  </si>
  <si>
    <t>State Status</t>
  </si>
  <si>
    <t>Valid</t>
  </si>
  <si>
    <t>Missing</t>
  </si>
  <si>
    <t>Not Required</t>
  </si>
  <si>
    <t>Status</t>
  </si>
  <si>
    <t>Count</t>
  </si>
  <si>
    <t>Missing States Probem</t>
  </si>
  <si>
    <t>Sales by Country</t>
  </si>
  <si>
    <t xml:space="preserve">                                08/04/2026</t>
  </si>
  <si>
    <t>Formatted Order Date</t>
  </si>
  <si>
    <t>Missing Email %</t>
  </si>
  <si>
    <t>Missing Emails</t>
  </si>
  <si>
    <t>Email Status</t>
  </si>
  <si>
    <t>Email Available</t>
  </si>
  <si>
    <t>Missing Email</t>
  </si>
  <si>
    <t>Column Labels</t>
  </si>
  <si>
    <t>Count of Order ID</t>
  </si>
  <si>
    <t>Missing Customer Emails</t>
  </si>
  <si>
    <t>Emails status by differet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</si>
</sst>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]dd\-mmm\-yyyy;@" x16r2:formatCode16="[$-en-PK,1]dd\-mmm\-yyyy;@"/>
  </numFmts>
  <fonts count="9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4" borderId="0" xfId="0" applyFill="1"/>
    <xf numFmtId="165" fontId="2" fillId="0" borderId="0" xfId="0" applyNumberFormat="1" applyFont="1"/>
    <xf numFmtId="14" fontId="2" fillId="0" borderId="0" xfId="0" applyNumberFormat="1" applyFont="1"/>
    <xf numFmtId="14" fontId="1" fillId="0" borderId="0" xfId="0" applyNumberFormat="1" applyFont="1"/>
    <xf numFmtId="14" fontId="6" fillId="0" borderId="0" xfId="0" applyNumberFormat="1" applyFont="1"/>
    <xf numFmtId="14" fontId="0" fillId="0" borderId="0" xfId="0" applyNumberFormat="1"/>
    <xf numFmtId="0" fontId="7" fillId="0" borderId="0" xfId="0" applyFont="1"/>
    <xf numFmtId="9" fontId="0" fillId="0" borderId="0" xfId="1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0" xfId="0" applyNumberFormat="1"/>
    <xf numFmtId="0" fontId="3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numFmt numFmtId="164" formatCode="[$$-409]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titude 7310" refreshedDate="46240.994593981479" createdVersion="8" refreshedVersion="8" minRefreshableVersion="3" recordCount="327" xr:uid="{075E7064-AAAB-418F-9659-676EF2A6DB6E}">
  <cacheSource type="worksheet">
    <worksheetSource ref="A1:V328" sheet="Orders"/>
  </cacheSource>
  <cacheFields count="19">
    <cacheField name="Order ID" numFmtId="0">
      <sharedItems/>
    </cacheField>
    <cacheField name="Order Date" numFmtId="0">
      <sharedItems containsDate="1" containsMixedTypes="1" minDate="2026-08-04T13:53:34" maxDate="2026-08-04T14:08:21"/>
    </cacheField>
    <cacheField name="Customer Name" numFmtId="0">
      <sharedItems containsBlank="1"/>
    </cacheField>
    <cacheField name="Customer Email" numFmtId="0">
      <sharedItems containsBlank="1"/>
    </cacheField>
    <cacheField name="Product Name" numFmtId="0">
      <sharedItems/>
    </cacheField>
    <cacheField name="Category" numFmtId="0">
      <sharedItems/>
    </cacheField>
    <cacheField name="SKU" numFmtId="0">
      <sharedItems/>
    </cacheField>
    <cacheField name="Quantity" numFmtId="0">
      <sharedItems containsSemiMixedTypes="0" containsString="0" containsNumber="1" containsInteger="1" minValue="-3" maxValue="4"/>
    </cacheField>
    <cacheField name="Unit Price" numFmtId="0">
      <sharedItems containsMixedTypes="1" containsNumber="1" minValue="8.99" maxValue="89.99"/>
    </cacheField>
    <cacheField name="Discount Code" numFmtId="0">
      <sharedItems containsBlank="1"/>
    </cacheField>
    <cacheField name="Discount Amount" numFmtId="0">
      <sharedItems containsMixedTypes="1" containsNumber="1" minValue="0" maxValue="40.5"/>
    </cacheField>
    <cacheField name="Shipping" numFmtId="0">
      <sharedItems containsSemiMixedTypes="0" containsString="0" containsNumber="1" minValue="0" maxValue="7.99"/>
    </cacheField>
    <cacheField name="Total" numFmtId="0">
      <sharedItems containsMixedTypes="1" containsNumber="1" minValue="9.99" maxValue="949.5"/>
    </cacheField>
    <cacheField name="Payment Method" numFmtId="0">
      <sharedItems/>
    </cacheField>
    <cacheField name="Channel" numFmtId="0">
      <sharedItems/>
    </cacheField>
    <cacheField name="Order Status" numFmtId="0">
      <sharedItems/>
    </cacheField>
    <cacheField name="Country" numFmtId="0">
      <sharedItems count="7">
        <s v="Pakistan"/>
        <s v="Canada"/>
        <s v="United States"/>
        <s v="Germany"/>
        <s v="Australia"/>
        <s v="United Kingdom"/>
        <s v="United States " u="1"/>
      </sharedItems>
    </cacheField>
    <cacheField name="State" numFmtId="0">
      <sharedItems containsBlank="1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titude 7310" refreshedDate="46243.934669097223" createdVersion="8" refreshedVersion="8" minRefreshableVersion="3" recordCount="2035" xr:uid="{204EEE61-62A4-4C3A-A6C5-FC20211811F3}">
  <cacheSource type="worksheet">
    <worksheetSource ref="A1:V2036" sheet="Orders"/>
  </cacheSource>
  <cacheFields count="22">
    <cacheField name="Order ID" numFmtId="0">
      <sharedItems/>
    </cacheField>
    <cacheField name="Formatted Order Date" numFmtId="165">
      <sharedItems containsSemiMixedTypes="0" containsNonDate="0" containsDate="1" containsString="0" minDate="2026-04-08T00:00:00" maxDate="2026-08-04T14:08:26"/>
    </cacheField>
    <cacheField name="Order Date" numFmtId="14">
      <sharedItems containsDate="1" containsMixedTypes="1" minDate="2026-04-08T00:00:00" maxDate="2026-08-04T14:08:26"/>
    </cacheField>
    <cacheField name="Customer Name" numFmtId="0">
      <sharedItems containsBlank="1"/>
    </cacheField>
    <cacheField name="Email Status" numFmtId="0">
      <sharedItems count="2">
        <s v="Email Available"/>
        <s v="Missing Email"/>
      </sharedItems>
    </cacheField>
    <cacheField name="Customer Email" numFmtId="0">
      <sharedItems containsBlank="1"/>
    </cacheField>
    <cacheField name="Product Name" numFmtId="0">
      <sharedItems/>
    </cacheField>
    <cacheField name="Category" numFmtId="0">
      <sharedItems/>
    </cacheField>
    <cacheField name="SKU" numFmtId="0">
      <sharedItems/>
    </cacheField>
    <cacheField name="Quantity" numFmtId="0">
      <sharedItems containsSemiMixedTypes="0" containsString="0" containsNumber="1" containsInteger="1" minValue="-3" maxValue="4"/>
    </cacheField>
    <cacheField name="Unit Price" numFmtId="0">
      <sharedItems containsMixedTypes="1" containsNumber="1" minValue="8.99" maxValue="89.99"/>
    </cacheField>
    <cacheField name="Discount Code" numFmtId="0">
      <sharedItems containsBlank="1"/>
    </cacheField>
    <cacheField name="Discount Amount" numFmtId="0">
      <sharedItems containsMixedTypes="1" containsNumber="1" minValue="0" maxValue="53.99"/>
    </cacheField>
    <cacheField name="Shipping" numFmtId="0">
      <sharedItems containsSemiMixedTypes="0" containsString="0" containsNumber="1" minValue="0" maxValue="7.99"/>
    </cacheField>
    <cacheField name="Total" numFmtId="0">
      <sharedItems containsMixedTypes="1" containsNumber="1" minValue="0" maxValue="2999"/>
    </cacheField>
    <cacheField name="Payment Method" numFmtId="0">
      <sharedItems/>
    </cacheField>
    <cacheField name="Channel" numFmtId="0">
      <sharedItems count="4">
        <s v="Online Store"/>
        <s v="POS"/>
        <s v="Facebook"/>
        <s v="Instagram"/>
      </sharedItems>
    </cacheField>
    <cacheField name="Order Status" numFmtId="0">
      <sharedItems/>
    </cacheField>
    <cacheField name="Country" numFmtId="0">
      <sharedItems/>
    </cacheField>
    <cacheField name="State" numFmtId="0">
      <sharedItems containsBlank="1"/>
    </cacheField>
    <cacheField name="State Status" numFmtId="0">
      <sharedItems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">
  <r>
    <s v="#1042"/>
    <d v="2026-08-04T13:55:24"/>
    <s v="Angie Martin"/>
    <s v="angie.martin506@icloud.com"/>
    <s v="Running Shoes - Women's"/>
    <s v="Footwear"/>
    <s v="FTW-RUN-W"/>
    <n v="-1"/>
    <n v="54.99"/>
    <s v="VIP15"/>
    <n v="8.25"/>
    <n v="5.99"/>
    <n v="52.73"/>
    <s v="PayPal"/>
    <s v="Online Store"/>
    <s v="fulfilled"/>
    <x v="0"/>
    <m/>
    <s v="West Travis"/>
  </r>
  <r>
    <s v="#1083"/>
    <d v="2026-08-04T13:54:56"/>
    <s v="Johnathan Sloan"/>
    <s v="johnathan.sloan721@outlook.com"/>
    <s v="Running Shoes - Men's"/>
    <s v="Footwear"/>
    <s v="FTW-RUN-M"/>
    <n v="-1"/>
    <n v="54.99"/>
    <s v="SAVE20"/>
    <s v="$11.00"/>
    <n v="5.99"/>
    <n v="49.98"/>
    <s v="Apple Pay"/>
    <s v="Online Store"/>
    <s v="fulfilled"/>
    <x v="0"/>
    <m/>
    <s v="Robertborough"/>
  </r>
  <r>
    <s v="#1371"/>
    <d v="2026-08-04T13:59:50"/>
    <s v="Andrew Vargas"/>
    <s v="andrew.vargas381@outlook.com"/>
    <s v="Hooded Sweatshirt"/>
    <s v="Apparel"/>
    <s v="APR-HOD-GRY"/>
    <n v="-1"/>
    <n v="34.99"/>
    <m/>
    <n v="0"/>
    <n v="4.99"/>
    <n v="39.979999999999997"/>
    <s v="PayPal"/>
    <s v="Online Store"/>
    <s v="cancelled"/>
    <x v="1"/>
    <m/>
    <s v="Port Jasmineview"/>
  </r>
  <r>
    <s v="#1463"/>
    <d v="2026-08-04T13:56:52"/>
    <s v="Conway, Brittney"/>
    <s v="brittney.conway383@outlook.com"/>
    <s v="Yoga Mat - Extra Thick"/>
    <s v="Sports &amp; Outdoors"/>
    <s v="SP-YGM-EX"/>
    <n v="-2"/>
    <n v="22.99"/>
    <m/>
    <s v="$0.00"/>
    <n v="7.99"/>
    <n v="53.97"/>
    <s v="Apple Pay"/>
    <s v="Online Store"/>
    <s v="fulfilled"/>
    <x v="2"/>
    <s v="Texas"/>
    <s v="North Nathan"/>
  </r>
  <r>
    <s v="#1472"/>
    <s v="08/04/2026"/>
    <s v="Christy Phillips"/>
    <s v="christy.phillips291@gmail.com"/>
    <s v="Hooded Sweatshirt"/>
    <s v="Apparel"/>
    <s v="APR-HOD-GRY"/>
    <n v="-1"/>
    <n v="34.99"/>
    <s v="VIP15"/>
    <n v="5.25"/>
    <n v="7.99"/>
    <n v="37.729999999999997"/>
    <s v="Apple Pay"/>
    <s v="POS"/>
    <s v="cancelled"/>
    <x v="0"/>
    <m/>
    <s v="New Claire"/>
  </r>
  <r>
    <s v="#1632"/>
    <s v="08/04/2026"/>
    <s v="Kenneth Morgan"/>
    <s v="kenneth.morgan181@outlook.com"/>
    <s v="Backpack - 25L"/>
    <s v="Accessories"/>
    <s v="ACC-BPK-25L"/>
    <n v="-3"/>
    <n v="32.99"/>
    <s v="WELCOME10"/>
    <n v="9.9"/>
    <n v="0"/>
    <n v="89.07"/>
    <s v="Apple Pay"/>
    <s v="Online Store"/>
    <s v="fulfilled"/>
    <x v="2"/>
    <s v="Arizona"/>
    <s v="West David"/>
  </r>
  <r>
    <s v="#1836"/>
    <d v="2026-08-04T14:03:31"/>
    <s v="Sergio Turner"/>
    <s v="sergio.turner744@outlook.com"/>
    <s v="Wireless Mouse"/>
    <s v="Electronics"/>
    <s v="ELC-MSE-WL"/>
    <n v="-2"/>
    <n v="11.99"/>
    <m/>
    <n v="0"/>
    <n v="4.99"/>
    <n v="28.97"/>
    <s v="Credit Card"/>
    <s v="Facebook"/>
    <s v="fulfilled"/>
    <x v="3"/>
    <m/>
    <s v="Fordburgh"/>
  </r>
  <r>
    <s v="#2008"/>
    <d v="2026-08-04T14:08:04"/>
    <s v="Jacob Gibbs"/>
    <s v="jacob.gibbs527@gmail.com"/>
    <s v="Classic Cotton T-Shirt"/>
    <s v="Apparel"/>
    <s v="TSH-BLK-M"/>
    <n v="-2"/>
    <n v="14.99"/>
    <m/>
    <n v="0"/>
    <n v="4.99"/>
    <n v="34.97"/>
    <s v="Shopify Payments"/>
    <s v="Online Store"/>
    <s v="fulfilled"/>
    <x v="2"/>
    <s v="North Carolina"/>
    <s v="Keyburgh"/>
  </r>
  <r>
    <s v="#2485"/>
    <d v="2026-08-04T14:05:20"/>
    <s v="George Gould"/>
    <s v="george.gould10@yahoo.com"/>
    <s v="Running Shoes - Women's"/>
    <s v="Footwear"/>
    <s v="FTW-RUN-W"/>
    <n v="-1"/>
    <s v="$54.99"/>
    <m/>
    <n v="0"/>
    <n v="7.99"/>
    <n v="62.98"/>
    <s v="Google Pay"/>
    <s v="Online Store"/>
    <s v="fulfilled"/>
    <x v="1"/>
    <m/>
    <s v="Port Jenniferburgh"/>
  </r>
  <r>
    <s v="#2687"/>
    <d v="2026-08-04T13:59:31"/>
    <s v="Karen Bautista"/>
    <s v="karen.bautista779@icloud.com"/>
    <s v="Vitamin C Serum 30ml"/>
    <s v="Beauty"/>
    <s v="BTY-SRM-30"/>
    <n v="-1"/>
    <n v="24.99"/>
    <m/>
    <n v="0"/>
    <n v="5.99"/>
    <n v="30.98"/>
    <s v="Apple Pay"/>
    <s v="Online Store"/>
    <s v="fulfilled"/>
    <x v="2"/>
    <s v="Washington"/>
    <s v="Patrickmouth"/>
  </r>
  <r>
    <s v="#2862"/>
    <s v="2026-08-04"/>
    <s v="Linda Scott"/>
    <s v="linda.scott2@icloud.com"/>
    <s v="Vitamin C Serum 30ml"/>
    <s v="Beauty"/>
    <s v="BTY-SRM-30"/>
    <n v="-1"/>
    <n v="24.99"/>
    <m/>
    <n v="0"/>
    <n v="4.99"/>
    <n v="29.98"/>
    <s v="Google Pay"/>
    <s v="Facebook"/>
    <s v="fulfilled"/>
    <x v="1"/>
    <m/>
    <s v="South Lisaton"/>
  </r>
  <r>
    <s v="#2888"/>
    <d v="2026-08-04T13:59:49"/>
    <s v="Frederick Bean"/>
    <s v="frederick.bean141@outlook.com"/>
    <s v="Leather Wallet - Brown"/>
    <s v="Accessories"/>
    <s v="ACC-WLT-BRN"/>
    <n v="-2"/>
    <n v="19.989999999999998"/>
    <m/>
    <n v="0"/>
    <n v="7.99"/>
    <n v="47.97"/>
    <s v="Google Pay"/>
    <s v="Online Store"/>
    <s v="pending"/>
    <x v="2"/>
    <s v="California"/>
    <s v="Barnesville"/>
  </r>
  <r>
    <s v="#1003"/>
    <d v="2026-08-04T13:55:36"/>
    <s v="THOMAS ROJAS"/>
    <s v="thomas.rojas667@icloud.com"/>
    <s v="Slim Fit Denim Jeans"/>
    <s v="Apparel"/>
    <s v="JNS-BLU-32"/>
    <n v="1"/>
    <n v="39.99"/>
    <m/>
    <n v="0"/>
    <n v="5.99"/>
    <n v="45.98"/>
    <s v="Credit Card"/>
    <s v="Online Store"/>
    <s v="fulfilled"/>
    <x v="2"/>
    <s v="North Carolina"/>
    <s v="West Cynthialand"/>
  </r>
  <r>
    <s v="#1027"/>
    <d v="2026-08-04T13:58:50"/>
    <s v="Sandra Wilson"/>
    <s v="sandra.wilson554@outlook.com"/>
    <s v="Vitamin C Serum 30ml"/>
    <s v="Beauty"/>
    <s v="BTY-SRM-30"/>
    <n v="1"/>
    <n v="24.99"/>
    <s v="VIP15"/>
    <n v="3.75"/>
    <n v="7.99"/>
    <n v="29.23"/>
    <s v="Apple Pay"/>
    <s v="Online Store"/>
    <s v="pending"/>
    <x v="1"/>
    <m/>
    <s v="Hollyport"/>
  </r>
  <r>
    <s v="#1172"/>
    <d v="2026-08-04T14:01:00"/>
    <s v="TINA SINGH"/>
    <s v="tina.singh98@icloud.com"/>
    <s v="Leather Wallet - Brown"/>
    <s v="Accessories"/>
    <s v="ACC-WLT-BRN"/>
    <n v="1"/>
    <n v="19.989999999999998"/>
    <m/>
    <n v="0"/>
    <n v="5.99"/>
    <n v="25.98"/>
    <s v="Credit Card"/>
    <s v="Online Store"/>
    <s v="fulfilled"/>
    <x v="2"/>
    <s v="Washington"/>
    <s v="East Heathertown"/>
  </r>
  <r>
    <s v="#1260"/>
    <d v="2026-08-04T14:03:58"/>
    <s v="Morgan Brown"/>
    <s v="morgan.brown933@gmail.com"/>
    <s v="Wireless Bluetooth Earbuds"/>
    <s v="Electronics"/>
    <s v="ELC-WBE-01"/>
    <n v="1"/>
    <n v="29.99"/>
    <s v="FREESHIP"/>
    <n v="0"/>
    <n v="0"/>
    <n v="29.99"/>
    <s v="Apple Pay"/>
    <s v="Online Store"/>
    <s v="pending"/>
    <x v="2"/>
    <s v="Florida"/>
    <s v="Austinbury"/>
  </r>
  <r>
    <s v="#1262"/>
    <d v="2026-08-04T14:04:08"/>
    <s v="Mark Mata"/>
    <s v="mark.mata757@outlook.com"/>
    <s v="Facial Cleanser 200ml"/>
    <s v="Beauty"/>
    <s v="BTY-CLN-200"/>
    <n v="1"/>
    <n v="13.49"/>
    <m/>
    <n v="0"/>
    <n v="7.99"/>
    <n v="21.48"/>
    <s v="Apple Pay"/>
    <s v="Facebook"/>
    <s v="pending"/>
    <x v="2"/>
    <s v="Washington"/>
    <s v="Davidburgh"/>
  </r>
  <r>
    <s v="#1305"/>
    <d v="2026-08-04T14:04:15"/>
    <s v="Amy Maldonado"/>
    <s v="amy.maldonado44@gmail.com"/>
    <s v="Polarized Sunglasses"/>
    <s v="Accessories"/>
    <s v="ACC-SUN-01"/>
    <n v="1"/>
    <n v="16.989999999999998"/>
    <m/>
    <n v="0"/>
    <n v="5.99"/>
    <n v="22.98"/>
    <s v="PayPal"/>
    <s v="Online Store"/>
    <s v="fulfilled"/>
    <x v="0"/>
    <m/>
    <s v="Matthewstad"/>
  </r>
  <r>
    <s v="#1652"/>
    <d v="2026-08-04T14:02:11"/>
    <s v="Sean Frank"/>
    <s v="sean.frank587@icloud.com"/>
    <s v="Kids Building Blocks Set"/>
    <s v="Toys"/>
    <s v="TOY-BLK-SET"/>
    <n v="2"/>
    <n v="27.99"/>
    <s v="WELCOME10"/>
    <n v="5.6"/>
    <n v="7.99"/>
    <s v="$58.37"/>
    <s v="Credit Card"/>
    <s v="Facebook"/>
    <s v="fulfilled"/>
    <x v="4"/>
    <m/>
    <s v="Port Josephborough"/>
  </r>
  <r>
    <s v="#1719"/>
    <d v="2026-08-04T14:08:07"/>
    <s v="GRACE RAY"/>
    <s v="grace.ray807@yahoo.com"/>
    <s v="Wireless Mouse"/>
    <s v="Electronics"/>
    <s v="ELC-MSE-WL"/>
    <n v="2"/>
    <n v="11.99"/>
    <m/>
    <n v="0"/>
    <n v="7.99"/>
    <n v="31.97"/>
    <s v="Apple Pay"/>
    <s v="Facebook"/>
    <s v="cancelled"/>
    <x v="5"/>
    <m/>
    <s v="Lutzton"/>
  </r>
  <r>
    <s v="#1781"/>
    <s v="Aug 04, 2026"/>
    <s v="Sharon Brown"/>
    <m/>
    <s v="Running Shoes - Men's"/>
    <s v="Footwear"/>
    <s v="FTW-RUN-M"/>
    <n v="1"/>
    <n v="54.99"/>
    <m/>
    <n v="0"/>
    <n v="4.99"/>
    <n v="59.98"/>
    <s v="Shopify Payments"/>
    <s v="POS"/>
    <s v="fulfilled"/>
    <x v="2"/>
    <s v="Arizona"/>
    <s v="Clarkmouth"/>
  </r>
  <r>
    <s v="#1798"/>
    <d v="2026-08-04T13:57:37"/>
    <s v="TINA SINGH"/>
    <s v="tina.singh98@icloud.com"/>
    <s v="Adjustable Dumbbell Set"/>
    <s v="Sports &amp; Outdoors"/>
    <s v="SP-DMB-ADJ"/>
    <n v="2"/>
    <n v="89.99"/>
    <m/>
    <n v="0"/>
    <n v="0"/>
    <n v="179.98"/>
    <s v="Google Pay"/>
    <s v="POS"/>
    <s v="pending"/>
    <x v="2"/>
    <s v="Georgia"/>
    <s v="North Shannon"/>
  </r>
  <r>
    <s v="#1818"/>
    <s v="08/04/2026"/>
    <s v="Amanda Harris"/>
    <s v="amanda.harris197@gmail.com"/>
    <s v="USB-C Fast Charger 20W  "/>
    <s v="Electronics"/>
    <s v="ELC-CHG-20"/>
    <n v="1"/>
    <n v="15.49"/>
    <m/>
    <n v="0"/>
    <n v="5.99"/>
    <n v="21.48"/>
    <s v="Google Pay"/>
    <s v="Instagram"/>
    <s v="pending"/>
    <x v="2"/>
    <s v="Washington"/>
    <s v="Richardsonburgh"/>
  </r>
  <r>
    <s v="#1859"/>
    <d v="2026-08-04T13:55:24"/>
    <s v="Sarah Webb"/>
    <s v="sarah.webb997@outlook.com"/>
    <s v="Adjustable Dumbbell Set"/>
    <s v="Sports &amp; Outdoors"/>
    <s v="SP-DMB-ADJ"/>
    <n v="3"/>
    <n v="89.99"/>
    <s v="VIP15"/>
    <n v="40.5"/>
    <n v="0"/>
    <n v="229.47"/>
    <s v="PayPal"/>
    <s v="Facebook"/>
    <s v="fulfilled"/>
    <x v="3"/>
    <m/>
    <s v="North Ronald"/>
  </r>
  <r>
    <s v="#1866"/>
    <d v="2026-08-04T13:54:26"/>
    <s v="Melissa Jones"/>
    <m/>
    <s v="Ceramic Coffee Mug Set (4pc)"/>
    <s v="Home &amp; Kitchen"/>
    <s v="HK-MUG-4PK"/>
    <n v="1"/>
    <n v="18.989999999999998"/>
    <s v="FREESHIP"/>
    <n v="0"/>
    <n v="0"/>
    <n v="18.989999999999998"/>
    <s v="Credit Card"/>
    <s v="Online Store"/>
    <s v="pending"/>
    <x v="2"/>
    <s v="Florida"/>
    <s v="Kelseybury"/>
  </r>
  <r>
    <s v="#1948"/>
    <d v="2026-08-04T13:57:22"/>
    <s v="Peter Alvarez"/>
    <s v="peter.alvarez465@yahoo.com"/>
    <s v="Wireless Mouse"/>
    <s v="Electronics"/>
    <s v="ELC-MSE-WL"/>
    <n v="1"/>
    <n v="11.99"/>
    <s v="VIP15"/>
    <n v="1.8"/>
    <n v="5.99"/>
    <n v="16.18"/>
    <s v="PayPal"/>
    <s v="Online Store"/>
    <s v="fulfilled"/>
    <x v="2"/>
    <s v="Illinois"/>
    <s v="New Jeffreystad"/>
  </r>
  <r>
    <s v="#1963"/>
    <s v="04-08-2026 13:58"/>
    <s v="  Sean Frank"/>
    <s v="sean.frank587@icloud.com"/>
    <s v="Yoga Mat - Extra Thick"/>
    <s v="Sports &amp; Outdoors"/>
    <s v="SP-YGM-EX"/>
    <n v="1"/>
    <n v="22.99"/>
    <s v="VIP15"/>
    <n v="3.45"/>
    <n v="7.99"/>
    <n v="27.53"/>
    <s v="Credit Card"/>
    <s v="Online Store"/>
    <s v="fulfilled"/>
    <x v="4"/>
    <m/>
    <s v="New Bruce"/>
  </r>
  <r>
    <s v="#2040"/>
    <d v="2026-08-04T13:54:02"/>
    <s v="Sean Frank"/>
    <s v="sean.frank587@icloud.com"/>
    <s v="Stainless Steel Water Bottle"/>
    <s v="Home &amp; Kitchen"/>
    <s v="HK-BTL-750"/>
    <n v="1"/>
    <n v="12.99"/>
    <s v="VIP15"/>
    <n v="1.95"/>
    <n v="7.99"/>
    <n v="19.03"/>
    <s v="PayPal"/>
    <s v="Facebook"/>
    <s v="fulfilled"/>
    <x v="4"/>
    <m/>
    <s v="Thompsonburgh"/>
  </r>
  <r>
    <s v="#2130"/>
    <d v="2026-08-04T14:04:01"/>
    <s v="Jacqueline Graham"/>
    <s v="jacqueline.graham958@gmail.com"/>
    <s v="Phone Case - Clear"/>
    <s v="Electronics"/>
    <s v="ELC-CSE-CLR"/>
    <n v="1"/>
    <n v="8.99"/>
    <m/>
    <n v="0"/>
    <n v="5.99"/>
    <n v="14.98"/>
    <s v="Shopify Payments"/>
    <s v="POS"/>
    <s v="refunded"/>
    <x v="4"/>
    <m/>
    <s v="West Jeffreystad"/>
  </r>
  <r>
    <s v="#2204"/>
    <s v="08/04/2026"/>
    <s v="Maria Patterson"/>
    <s v="maria.patterson62@icloud.com"/>
    <s v="Yoga Mat - Extra Thick  "/>
    <s v="Sports &amp; Outdoors"/>
    <s v="SP-YGM-EX"/>
    <n v="1"/>
    <n v="22.99"/>
    <s v="VIP15"/>
    <n v="3.45"/>
    <n v="5.99"/>
    <n v="25.53"/>
    <s v="Credit Card"/>
    <s v="Instagram"/>
    <s v="cancelled"/>
    <x v="2"/>
    <s v="Texas"/>
    <s v="West Ericport"/>
  </r>
  <r>
    <s v="#2212"/>
    <d v="2026-08-04T14:01:47"/>
    <s v="  Anthony Patterson"/>
    <s v="anthony.patterson944@gmail.com"/>
    <s v="Scented Soy Candle - Vanilla"/>
    <s v="Home &amp; Kitchen"/>
    <s v="HK-CND-VAN"/>
    <n v="1"/>
    <n v="9.99"/>
    <s v="BFCM25"/>
    <n v="2.5"/>
    <n v="4.99"/>
    <n v="12.48"/>
    <s v="Shopify Payments"/>
    <s v="Instagram"/>
    <s v="refunded"/>
    <x v="0"/>
    <m/>
    <s v="Josephbury"/>
  </r>
  <r>
    <s v="#2331"/>
    <s v="04-08-2026 13:55"/>
    <s v="Taylor Davis"/>
    <s v="taylor.davis403@outlook.com"/>
    <s v="Scented Soy Candle - Vanilla"/>
    <s v="Home &amp; Kitchen"/>
    <s v="HK-CND-VAN"/>
    <n v="2"/>
    <s v="$9.99"/>
    <s v="FREESHIP"/>
    <n v="0"/>
    <n v="0"/>
    <n v="19.98"/>
    <s v="PayPal"/>
    <s v="Online Store"/>
    <s v="fulfilled"/>
    <x v="2"/>
    <s v="Florida"/>
    <s v="East Rhonda"/>
  </r>
  <r>
    <s v="#2402"/>
    <d v="2026-08-04T14:05:27"/>
    <s v="Dustin Mccoy"/>
    <s v="dustin.mccoy570@gmail.com"/>
    <s v="Running Shoes - Men's"/>
    <s v="Footwear"/>
    <s v="FTW-RUN-M"/>
    <n v="1"/>
    <n v="54.99"/>
    <m/>
    <n v="0"/>
    <n v="5.99"/>
    <n v="60.98"/>
    <s v="PayPal"/>
    <s v="Online Store"/>
    <s v="fulfilled"/>
    <x v="1"/>
    <m/>
    <s v="Lake Mariatown"/>
  </r>
  <r>
    <s v="#2415"/>
    <d v="2026-08-04T13:55:10"/>
    <s v="Vincent Rosales"/>
    <s v="vincent.rosales30@icloud.com"/>
    <s v="Scented Soy Candle - Vanilla"/>
    <s v="Home &amp; Kitchen"/>
    <s v="HK-CND-VAN"/>
    <n v="2"/>
    <n v="9.99"/>
    <s v="FREESHIP"/>
    <n v="0"/>
    <n v="0"/>
    <n v="19.98"/>
    <s v="PayPal"/>
    <s v="Online Store"/>
    <s v="pending"/>
    <x v="2"/>
    <s v="Texas"/>
    <s v="Stephaniebury"/>
  </r>
  <r>
    <s v="#2436"/>
    <d v="2026-08-04T13:59:22"/>
    <s v="David Fleming"/>
    <s v="david.fleming778@gmail.com"/>
    <s v="USB-C Fast Charger 20W"/>
    <s v="Electronics"/>
    <s v="ELC-CHG-20"/>
    <n v="1"/>
    <n v="15.49"/>
    <m/>
    <n v="0"/>
    <n v="4.99"/>
    <n v="20.48"/>
    <s v="PayPal"/>
    <s v="Instagram"/>
    <s v="fulfilled"/>
    <x v="4"/>
    <m/>
    <s v="Port Dustin"/>
  </r>
  <r>
    <s v="#2502"/>
    <s v="04-08-2026 13:57"/>
    <s v="Barbara Brown"/>
    <s v="barbara.brown26@gmail.com"/>
    <s v="Slim Fit Denim Jeans"/>
    <s v="Apparel"/>
    <s v="JNS-BLU-32"/>
    <n v="1"/>
    <n v="39.99"/>
    <s v="VIP15"/>
    <n v="6"/>
    <n v="7.99"/>
    <n v="41.98"/>
    <s v="Google Pay"/>
    <s v="Instagram"/>
    <s v="refunded"/>
    <x v="2"/>
    <s v="California"/>
    <s v="North Benjamintown"/>
  </r>
  <r>
    <s v="#2545"/>
    <d v="2026-08-04T14:04:38"/>
    <s v="Courtney Bullock"/>
    <s v="courtney.bullock860@outlook.com"/>
    <s v="Ceramic Coffee Mug Set (4pc)"/>
    <s v="Home &amp; Kitchen"/>
    <s v="HK-MUG-4PK"/>
    <n v="1"/>
    <n v="18.989999999999998"/>
    <s v="FREESHIP"/>
    <n v="0"/>
    <n v="0"/>
    <n v="18.989999999999998"/>
    <s v="Google Pay"/>
    <s v="Instagram"/>
    <s v="fulfilled"/>
    <x v="5"/>
    <m/>
    <s v="South Savannahton"/>
  </r>
  <r>
    <s v="#2581"/>
    <d v="2026-08-04T14:04:33"/>
    <s v="Lindsay Shaw"/>
    <s v="lindsay.shaw178@icloud.com"/>
    <s v="Leather Wallet - Brown"/>
    <s v="Accessories"/>
    <s v="ACC-WLT-BRN"/>
    <n v="1"/>
    <n v="19.989999999999998"/>
    <m/>
    <n v="0"/>
    <n v="4.99"/>
    <n v="24.98"/>
    <s v="Google Pay"/>
    <s v="Online Store"/>
    <s v="refunded"/>
    <x v="5"/>
    <m/>
    <s v="Campbellmouth"/>
  </r>
  <r>
    <s v="#2603"/>
    <s v="08/04/2026"/>
    <s v="Amanda Harris"/>
    <m/>
    <s v="Polarized Sunglasses"/>
    <s v="Accessories"/>
    <s v="ACC-SUN-01"/>
    <n v="1"/>
    <n v="16.989999999999998"/>
    <m/>
    <n v="0"/>
    <n v="7.99"/>
    <n v="24.98"/>
    <s v="Apple Pay"/>
    <s v="POS"/>
    <s v="cancelled"/>
    <x v="2"/>
    <s v="New York"/>
    <s v="Lake Steven"/>
  </r>
  <r>
    <s v="#2681"/>
    <s v="Aug 04, 2026"/>
    <s v="Farmer, Bradley"/>
    <s v="bradley.farmer290@icloud.com"/>
    <s v="Running Shoes - Men's"/>
    <s v="Footwear"/>
    <s v="FTW-RUN-M"/>
    <n v="1"/>
    <n v="54.99"/>
    <m/>
    <n v="0"/>
    <n v="7.99"/>
    <n v="62.98"/>
    <s v="PayPal"/>
    <s v="Instagram"/>
    <s v="fulfilled"/>
    <x v="5"/>
    <m/>
    <s v="Kimberlyview"/>
  </r>
  <r>
    <s v="#2704"/>
    <s v="08/04/2026"/>
    <s v="Katie Coleman"/>
    <s v="katie.coleman262@outlook.com"/>
    <s v="Classic Cotton T-Shirt"/>
    <s v="Apparel"/>
    <s v="TSH-BLK-M"/>
    <n v="1"/>
    <n v="14.99"/>
    <s v="VIP15"/>
    <n v="2.25"/>
    <n v="5.99"/>
    <n v="18.73"/>
    <s v="Google Pay"/>
    <s v="Online Store"/>
    <s v="fulfilled"/>
    <x v="1"/>
    <m/>
    <s v="East Annaville"/>
  </r>
  <r>
    <s v="#2737"/>
    <d v="2026-08-04T14:06:48"/>
    <s v="Rose English"/>
    <s v="rose.english118@icloud.com"/>
    <s v="Wireless Bluetooth Earbuds"/>
    <s v="Electronics"/>
    <s v="ELC-WBE-01"/>
    <n v="1"/>
    <n v="29.99"/>
    <m/>
    <n v="0"/>
    <n v="5.99"/>
    <s v="$35.98"/>
    <s v="Apple Pay"/>
    <s v="POS"/>
    <s v="fulfilled"/>
    <x v="3"/>
    <m/>
    <s v="East Courtneystad"/>
  </r>
  <r>
    <s v="#2751"/>
    <d v="2026-08-04T14:00:28"/>
    <s v="Amanda Harris"/>
    <s v="amanda.harris197@gmail.com"/>
    <s v="Vitamin C Serum 30ml"/>
    <s v="Beauty"/>
    <s v="BTY-SRM-30"/>
    <n v="1"/>
    <n v="24.99"/>
    <m/>
    <n v="0"/>
    <n v="4.99"/>
    <n v="29.98"/>
    <s v="Credit Card"/>
    <s v="Facebook"/>
    <s v="fulfilled"/>
    <x v="2"/>
    <s v="AZ"/>
    <s v="West Melissafurt"/>
  </r>
  <r>
    <s v="#2792"/>
    <d v="2026-08-04T13:57:37"/>
    <s v="Donald Davis"/>
    <s v="donald.davis404@icloud.com"/>
    <s v="Classic Cotton T-Shirt"/>
    <s v="Apparel"/>
    <s v="TSH-BLK-M"/>
    <n v="1"/>
    <n v="14.99"/>
    <s v="BFCM25"/>
    <n v="3.75"/>
    <n v="7.99"/>
    <n v="19.23"/>
    <s v="Shopify Payments"/>
    <s v="POS"/>
    <s v="pending"/>
    <x v="1"/>
    <m/>
    <s v="West Marcus"/>
  </r>
  <r>
    <s v="#2850"/>
    <s v="2026-08-04"/>
    <s v="Houston, William"/>
    <s v="william.houston340@outlook.com"/>
    <s v="Facial Cleanser 200ml"/>
    <s v="Beauty"/>
    <s v="BTY-CLN-200"/>
    <n v="1"/>
    <s v="$13.49"/>
    <m/>
    <n v="0"/>
    <n v="5.99"/>
    <n v="19.48"/>
    <s v="Apple Pay"/>
    <s v="Facebook"/>
    <s v="fulfilled"/>
    <x v="2"/>
    <s v="Ohio"/>
    <s v="East Kimville"/>
  </r>
  <r>
    <s v="#2893"/>
    <d v="2026-08-04T13:57:11"/>
    <s v="Darin Alvarez"/>
    <s v="darin.alvarez843@gmail.com"/>
    <s v="Classic Cotton T-Shirt"/>
    <s v="Apparel"/>
    <s v="TSH-BLK-M"/>
    <n v="4"/>
    <n v="14.99"/>
    <s v="SAVE20"/>
    <n v="11.99"/>
    <n v="7.99"/>
    <n v="55.96"/>
    <s v="PayPal"/>
    <s v="Online Store"/>
    <s v="cancelled"/>
    <x v="1"/>
    <m/>
    <s v="Lake William"/>
  </r>
  <r>
    <s v="#2917"/>
    <d v="2026-08-04T14:05:06"/>
    <s v="Andrew Cross"/>
    <s v="andrew.cross512@yahoo.com"/>
    <s v="Scented Soy Candle - Vanilla  "/>
    <s v="Home &amp; Kitchen"/>
    <s v="HK-CND-VAN"/>
    <n v="2"/>
    <n v="9.99"/>
    <s v="VIP15"/>
    <n v="3"/>
    <n v="7.99"/>
    <n v="24.97"/>
    <s v="Google Pay"/>
    <s v="Online Store"/>
    <s v="cancelled"/>
    <x v="2"/>
    <s v="Arizona"/>
    <s v="West Robert"/>
  </r>
  <r>
    <s v="#2415"/>
    <d v="2026-08-04T13:55:10"/>
    <s v="Vincent Rosales"/>
    <s v="vincent.rosales30@icloud.com"/>
    <s v="Scented Soy Candle - Vanilla"/>
    <s v="Home &amp; Kitchen"/>
    <s v="HK-CND-VAN"/>
    <n v="2"/>
    <s v="$9.99"/>
    <s v="FREESHIP"/>
    <n v="0"/>
    <n v="0"/>
    <n v="19.98"/>
    <s v="PayPal"/>
    <s v="Online Store"/>
    <s v="pending"/>
    <x v="2"/>
    <s v="Texas"/>
    <s v="Stephaniebury"/>
  </r>
  <r>
    <s v="#2751"/>
    <s v="2026-08-04"/>
    <s v="Amanda Harris"/>
    <m/>
    <s v="Vitamin C Serum 30ml"/>
    <s v="Beauty"/>
    <s v="BTY-SRM-30"/>
    <n v="1"/>
    <s v="$24.99"/>
    <m/>
    <n v="0"/>
    <n v="4.99"/>
    <n v="29.98"/>
    <s v="Credit Card"/>
    <s v="Facebook"/>
    <s v="fulfilled"/>
    <x v="2"/>
    <s v="Arizona"/>
    <s v="West Melissafurt"/>
  </r>
  <r>
    <s v="#1719"/>
    <s v="08/04/2026"/>
    <s v="GRACE RAY"/>
    <s v="grace.ray807@yahoo.com"/>
    <s v="Wireless Mouse"/>
    <s v="Electronics"/>
    <s v="ELC-MSE-WL"/>
    <n v="2"/>
    <n v="11.99"/>
    <m/>
    <n v="0"/>
    <n v="7.99"/>
    <n v="31.97"/>
    <s v="Apple Pay"/>
    <s v="Facebook"/>
    <s v="cancelled"/>
    <x v="5"/>
    <m/>
    <s v="Lutzton"/>
  </r>
  <r>
    <s v="#2204"/>
    <s v="Aug 04, 2026"/>
    <s v="Maria Patterson"/>
    <s v="maria.patterson62@icloud.com"/>
    <s v="Yoga Mat - Extra Thick"/>
    <s v="Sports &amp; Outdoors"/>
    <s v="SP-YGM-EX"/>
    <n v="1"/>
    <n v="22.99"/>
    <s v="VIP15"/>
    <n v="3.45"/>
    <n v="5.99"/>
    <n v="25.53"/>
    <s v="Credit Card"/>
    <s v="Instagram"/>
    <s v="cancelled"/>
    <x v="2"/>
    <s v="Texas"/>
    <s v="West Ericport"/>
  </r>
  <r>
    <s v="#1305"/>
    <d v="2026-08-04T14:04:15"/>
    <s v="Amy Maldonado"/>
    <s v="amy.maldonado44@gmail.com"/>
    <s v="Polarized Sunglasses"/>
    <s v="Accessories"/>
    <s v="ACC-SUN-01"/>
    <n v="1"/>
    <n v="16.989999999999998"/>
    <m/>
    <n v="0"/>
    <n v="5.99"/>
    <n v="22.98"/>
    <s v="PayPal"/>
    <s v="Online Store"/>
    <s v="fulfilled"/>
    <x v="0"/>
    <m/>
    <s v="Matthewstad"/>
  </r>
  <r>
    <s v="#1781"/>
    <d v="2026-08-04T13:55:08"/>
    <s v="  Sharon Brown"/>
    <s v="sharon.brown14@gmail.com"/>
    <s v="Running Shoes - Men's"/>
    <s v="Footwear"/>
    <s v="FTW-RUN-M"/>
    <n v="1"/>
    <n v="54.99"/>
    <m/>
    <n v="0"/>
    <n v="4.99"/>
    <n v="59.98"/>
    <s v="Shopify Payments"/>
    <s v="POS"/>
    <s v="fulfilled"/>
    <x v="2"/>
    <s v="Arizona"/>
    <s v="Clarkmouth"/>
  </r>
  <r>
    <s v="#2130"/>
    <s v="08/04/2026"/>
    <s v="Jacqueline Graham"/>
    <s v="jacqueline.graham958@gmail.com"/>
    <s v="Phone Case - Clear"/>
    <s v="Electronics"/>
    <s v="ELC-CSE-CLR"/>
    <n v="1"/>
    <n v="8.99"/>
    <m/>
    <n v="0"/>
    <n v="5.99"/>
    <n v="749"/>
    <s v="Shopify Payments"/>
    <s v="POS"/>
    <s v="refunded"/>
    <x v="4"/>
    <m/>
    <s v="West Jeffreystad"/>
  </r>
  <r>
    <s v="#1866"/>
    <d v="2026-08-04T13:54:26"/>
    <s v="Melissa Jones"/>
    <s v="melissa.jones297@yahoo.com"/>
    <s v="Ceramic Coffee Mug Set (4pc)"/>
    <s v="Home &amp; Kitchen"/>
    <s v="HK-MUG-4PK"/>
    <n v="1"/>
    <n v="18.989999999999998"/>
    <s v="FREESHIP"/>
    <n v="0"/>
    <n v="0"/>
    <n v="949.5"/>
    <s v="Credit Card"/>
    <s v="Online Store"/>
    <s v="pending"/>
    <x v="2"/>
    <s v="Florida"/>
    <s v="Kelseybury"/>
  </r>
  <r>
    <s v="#1859"/>
    <d v="2026-08-04T13:55:24"/>
    <s v="Sarah Webb"/>
    <s v="sarah.webb997@outlook.com"/>
    <s v="Adjustable Dumbbell Set"/>
    <s v="Sports &amp; Outdoors"/>
    <s v="SP-DMB-ADJ"/>
    <n v="3"/>
    <n v="89.99"/>
    <s v="VIP15"/>
    <n v="40.5"/>
    <n v="0"/>
    <n v="229.47"/>
    <s v="PayPal"/>
    <s v="Facebook"/>
    <s v="fulfilled"/>
    <x v="3"/>
    <m/>
    <s v="North Ronald"/>
  </r>
  <r>
    <s v="#2545"/>
    <d v="2026-08-04T14:04:38"/>
    <s v="Courtney Bullock"/>
    <s v="courtney.bullock860@outlook.com"/>
    <s v="Ceramic Coffee Mug Set (4pc)"/>
    <s v="Home &amp; Kitchen"/>
    <s v="HK-MUG-4PK"/>
    <n v="1"/>
    <n v="18.989999999999998"/>
    <s v="FREESHIP"/>
    <n v="0"/>
    <n v="0"/>
    <n v="18.989999999999998"/>
    <s v="Google Pay"/>
    <s v="Instagram"/>
    <s v="fulfilled"/>
    <x v="5"/>
    <m/>
    <s v="South Savannahton"/>
  </r>
  <r>
    <s v="#2917"/>
    <s v="08/04/2026"/>
    <s v="Andrew Cross"/>
    <s v="andrew.cross512@yahoo.com"/>
    <s v="Scented Soy Candle - Vanilla"/>
    <s v="Home &amp; Kitchen"/>
    <s v="HK-CND-VAN"/>
    <n v="2"/>
    <n v="9.99"/>
    <s v="VIP15"/>
    <n v="3"/>
    <n v="7.99"/>
    <n v="24.97"/>
    <s v="Google Pay"/>
    <s v="Online Store"/>
    <s v="cancelled"/>
    <x v="2"/>
    <s v="Arizona"/>
    <s v="West Robert"/>
  </r>
  <r>
    <s v="#1818"/>
    <d v="2026-08-04T13:59:54"/>
    <s v="Amanda Harris"/>
    <s v="amanda.harris197@gmail.com"/>
    <s v="USB-C Fast Charger 20W"/>
    <s v="Electronics"/>
    <s v="ELC-CHG-20"/>
    <n v="1"/>
    <n v="15.49"/>
    <m/>
    <n v="0"/>
    <n v="5.99"/>
    <s v="$21.48"/>
    <s v="Google Pay"/>
    <s v="Instagram"/>
    <s v="pending"/>
    <x v="2"/>
    <s v="Washington"/>
    <s v="Richardsonburgh"/>
  </r>
  <r>
    <s v="#1948"/>
    <d v="2026-08-04T13:57:22"/>
    <s v="Peter Alvarez"/>
    <s v="peter.alvarez465@yahoo.com"/>
    <s v="Wireless Mouse"/>
    <s v="Electronics"/>
    <s v="ELC-MSE-WL"/>
    <n v="1"/>
    <s v="$11.99"/>
    <s v="VIP15"/>
    <n v="1.8"/>
    <n v="5.99"/>
    <n v="16.18"/>
    <s v="PayPal"/>
    <s v="Online Store"/>
    <s v="fulfilled"/>
    <x v="2"/>
    <s v="Illinois"/>
    <s v="New Jeffreystad"/>
  </r>
  <r>
    <s v="#2704"/>
    <d v="2026-08-04T14:06:42"/>
    <s v="Katie Coleman"/>
    <s v="katie.coleman262@outlook.com"/>
    <s v="Classic Cotton T-Shirt"/>
    <s v="Apparel"/>
    <s v="TSH-BLK-M"/>
    <n v="1"/>
    <n v="14.99"/>
    <s v="VIP15 "/>
    <n v="2.25"/>
    <n v="5.99"/>
    <n v="18.73"/>
    <s v="Google Pay"/>
    <s v="Online Store"/>
    <s v="fulfilled"/>
    <x v="1"/>
    <m/>
    <s v="East Annaville"/>
  </r>
  <r>
    <s v="#2040"/>
    <d v="2026-08-04T13:54:02"/>
    <s v="Sean Frank"/>
    <s v="sean.frank587@icloud.com"/>
    <s v="Stainless Steel Water Bottle"/>
    <s v="Home &amp; Kitchen"/>
    <s v="HK-BTL-750"/>
    <n v="1"/>
    <n v="12.99"/>
    <s v="VIP15"/>
    <n v="1.95"/>
    <n v="7.99"/>
    <n v="19.03"/>
    <s v="PayPal"/>
    <s v="Facebook"/>
    <s v="fulfilled"/>
    <x v="4"/>
    <m/>
    <s v="Thompsonburgh"/>
  </r>
  <r>
    <s v="#2402"/>
    <d v="2026-08-04T14:05:27"/>
    <s v="Dustin Mccoy"/>
    <s v="dustin.mccoy570@gmail.com"/>
    <s v="Running Shoes - Men's"/>
    <s v="Footwear"/>
    <s v="FTW-RUN-M"/>
    <n v="1"/>
    <n v="54.99"/>
    <m/>
    <n v="0"/>
    <n v="5.99"/>
    <n v="60.98"/>
    <s v="PayPal"/>
    <s v="Online Store"/>
    <s v="fulfilled"/>
    <x v="1"/>
    <m/>
    <s v="Lake Mariatown"/>
  </r>
  <r>
    <s v="#2681"/>
    <d v="2026-08-04T13:59:46"/>
    <s v="Bradley Farmer"/>
    <s v="bradley.farmer290@icloud.com"/>
    <s v="Running Shoes - Men's"/>
    <s v="Footwear"/>
    <s v="FTW-RUN-M"/>
    <n v="1"/>
    <n v="54.99"/>
    <m/>
    <n v="0"/>
    <n v="7.99"/>
    <n v="62.98"/>
    <s v="PayPal"/>
    <s v="Instagram"/>
    <s v="fulfilled"/>
    <x v="5"/>
    <m/>
    <s v="Kimberlyview"/>
  </r>
  <r>
    <s v="#2502"/>
    <d v="2026-08-04T13:57:49"/>
    <s v="Barbara Brown"/>
    <s v="barbara.brown26@gmail.com"/>
    <s v="Slim Fit Denim Jeans"/>
    <s v="Apparel"/>
    <s v="JNS-BLU-32"/>
    <n v="1"/>
    <n v="39.99"/>
    <s v="VIP15"/>
    <n v="6"/>
    <n v="7.99"/>
    <n v="41.98"/>
    <s v="Google Pay"/>
    <s v="Instagram"/>
    <s v="refunded"/>
    <x v="2"/>
    <s v="California"/>
    <s v="North Benjamintown"/>
  </r>
  <r>
    <s v="#2436"/>
    <d v="2026-08-04T13:59:22"/>
    <s v="David Fleming"/>
    <s v="david.fleming778@gmail.com"/>
    <s v="USB-C Fast Charger 20W"/>
    <s v="Electronics"/>
    <s v="ELC-CHG-20"/>
    <n v="1"/>
    <n v="15.49"/>
    <m/>
    <n v="0"/>
    <n v="4.99"/>
    <n v="20.48"/>
    <s v="PayPal"/>
    <s v="Instagram"/>
    <s v="fulfilled"/>
    <x v="4"/>
    <m/>
    <s v="Port Dustin"/>
  </r>
  <r>
    <s v="#1262"/>
    <d v="2026-08-04T14:04:08"/>
    <s v="Mark Mata"/>
    <s v="mark.mata757@outlook.com"/>
    <s v="Facial Cleanser 200ml"/>
    <s v="Beauty"/>
    <s v="BTY-CLN-200"/>
    <n v="1"/>
    <n v="13.49"/>
    <m/>
    <s v="$0.00"/>
    <n v="7.99"/>
    <n v="21.48"/>
    <s v="Apple Pay"/>
    <s v="Facebook"/>
    <s v="pending"/>
    <x v="2"/>
    <s v="Washington"/>
    <s v="Davidburgh"/>
  </r>
  <r>
    <s v="#2792"/>
    <s v="08/04/2026"/>
    <s v="Donald Davis"/>
    <s v="donald.davis404@icloud.com"/>
    <s v="Classic Cotton T-Shirt"/>
    <s v="Apparel"/>
    <s v="TSH-BLK-M"/>
    <n v="1"/>
    <n v="14.99"/>
    <s v="BFCM25"/>
    <n v="3.75"/>
    <n v="7.99"/>
    <n v="19.23"/>
    <s v="Shopify Payments"/>
    <s v="POS"/>
    <s v="pending"/>
    <x v="1"/>
    <m/>
    <s v="West Marcus"/>
  </r>
  <r>
    <s v="#2893"/>
    <d v="2026-08-04T13:57:11"/>
    <s v="Darin Alvarez"/>
    <s v="darin.alvarez843@gmail.com"/>
    <s v="Classic Cotton T-Shirt"/>
    <s v="Apparel"/>
    <s v="TSH-BLK-M"/>
    <n v="4"/>
    <n v="14.99"/>
    <s v="SAVE20"/>
    <n v="11.99"/>
    <n v="7.99"/>
    <n v="55.96"/>
    <s v="PayPal"/>
    <s v="Online Store"/>
    <s v="cancelled"/>
    <x v="1"/>
    <m/>
    <s v="Lake William"/>
  </r>
  <r>
    <s v="#1027"/>
    <d v="2026-08-04T13:58:50"/>
    <s v="Sandra Wilson"/>
    <m/>
    <s v="Vitamin C Serum 30ml"/>
    <s v="Beauty"/>
    <s v="BTY-SRM-30"/>
    <n v="1"/>
    <n v="24.99"/>
    <s v="VIP15"/>
    <n v="3.75"/>
    <n v="7.99"/>
    <n v="29.23"/>
    <s v="Apple Pay"/>
    <s v="Online Store"/>
    <s v="pending"/>
    <x v="1"/>
    <m/>
    <s v="Hollyport"/>
  </r>
  <r>
    <s v="#2581"/>
    <d v="2026-08-04T14:04:33"/>
    <s v="Lindsay Shaw"/>
    <s v="lindsay.shaw178@icloud.com"/>
    <s v="Leather Wallet - Brown"/>
    <s v="Accessories"/>
    <s v="ACC-WLT-BRN"/>
    <n v="1"/>
    <n v="19.989999999999998"/>
    <m/>
    <n v="0"/>
    <n v="4.99"/>
    <n v="24.98"/>
    <s v="Google Pay"/>
    <s v="Online Store"/>
    <s v="refunded"/>
    <x v="5"/>
    <m/>
    <s v="Campbellmouth"/>
  </r>
  <r>
    <s v="#1652"/>
    <d v="2026-08-04T14:02:11"/>
    <s v="Sean Frank"/>
    <s v="sean.frank587@icloud.com"/>
    <s v="Kids Building Blocks Set"/>
    <s v="Toys"/>
    <s v="TOY-BLK-SET"/>
    <n v="2"/>
    <n v="27.99"/>
    <s v="WELCOME10"/>
    <n v="5.6"/>
    <n v="7.99"/>
    <n v="58.37"/>
    <s v="Credit Card"/>
    <s v="Facebook"/>
    <s v="fulfilled"/>
    <x v="4"/>
    <m/>
    <s v="Port Josephborough"/>
  </r>
  <r>
    <s v="#2603"/>
    <d v="2026-08-04T14:01:58"/>
    <s v="Amanda Harris"/>
    <s v="amanda.harris197@gmail.com"/>
    <s v="Polarized Sunglasses"/>
    <s v="Accessories"/>
    <s v="ACC-SUN-01"/>
    <n v="1"/>
    <n v="16.989999999999998"/>
    <m/>
    <n v="0"/>
    <n v="7.99"/>
    <n v="24.98"/>
    <s v="Apple Pay"/>
    <s v="POS"/>
    <s v="cancelled"/>
    <x v="2"/>
    <s v="NY"/>
    <s v="Lake Steven"/>
  </r>
  <r>
    <s v="#2850"/>
    <s v="Aug 04, 2026"/>
    <s v="William Houston"/>
    <m/>
    <s v="Facial Cleanser 200ml"/>
    <s v="Beauty"/>
    <s v="BTY-CLN-200"/>
    <n v="1"/>
    <n v="13.49"/>
    <m/>
    <n v="0"/>
    <n v="5.99"/>
    <n v="19.48"/>
    <s v="Apple Pay"/>
    <s v="Facebook"/>
    <s v="fulfilled"/>
    <x v="2"/>
    <s v="OH"/>
    <s v="East Kimville"/>
  </r>
  <r>
    <s v="#2212"/>
    <d v="2026-08-04T14:01:47"/>
    <s v="Patterson, Anthony"/>
    <s v="anthony.patterson944@gmail.com"/>
    <s v="Scented Soy Candle - Vanilla"/>
    <s v="Home &amp; Kitchen"/>
    <s v="HK-CND-VAN"/>
    <n v="1"/>
    <n v="9.99"/>
    <s v="BFCM25"/>
    <n v="2.5"/>
    <n v="4.99"/>
    <n v="12.48"/>
    <s v="Shopify Payments"/>
    <s v="Instagram"/>
    <s v="refunded"/>
    <x v="0"/>
    <m/>
    <s v="Josephbury"/>
  </r>
  <r>
    <s v="#1003"/>
    <s v="Aug 04, 2026"/>
    <s v="THOMAS ROJAS"/>
    <s v="thomas.rojas667@icloud.com"/>
    <s v="Slim Fit Denim Jeans"/>
    <s v="Apparel"/>
    <s v="JNS-BLU-32"/>
    <n v="1"/>
    <n v="39.99"/>
    <m/>
    <n v="0"/>
    <n v="5.99"/>
    <n v="45.98"/>
    <s v="Credit Card"/>
    <s v="Online Store"/>
    <s v="fulfilled"/>
    <x v="2"/>
    <s v="North Carolina"/>
    <s v="West Cynthialand"/>
  </r>
  <r>
    <s v="#2331"/>
    <d v="2026-08-04T13:55:08"/>
    <s v="Taylor Davis"/>
    <s v="taylor.davis403@outlook.com"/>
    <s v="Scented Soy Candle - Vanilla"/>
    <s v="Home &amp; Kitchen"/>
    <s v="HK-CND-VAN"/>
    <n v="2"/>
    <n v="9.99"/>
    <s v="FREESHIP"/>
    <n v="0"/>
    <n v="0"/>
    <n v="19.98"/>
    <s v="PayPal"/>
    <s v="Online Store"/>
    <s v="fulfilled"/>
    <x v="2"/>
    <s v="Florida"/>
    <s v="East Rhonda"/>
  </r>
  <r>
    <s v="#1172"/>
    <d v="2026-08-04T14:01:00"/>
    <s v="TINA SINGH"/>
    <s v="tina.singh98@icloud.com"/>
    <s v="Leather Wallet - Brown"/>
    <s v="Accessories"/>
    <s v="ACC-WLT-BRN"/>
    <n v="1"/>
    <n v="19.989999999999998"/>
    <m/>
    <n v="0"/>
    <n v="5.99"/>
    <n v="25.98"/>
    <s v="Credit Card"/>
    <s v="Online Store"/>
    <s v="fulfilled"/>
    <x v="2"/>
    <s v="Washington"/>
    <s v="East Heathertown"/>
  </r>
  <r>
    <s v="#2737"/>
    <d v="2026-08-04T14:06:48"/>
    <s v="Rose English"/>
    <s v="rose.english118@icloud.com"/>
    <s v="Wireless Bluetooth Earbuds"/>
    <s v="Electronics"/>
    <s v="ELC-WBE-01"/>
    <n v="1"/>
    <s v="$29.99"/>
    <m/>
    <n v="0"/>
    <n v="5.99"/>
    <n v="35.979999999999997"/>
    <s v="Apple Pay"/>
    <s v="POS"/>
    <s v="fulfilled"/>
    <x v="3"/>
    <m/>
    <s v="East Courtneystad"/>
  </r>
  <r>
    <s v="#1798"/>
    <s v="08/04/2026"/>
    <s v="TINA SINGH"/>
    <m/>
    <s v="Adjustable Dumbbell Set"/>
    <s v="Sports &amp; Outdoors"/>
    <s v="SP-DMB-ADJ"/>
    <n v="2"/>
    <n v="89.99"/>
    <m/>
    <n v="0"/>
    <n v="0"/>
    <n v="179.98"/>
    <s v="Google Pay"/>
    <s v="POS"/>
    <s v="pending"/>
    <x v="2"/>
    <s v="Georgia"/>
    <s v="North Shannon"/>
  </r>
  <r>
    <s v="#1963"/>
    <d v="2026-08-04T13:58:20"/>
    <s v="Sean Frank"/>
    <s v="sean.frank587@icloud.com"/>
    <s v="Yoga Mat - Extra Thick"/>
    <s v="Sports &amp; Outdoors"/>
    <s v="SP-YGM-EX"/>
    <n v="1"/>
    <n v="22.99"/>
    <s v="VIP15"/>
    <n v="3.45"/>
    <n v="7.99"/>
    <n v="27.53"/>
    <s v="Credit Card"/>
    <s v="Online Store"/>
    <s v="fulfilled"/>
    <x v="4"/>
    <m/>
    <s v="New Bruce"/>
  </r>
  <r>
    <s v="#1260"/>
    <d v="2026-08-04T14:03:58"/>
    <s v="Morgan Brown"/>
    <s v="morgan.brown933@gmail.com"/>
    <s v="Wireless Bluetooth Earbuds"/>
    <s v="Electronics"/>
    <s v="ELC-WBE-01"/>
    <n v="1"/>
    <n v="29.99"/>
    <s v="FREESHIP"/>
    <n v="0"/>
    <n v="0"/>
    <n v="29.99"/>
    <s v="Apple Pay"/>
    <s v="Online Store"/>
    <s v="pending"/>
    <x v="2"/>
    <s v="Florida"/>
    <s v="Austinbury"/>
  </r>
  <r>
    <s v="#1001"/>
    <d v="2026-08-04T13:55:58"/>
    <s v="Glenn Mcmahon"/>
    <s v="glenn.mcmahon733@yahoo.com"/>
    <s v="Stainless Steel Water Bottle  "/>
    <s v="Home &amp; Kitchen"/>
    <s v="HK-BTL-750"/>
    <n v="1"/>
    <n v="12.99"/>
    <s v="SAVE20"/>
    <s v="$2.60"/>
    <n v="5.99"/>
    <n v="16.38"/>
    <s v="Google Pay"/>
    <s v="Online Store"/>
    <s v="pending"/>
    <x v="2"/>
    <s v="Georgia"/>
    <s v="Jamesfurt"/>
  </r>
  <r>
    <s v="#1002"/>
    <d v="2026-08-04T14:00:14"/>
    <s v="Miranda Gray"/>
    <s v="miranda.gray649@yahoo.com"/>
    <s v="Portable Power Bank 10000mAh"/>
    <s v="Electronics"/>
    <s v="ELC-PWB-10K"/>
    <n v="1"/>
    <n v="21.99"/>
    <s v="FREESHIP"/>
    <n v="0"/>
    <n v="0"/>
    <n v="21.99"/>
    <s v="Shopify Payments"/>
    <s v="Facebook"/>
    <s v="refunded"/>
    <x v="0"/>
    <m/>
    <s v="Port Davidshire"/>
  </r>
  <r>
    <s v="#1004"/>
    <d v="2026-08-04T14:06:42"/>
    <s v="Robyn Hughes"/>
    <s v="robyn.hughes771@gmail.com"/>
    <s v="Scented Soy Candle - Vanilla"/>
    <s v="Home &amp; Kitchen"/>
    <s v="HK-CND-VAN"/>
    <n v="1"/>
    <n v="9.99"/>
    <s v="FREESHIP"/>
    <n v="0"/>
    <n v="0"/>
    <n v="9.99"/>
    <s v="Google Pay"/>
    <s v="Facebook"/>
    <s v="fulfilled"/>
    <x v="2"/>
    <s v="New York"/>
    <s v="New Debra"/>
  </r>
  <r>
    <s v="#1005"/>
    <d v="2026-08-04T13:53:46"/>
    <s v="Sharon Brown"/>
    <s v="sharon.brown14@gmail.com"/>
    <s v="Classic Cotton T-Shirt"/>
    <s v="Apparel"/>
    <s v="TSH-BLK-L"/>
    <n v="1"/>
    <n v="14.99"/>
    <s v="WELCOME10"/>
    <n v="1.5"/>
    <n v="5.99"/>
    <n v="19.48"/>
    <s v="Apple Pay"/>
    <s v="Online Store"/>
    <s v="fulfilled"/>
    <x v="2"/>
    <s v="Illinois"/>
    <s v="Lake Angel"/>
  </r>
  <r>
    <s v="#1006"/>
    <d v="2026-08-04T14:00:26"/>
    <s v="Joshua Anderson"/>
    <s v="joshua.anderson662@gmail.com"/>
    <s v="Scented Soy Candle - Vanilla"/>
    <s v="Home &amp; Kitchen"/>
    <s v="HK-CND-VAN"/>
    <n v="2"/>
    <n v="9.99"/>
    <s v="WELCOME10"/>
    <n v="2"/>
    <n v="4.99"/>
    <n v="22.97"/>
    <s v="PayPal"/>
    <s v="Facebook"/>
    <s v="fulfilled"/>
    <x v="1"/>
    <m/>
    <s v="Joshuastad"/>
  </r>
  <r>
    <s v="#1007"/>
    <d v="2026-08-04T14:05:52"/>
    <s v="Maria Leon"/>
    <s v="maria.leon163@outlook.com"/>
    <s v="Adjustable Dumbbell Set"/>
    <s v="Sports &amp; Outdoors"/>
    <s v="SP-DMB-ADJ"/>
    <n v="1"/>
    <n v="89.99"/>
    <m/>
    <n v="0"/>
    <n v="0"/>
    <n v="89.99"/>
    <s v="Apple Pay"/>
    <s v="Online Store"/>
    <s v="refunded"/>
    <x v="1"/>
    <m/>
    <s v="North Rebeccaland"/>
  </r>
  <r>
    <s v="#1008"/>
    <d v="2026-08-04T13:55:20"/>
    <s v="austin norris"/>
    <s v="austin.norris15@gmail.com"/>
    <s v="Running Shoes - Women's"/>
    <s v="Footwear"/>
    <s v="FTW-RUN-W"/>
    <n v="1"/>
    <n v="54.99"/>
    <m/>
    <n v="0"/>
    <n v="4.99"/>
    <n v="59.98"/>
    <s v="Credit Card"/>
    <s v="Instagram"/>
    <s v="fulfilled"/>
    <x v="2"/>
    <s v="Florida"/>
    <s v="South Kaitlyn"/>
  </r>
  <r>
    <s v="#1009"/>
    <d v="2026-08-04T14:06:48"/>
    <s v="Jennifer Burke"/>
    <s v="jennifer.burke472@icloud.com"/>
    <s v="Running Shoes - Women's  "/>
    <s v="Footwear"/>
    <s v="FTW-RUN-W"/>
    <n v="3"/>
    <n v="54.99"/>
    <s v="SAVE20"/>
    <n v="32.99"/>
    <n v="0"/>
    <s v="$131.98"/>
    <s v="Google Pay"/>
    <s v="Online Store"/>
    <s v="cancelled"/>
    <x v="0"/>
    <m/>
    <s v="Reneemouth"/>
  </r>
  <r>
    <s v="#1010"/>
    <s v="04-08-2026 14:06"/>
    <s v="Robert Miller"/>
    <s v="robert.miller69@yahoo.com"/>
    <s v="Leather Wallet - Brown"/>
    <s v="Accessories"/>
    <s v="ACC-WLT-BRN"/>
    <n v="1"/>
    <n v="19.989999999999998"/>
    <s v="WELCOME10"/>
    <n v="2"/>
    <n v="4.99"/>
    <n v="22.98"/>
    <s v="PayPal"/>
    <s v="Online Store"/>
    <s v="refunded"/>
    <x v="4"/>
    <m/>
    <s v="Ortizview"/>
  </r>
  <r>
    <s v="#1011"/>
    <d v="2026-08-04T14:02:04"/>
    <s v="Patricia Townsend"/>
    <m/>
    <s v="Yoga Mat - Extra Thick"/>
    <s v="Sports &amp; Outdoors"/>
    <s v="SP-YGM-EX"/>
    <n v="1"/>
    <n v="22.99"/>
    <m/>
    <n v="0"/>
    <n v="7.99"/>
    <n v="30.98"/>
    <s v="Shopify Payments"/>
    <s v="POS"/>
    <s v="fulfilled"/>
    <x v="2"/>
    <s v="Ohio"/>
    <s v="West Stephentown"/>
  </r>
  <r>
    <s v="#1012"/>
    <d v="2026-08-04T13:54:35"/>
    <s v="Karen Jones"/>
    <s v="karen.jones287@icloud.com"/>
    <s v="Stainless Steel Water Bottle"/>
    <s v="Home &amp; Kitchen"/>
    <s v="HK-BTL-750"/>
    <n v="1"/>
    <n v="12.99"/>
    <s v="BFCM25"/>
    <n v="3.25"/>
    <n v="4.99"/>
    <s v="$14.73"/>
    <s v="Shopify Payments"/>
    <s v="Online Store"/>
    <s v="refunded"/>
    <x v="4"/>
    <m/>
    <s v="South Joseph"/>
  </r>
  <r>
    <s v="#1013"/>
    <d v="2026-08-04T14:02:41"/>
    <s v="Anthony Patterson"/>
    <s v="anthony.patterson944@gmail.com"/>
    <s v="Resistance Bands Set"/>
    <s v="Sports &amp; Outdoors"/>
    <s v="SP-RBS-SET"/>
    <n v="1"/>
    <n v="13.99"/>
    <s v="SAVE20"/>
    <n v="2.8"/>
    <n v="5.99"/>
    <n v="17.18"/>
    <s v="Apple Pay"/>
    <s v="Instagram"/>
    <s v="cancelled"/>
    <x v="0"/>
    <m/>
    <s v="West Denisemouth"/>
  </r>
  <r>
    <s v="#1014"/>
    <d v="2026-08-04T14:02:11"/>
    <s v="Frederick Bean"/>
    <s v="frederick.bean141@outlook.com"/>
    <s v="Polarized Sunglasses"/>
    <s v="Accessories"/>
    <s v="ACC-SUN-01"/>
    <n v="1"/>
    <n v="16.989999999999998"/>
    <m/>
    <n v="0"/>
    <n v="5.99"/>
    <n v="22.98"/>
    <s v="Credit Card"/>
    <s v="Online Store"/>
    <s v="fulfilled"/>
    <x v="2"/>
    <s v="Florida"/>
    <s v="Kimberlychester"/>
  </r>
  <r>
    <s v="#1015"/>
    <d v="2026-08-04T14:08:21"/>
    <s v="Linda Byrd"/>
    <s v="linda.byrd87@outlook.com"/>
    <s v="Yoga Mat - Extra Thick"/>
    <s v="Sports &amp; Outdoors"/>
    <s v="SP-YGM-EX"/>
    <n v="1"/>
    <n v="22.99"/>
    <s v="SAVE20"/>
    <n v="4.5999999999999996"/>
    <n v="4.99"/>
    <n v="23.38"/>
    <s v="Google Pay"/>
    <s v="POS"/>
    <s v="fulfilled"/>
    <x v="2"/>
    <s v="AZ"/>
    <s v="Deanstad"/>
  </r>
  <r>
    <s v="#1016"/>
    <s v="08/04/2026"/>
    <s v="Rachel Jimenez"/>
    <s v="rachel.jimenez326@outlook.com"/>
    <s v="Adjustable Dumbbell Set"/>
    <s v="Sports &amp; Outdoors"/>
    <s v="SP-DMB-ADJ"/>
    <n v="1"/>
    <n v="89.99"/>
    <m/>
    <n v="0"/>
    <n v="0"/>
    <n v="89.99"/>
    <s v="Google Pay"/>
    <s v="POS"/>
    <s v="fulfilled"/>
    <x v="2"/>
    <s v="Texas"/>
    <s v="Larsonchester"/>
  </r>
  <r>
    <s v="#1017"/>
    <s v="2026-08-04"/>
    <s v="John Jacobs"/>
    <s v="john.jacobs137@yahoo.com"/>
    <s v="Hooded Sweatshirt"/>
    <s v="Apparel"/>
    <s v="APR-HOD-GRY"/>
    <n v="2"/>
    <n v="34.99"/>
    <m/>
    <n v="0"/>
    <n v="4.99"/>
    <n v="74.97"/>
    <s v="Shopify Payments"/>
    <s v="Online Store"/>
    <s v="fulfilled"/>
    <x v="4"/>
    <m/>
    <s v="South Beverlyton"/>
  </r>
  <r>
    <s v="#1018"/>
    <s v="2026-08-04"/>
    <s v="Mary Phillips"/>
    <s v="mary.phillips944@yahoo.com"/>
    <s v="Wireless Bluetooth Earbuds"/>
    <s v="Electronics"/>
    <s v="ELC-WBE-01"/>
    <n v="1"/>
    <n v="29.99"/>
    <m/>
    <n v="0"/>
    <n v="7.99"/>
    <n v="37.979999999999997"/>
    <s v="PayPal"/>
    <s v="POS"/>
    <s v="fulfilled"/>
    <x v="2"/>
    <s v="AZ"/>
    <s v="Guerraton"/>
  </r>
  <r>
    <s v="#1019"/>
    <d v="2026-08-04T13:53:36"/>
    <s v="Alison Schroeder"/>
    <s v="alison.schroeder943@icloud.com"/>
    <s v="Wireless Bluetooth Earbuds"/>
    <s v="Electronics"/>
    <s v="ELC-WBE-01"/>
    <n v="1"/>
    <n v="29.99"/>
    <s v="FREESHIP"/>
    <n v="0"/>
    <n v="0"/>
    <n v="29.99"/>
    <s v="PayPal"/>
    <s v="Online Store"/>
    <s v="fulfilled"/>
    <x v="4"/>
    <m/>
    <s v="West Jonathanview"/>
  </r>
  <r>
    <s v="#1020"/>
    <d v="2026-08-04T14:06:02"/>
    <s v="John Carson"/>
    <s v="john.carson203@yahoo.com"/>
    <s v="Wireless Bluetooth Earbuds"/>
    <s v="Electronics"/>
    <s v="ELC-WBE-01"/>
    <n v="1"/>
    <n v="29.99"/>
    <s v="SAVE20"/>
    <n v="6"/>
    <n v="5.99"/>
    <n v="29.98"/>
    <s v="Shopify Payments"/>
    <s v="POS"/>
    <s v="fulfilled"/>
    <x v="2"/>
    <s v="Ohio"/>
    <s v="Nathanieltown"/>
  </r>
  <r>
    <s v="#1021"/>
    <d v="2026-08-04T13:55:15"/>
    <s v="Tyler Williams"/>
    <s v="tyler.williams938@outlook.com"/>
    <s v="Backpack - 25L"/>
    <s v="Accessories"/>
    <s v="ACC-BPK-25L"/>
    <n v="1"/>
    <s v="$32.99"/>
    <s v="BFCM25"/>
    <n v="8.25"/>
    <n v="4.99"/>
    <n v="29.73"/>
    <s v="PayPal"/>
    <s v="Instagram"/>
    <s v="refunded"/>
    <x v="4"/>
    <m/>
    <s v="North Michellestad"/>
  </r>
  <r>
    <s v="#1022"/>
    <s v="Aug 04, 2026"/>
    <s v="Rebecca Watts"/>
    <s v="rebecca.watts779@gmail.com"/>
    <s v="Running Shoes - Women's"/>
    <s v="Footwear"/>
    <s v="FTW-RUN-W"/>
    <n v="2"/>
    <n v="54.99"/>
    <m/>
    <n v="0"/>
    <n v="0"/>
    <n v="109.98"/>
    <s v="Shopify Payments"/>
    <s v="Instagram"/>
    <s v="fulfilled"/>
    <x v="2"/>
    <s v="Illinois"/>
    <s v="Tammystad"/>
  </r>
  <r>
    <s v="#1023"/>
    <d v="2026-08-04T13:57:14"/>
    <s v="Angela Carr"/>
    <s v="angela.carr488@yahoo.com"/>
    <s v="Polarized Sunglasses"/>
    <s v="Accessories"/>
    <s v="ACC-SUN-01"/>
    <n v="1"/>
    <n v="16.989999999999998"/>
    <s v="BFCM25"/>
    <n v="4.25"/>
    <n v="7.99"/>
    <n v="20.73"/>
    <s v="Shopify Payments"/>
    <s v="POS"/>
    <s v="pending"/>
    <x v="2"/>
    <s v="Canada"/>
    <s v="Hansenberg"/>
  </r>
  <r>
    <s v="#1024"/>
    <d v="2026-08-04T14:04:07"/>
    <s v="Michelle Bell"/>
    <s v="michelle.bell28@yahoo.com"/>
    <s v="Wireless Mouse"/>
    <s v="Electronics"/>
    <s v="ELC-MSE-WL"/>
    <n v="1"/>
    <n v="11.99"/>
    <m/>
    <s v="$0.00"/>
    <n v="4.99"/>
    <s v="$16.98"/>
    <s v="Google Pay"/>
    <s v="Online Store"/>
    <s v="refunded"/>
    <x v="2"/>
    <s v="New York"/>
    <s v="Michaelmouth"/>
  </r>
  <r>
    <s v="#1025"/>
    <s v="04-08-2026 14:06"/>
    <s v="Amanda Robinson"/>
    <s v="amanda.robinson263@icloud.com"/>
    <s v="Facial Cleanser 200ml"/>
    <s v="Beauty"/>
    <s v="BTY-CLN-200"/>
    <n v="2"/>
    <n v="13.49"/>
    <s v="WELCOME10"/>
    <n v="2.7"/>
    <n v="5.99"/>
    <n v="30.27"/>
    <s v="Google Pay"/>
    <s v="Facebook"/>
    <s v="pending"/>
    <x v="2"/>
    <s v="Georgia"/>
    <s v="Martineztown"/>
  </r>
  <r>
    <s v="#1026"/>
    <d v="2026-08-04T14:04:49"/>
    <s v="Amanda Rodriguez"/>
    <s v="amanda.rodriguez770@yahoo.com"/>
    <s v="Adjustable Dumbbell Set"/>
    <s v="Sports &amp; Outdoors"/>
    <s v="SP-DMB-ADJ"/>
    <n v="1"/>
    <n v="89.99"/>
    <m/>
    <n v="0"/>
    <n v="0"/>
    <n v="89.99"/>
    <s v="PayPal"/>
    <s v="POS"/>
    <s v="fulfilled"/>
    <x v="2"/>
    <s v="North Carolina"/>
    <s v="Port Brittneyview"/>
  </r>
  <r>
    <s v="#1028"/>
    <d v="2026-08-04T13:53:56"/>
    <s v="Andrea Martinez"/>
    <s v="andrea.martinez756@yahoo.com"/>
    <s v="Scented Soy Candle - Vanilla"/>
    <s v="Home &amp; Kitchen"/>
    <s v="HK-CND-VAN"/>
    <n v="1"/>
    <s v="$9.99"/>
    <m/>
    <n v="0"/>
    <n v="7.99"/>
    <n v="17.98"/>
    <s v="Shopify Payments"/>
    <s v="POS"/>
    <s v="fulfilled"/>
    <x v="4"/>
    <m/>
    <s v="East Sarah"/>
  </r>
  <r>
    <s v="#1029"/>
    <d v="2026-08-04T13:54:55"/>
    <s v="Michelle Bell"/>
    <s v="michelle.bell28@yahoo.com"/>
    <s v="Facial Cleanser 200ml"/>
    <s v="Beauty"/>
    <s v="BTY-CLN-200"/>
    <n v="1"/>
    <n v="13.49"/>
    <s v="FREESHIP"/>
    <n v="0"/>
    <n v="0"/>
    <n v="13.49"/>
    <s v="Credit Card"/>
    <s v="Online Store"/>
    <s v="refunded"/>
    <x v="2"/>
    <s v="Florida"/>
    <s v="Terrymouth"/>
  </r>
  <r>
    <s v="#1030"/>
    <d v="2026-08-04T14:03:57"/>
    <s v="Kenneth Davis"/>
    <s v="kenneth.davis106@yahoo.com"/>
    <s v="Backpack - 25L"/>
    <s v="Accessories"/>
    <s v="ACC-BPK-25L"/>
    <n v="2"/>
    <n v="32.99"/>
    <m/>
    <n v="0"/>
    <n v="5.99"/>
    <n v="71.97"/>
    <s v="Shopify Payments"/>
    <s v="Online Store"/>
    <s v="fulfilled"/>
    <x v="2"/>
    <s v="Florida"/>
    <s v="Millerside"/>
  </r>
  <r>
    <s v="#1031"/>
    <s v="Aug 04, 2026"/>
    <s v="Tyler Williams"/>
    <s v="tyler.williams938@outlook.com"/>
    <s v="Wireless Mouse"/>
    <s v="Electronics"/>
    <s v="ELC-MSE-WL"/>
    <n v="1"/>
    <n v="11.99"/>
    <s v="SAVE20"/>
    <n v="2.4"/>
    <n v="7.99"/>
    <n v="17.579999999999998"/>
    <s v="Credit Card"/>
    <s v="Facebook"/>
    <s v="pending"/>
    <x v="4"/>
    <m/>
    <s v="Donaldshire"/>
  </r>
  <r>
    <s v="#1032"/>
    <d v="2026-08-04T14:08:18"/>
    <s v="Joe Taylor"/>
    <s v="joe.taylor714@yahoo.com"/>
    <s v="Throw Blanket - Fleece"/>
    <s v="Home &amp; Kitchen"/>
    <s v="HK-BLK-FLC"/>
    <n v="2"/>
    <n v="17.989999999999998"/>
    <m/>
    <n v="0"/>
    <n v="4.99"/>
    <n v="40.97"/>
    <s v="PayPal"/>
    <s v="Instagram"/>
    <s v="fulfilled"/>
    <x v="3"/>
    <m/>
    <s v="New Marciatown"/>
  </r>
  <r>
    <s v="#1033"/>
    <d v="2026-08-04T14:02:34"/>
    <s v="Anthony Marshall"/>
    <s v="anthony.marshall823@yahoo.com"/>
    <s v="Vitamin C Serum 30ml"/>
    <s v="Beauty"/>
    <s v="BTY-SRM-30"/>
    <n v="1"/>
    <n v="24.99"/>
    <s v="VIP15"/>
    <n v="3.75"/>
    <n v="5.99"/>
    <n v="27.23"/>
    <s v="Google Pay"/>
    <s v="Online Store"/>
    <s v="fulfilled"/>
    <x v="2"/>
    <s v="Ohio"/>
    <s v="Timothyton"/>
  </r>
  <r>
    <s v="#1034"/>
    <d v="2026-08-04T13:55:46"/>
    <s v="Amy Barnett"/>
    <m/>
    <s v="Resistance Bands Set"/>
    <s v="Sports &amp; Outdoors"/>
    <s v="SP-RBS-SET"/>
    <n v="2"/>
    <n v="13.99"/>
    <s v="WELCOME10"/>
    <n v="2.8"/>
    <n v="4.99"/>
    <n v="30.17"/>
    <s v="Shopify Payments"/>
    <s v="Online Store"/>
    <s v="fulfilled"/>
    <x v="0"/>
    <m/>
    <s v="Joshuaborough"/>
  </r>
  <r>
    <s v="#1035"/>
    <d v="2026-08-04T13:59:37"/>
    <s v="Glenn Smith"/>
    <s v="glenn.smith305@gmail.com"/>
    <s v="Kids Building Blocks Set"/>
    <s v="Toys"/>
    <s v="TOY-BLK-SET"/>
    <n v="2"/>
    <n v="27.99"/>
    <m/>
    <n v="0"/>
    <n v="5.99"/>
    <n v="61.97"/>
    <s v="PayPal"/>
    <s v="Online Store"/>
    <s v="fulfilled"/>
    <x v="1"/>
    <m/>
    <s v="East Jeffreybury"/>
  </r>
  <r>
    <s v="#1036"/>
    <d v="2026-08-04T13:56:32"/>
    <s v="Diane Campos"/>
    <s v="diane.campos325@gmail.com"/>
    <s v="Classic Cotton T-Shirt"/>
    <s v="Apparel"/>
    <s v="TSH-BLK-L"/>
    <n v="2"/>
    <n v="14.99"/>
    <s v="WELCOME10"/>
    <n v="3"/>
    <n v="7.99"/>
    <n v="34.97"/>
    <s v="PayPal"/>
    <s v="Facebook"/>
    <s v="fulfilled"/>
    <x v="2"/>
    <s v="Washington"/>
    <s v="West Patrickmouth"/>
  </r>
  <r>
    <s v="#1037"/>
    <s v="08/04/2026"/>
    <s v="Tamara Dodson"/>
    <s v="tamara.dodson539@gmail.com"/>
    <s v="Backpack - 25L"/>
    <s v="Accessories"/>
    <s v="ACC-BPK-25L"/>
    <n v="2"/>
    <n v="32.99"/>
    <s v="SAVE20"/>
    <n v="13.2"/>
    <n v="5.99"/>
    <n v="58.77"/>
    <s v="Credit Card"/>
    <s v="Online Store"/>
    <s v="cancelled"/>
    <x v="0"/>
    <m/>
    <s v="Williamfort"/>
  </r>
  <r>
    <s v="#1038"/>
    <s v="04-08-2026 13:58"/>
    <s v="William Houston"/>
    <m/>
    <s v="Stainless Steel Water Bottle"/>
    <s v="Home &amp; Kitchen"/>
    <s v="HK-BTL-750"/>
    <n v="2"/>
    <n v="12.99"/>
    <m/>
    <n v="0"/>
    <n v="4.99"/>
    <n v="30.97"/>
    <s v="Google Pay"/>
    <s v="Instagram"/>
    <s v="fulfilled"/>
    <x v="2"/>
    <s v="Ohio"/>
    <s v="Greenfurt"/>
  </r>
  <r>
    <s v="#1039"/>
    <d v="2026-08-04T14:02:19"/>
    <s v="Rivera, Thomas"/>
    <s v="thomas.rivera720@yahoo.com"/>
    <s v="Hooded Sweatshirt"/>
    <s v="Apparel"/>
    <s v="APR-HOD-GRY"/>
    <n v="1"/>
    <n v="34.99"/>
    <s v="WELCOME10"/>
    <s v="$3.50"/>
    <n v="7.99"/>
    <n v="39.479999999999997"/>
    <s v="Google Pay"/>
    <s v="POS"/>
    <s v="fulfilled"/>
    <x v="2"/>
    <s v="Washington"/>
    <s v="Lake Tiffany"/>
  </r>
  <r>
    <s v="#1040"/>
    <d v="2026-08-04T14:03:43"/>
    <s v="  Monica Hicks"/>
    <s v="monica.hicks473@yahoo.com"/>
    <s v="USB-C Fast Charger 20W"/>
    <s v="Electronics"/>
    <s v="ELC-CHG-20"/>
    <n v="1"/>
    <n v="15.49"/>
    <m/>
    <n v="0"/>
    <n v="7.99"/>
    <n v="23.48"/>
    <s v="Google Pay"/>
    <s v="Instagram"/>
    <s v="fulfilled"/>
    <x v="2"/>
    <s v="Georgia"/>
    <s v="West Lanceview"/>
  </r>
  <r>
    <s v="#1041"/>
    <d v="2026-08-04T14:07:23"/>
    <s v="Dustin Griffin"/>
    <s v="dustin.griffin434@gmail.com"/>
    <s v="Ceramic Coffee Mug Set (4pc)"/>
    <s v="Home &amp; Kitchen"/>
    <s v="HK-MUG-4PK"/>
    <n v="1"/>
    <n v="18.989999999999998"/>
    <s v="BFCM25"/>
    <n v="4.75"/>
    <n v="7.99"/>
    <n v="22.23"/>
    <s v="Shopify Payments"/>
    <s v="Online Store"/>
    <s v="fulfilled"/>
    <x v="2"/>
    <s v="Florida"/>
    <s v="Mooretown"/>
  </r>
  <r>
    <s v="#1043"/>
    <s v="Aug 04, 2026"/>
    <s v="Linda Scott"/>
    <s v="linda.scott2@icloud.com"/>
    <s v="Scented Soy Candle - Vanilla"/>
    <s v="Home &amp; Kitchen"/>
    <s v="HK-CND-VAN"/>
    <n v="2"/>
    <n v="9.99"/>
    <m/>
    <n v="0"/>
    <n v="5.99"/>
    <n v="25.97"/>
    <s v="PayPal"/>
    <s v="Online Store"/>
    <s v="refunded"/>
    <x v="1"/>
    <m/>
    <s v="North Tonyfurt"/>
  </r>
  <r>
    <s v="#1044"/>
    <d v="2026-08-04T13:54:21"/>
    <s v="Angela Carr"/>
    <s v="angela.carr488@yahoo.com"/>
    <s v="Non-Stick Frying Pan 10in"/>
    <s v="Home &amp; Kitchen"/>
    <s v="HK-PAN-10"/>
    <n v="1"/>
    <n v="24.99"/>
    <s v="SAVE20"/>
    <n v="5"/>
    <n v="7.99"/>
    <n v="27.98"/>
    <s v="Credit Card"/>
    <s v="Facebook"/>
    <s v="cancelled"/>
    <x v="2"/>
    <s v="Georgia"/>
    <s v="Bakerborough"/>
  </r>
  <r>
    <s v="#1045"/>
    <d v="2026-08-04T14:08:13"/>
    <s v="Jose Ingram"/>
    <s v="jose.ingram37@gmail.com"/>
    <s v="USB-C Fast Charger 20W"/>
    <s v="Electronics"/>
    <s v="ELC-CHG-20"/>
    <n v="1"/>
    <n v="15.49"/>
    <m/>
    <n v="0"/>
    <n v="5.99"/>
    <n v="21.48"/>
    <s v="Credit Card"/>
    <s v="POS"/>
    <s v="fulfilled"/>
    <x v="2"/>
    <s v="Canada"/>
    <s v="Port Rosebury"/>
  </r>
  <r>
    <s v="#1046"/>
    <d v="2026-08-04T14:03:04"/>
    <s v="Kristen Lewis"/>
    <s v="kristen.lewis649@icloud.com"/>
    <s v="Running Shoes - Women's"/>
    <s v="Footwear"/>
    <s v="FTW-RUN-W"/>
    <n v="1"/>
    <n v="54.99"/>
    <s v="VIP15"/>
    <n v="8.25"/>
    <n v="7.99"/>
    <n v="54.73"/>
    <s v="Credit Card"/>
    <s v="Online Store"/>
    <s v="fulfilled"/>
    <x v="2"/>
    <s v="WA"/>
    <s v="North Jacqueline"/>
  </r>
  <r>
    <s v="#1047"/>
    <d v="2026-08-04T14:04:42"/>
    <s v="Michael Jacobson"/>
    <s v="michael.jacobson69@outlook.com"/>
    <s v="Wireless Bluetooth Earbuds"/>
    <s v="Electronics"/>
    <s v="ELC-WBE-01"/>
    <n v="1"/>
    <n v="29.99"/>
    <s v="VIP15"/>
    <n v="4.5"/>
    <n v="7.99"/>
    <s v="$33.48"/>
    <s v="Google Pay"/>
    <s v="Online Store"/>
    <s v="fulfilled"/>
    <x v="3"/>
    <m/>
    <s v="Craigmouth"/>
  </r>
  <r>
    <s v="#1048"/>
    <d v="2026-08-04T14:07:11"/>
    <s v="Andrew Johnson"/>
    <s v="andrew.johnson94@outlook.com"/>
    <s v="Vitamin C Serum 30ml"/>
    <s v="Beauty"/>
    <s v="BTY-SRM-30"/>
    <n v="1"/>
    <n v="24.99"/>
    <s v="WELCOME10"/>
    <n v="2.5"/>
    <n v="5.99"/>
    <n v="28.48"/>
    <s v="PayPal"/>
    <s v="Facebook"/>
    <s v="fulfilled"/>
    <x v="4"/>
    <m/>
    <s v="Briannahaven"/>
  </r>
  <r>
    <s v="#1049"/>
    <d v="2026-08-04T14:02:52"/>
    <s v="Byrd, Linda"/>
    <s v="linda.byrd87@outlook.com"/>
    <s v="Wireless Mouse"/>
    <s v="Electronics"/>
    <s v="ELC-MSE-WL"/>
    <n v="2"/>
    <n v="11.99"/>
    <s v="WELCOME10"/>
    <n v="2.4"/>
    <n v="5.99"/>
    <n v="27.57"/>
    <s v="Google Pay"/>
    <s v="Instagram"/>
    <s v="refunded"/>
    <x v="2"/>
    <s v="Georgia"/>
    <s v="Robertfurt"/>
  </r>
  <r>
    <s v="#1050"/>
    <d v="2026-08-04T14:01:55"/>
    <s v="TINA SINGH"/>
    <s v="tina.singh98@icloud.com"/>
    <s v="Resistance Bands Set"/>
    <s v="Sports &amp; Outdoors"/>
    <s v="SP-RBS-SET"/>
    <n v="1"/>
    <n v="13.99"/>
    <s v="BFCM25"/>
    <n v="3.5"/>
    <n v="4.99"/>
    <n v="15.48"/>
    <s v="Shopify Payments"/>
    <s v="Online Store"/>
    <s v="fulfilled"/>
    <x v="2"/>
    <s v="Texas"/>
    <s v="Port Angela"/>
  </r>
  <r>
    <s v="#1051"/>
    <d v="2026-08-04T13:59:15"/>
    <s v="Paul Dillon"/>
    <s v="paul.dillon750@icloud.com"/>
    <s v="Phone Case - Clear"/>
    <s v="Electronics"/>
    <s v="ELC-CSE-CLR"/>
    <n v="1"/>
    <n v="8.99"/>
    <s v="BFCM25"/>
    <n v="2.25"/>
    <n v="7.99"/>
    <n v="14.73"/>
    <s v="PayPal"/>
    <s v="Online Store"/>
    <s v="fulfilled"/>
    <x v="4"/>
    <m/>
    <s v="Comptonstad"/>
  </r>
  <r>
    <s v="#1052"/>
    <d v="2026-08-04T14:03:12"/>
    <s v="Leon Oliver"/>
    <s v="leon.oliver578@gmail.com"/>
    <s v="Stainless Steel Water Bottle"/>
    <s v="Home &amp; Kitchen"/>
    <s v="HK-BTL-750"/>
    <n v="3"/>
    <n v="12.99"/>
    <s v="VIP15"/>
    <n v="5.85"/>
    <n v="7.99"/>
    <n v="41.11"/>
    <s v="PayPal"/>
    <s v="Facebook"/>
    <s v="cancelled"/>
    <x v="1"/>
    <m/>
    <s v="Samuelshire"/>
  </r>
  <r>
    <s v="#1053"/>
    <d v="2026-08-04T14:08:09"/>
    <s v="Anthony Parsons"/>
    <m/>
    <s v="USB-C Fast Charger 20W"/>
    <s v="Electronics"/>
    <s v="ELC-CHG-20"/>
    <n v="2"/>
    <s v="$15.49"/>
    <m/>
    <n v="0"/>
    <n v="4.99"/>
    <n v="35.97"/>
    <s v="Google Pay"/>
    <s v="Facebook"/>
    <s v="cancelled"/>
    <x v="2"/>
    <s v="North Carolina"/>
    <s v="Alexanderland"/>
  </r>
  <r>
    <s v="#1054"/>
    <d v="2026-08-04T13:55:11"/>
    <s v="Stacey Johnson"/>
    <s v="stacey.johnson95@gmail.com"/>
    <s v="Ceramic Coffee Mug Set (4pc)"/>
    <s v="Home &amp; Kitchen"/>
    <s v="HK-MUG-4PK"/>
    <n v="1"/>
    <n v="18.989999999999998"/>
    <m/>
    <s v="$0.00"/>
    <n v="4.99"/>
    <n v="23.98"/>
    <s v="Apple Pay"/>
    <s v="Online Store"/>
    <s v="refunded"/>
    <x v="3"/>
    <m/>
    <s v="Lake Jeffrey"/>
  </r>
  <r>
    <s v="#1055"/>
    <d v="2026-08-04T14:06:30"/>
    <s v="Anthony Mullen"/>
    <s v="anthony.mullen523@yahoo.com"/>
    <s v="Hooded Sweatshirt"/>
    <s v="Apparel"/>
    <s v="APR-HOD-GRY"/>
    <n v="1"/>
    <n v="34.99"/>
    <s v="SAVE20"/>
    <n v="7"/>
    <n v="7.99"/>
    <n v="35.979999999999997"/>
    <s v="Credit Card"/>
    <s v="Facebook"/>
    <s v="pending"/>
    <x v="2"/>
    <s v="Georgia"/>
    <s v="Geraldhaven"/>
  </r>
  <r>
    <s v="#1056"/>
    <d v="2026-08-04T14:04:40"/>
    <s v="Lauren Nguyen"/>
    <s v="lauren.nguyen819@outlook.com"/>
    <s v="Ceramic Coffee Mug Set (4pc)"/>
    <s v="Home &amp; Kitchen"/>
    <s v="HK-MUG-4PK"/>
    <n v="1"/>
    <n v="18.989999999999998"/>
    <s v="SAVE20"/>
    <n v="3.8"/>
    <n v="7.99"/>
    <n v="23.18"/>
    <s v="Apple Pay"/>
    <s v="POS"/>
    <s v="fulfilled"/>
    <x v="5"/>
    <m/>
    <s v="North Christopherview"/>
  </r>
  <r>
    <s v="#1057"/>
    <d v="2026-08-04T13:58:48"/>
    <s v="Melissa Smith"/>
    <s v="melissa.smith711@gmail.com"/>
    <s v="USB-C Fast Charger 20W"/>
    <s v="Electronics"/>
    <s v="ELC-CHG-20"/>
    <n v="1"/>
    <n v="15.49"/>
    <s v="WELCOME10"/>
    <n v="1.55"/>
    <n v="5.99"/>
    <n v="19.93"/>
    <s v="Shopify Payments"/>
    <s v="Online Store"/>
    <s v="fulfilled"/>
    <x v="0"/>
    <m/>
    <s v="Nancymouth"/>
  </r>
  <r>
    <s v="#1058"/>
    <s v="04-08-2026 13:54"/>
    <s v="Amanda Harris"/>
    <m/>
    <s v="Hooded Sweatshirt"/>
    <s v="Apparel"/>
    <s v="APR-HOD-GRY"/>
    <n v="1"/>
    <s v="$34.99"/>
    <m/>
    <n v="0"/>
    <n v="7.99"/>
    <n v="42.98"/>
    <s v="Shopify Payments"/>
    <s v="Online Store"/>
    <s v="fulfilled"/>
    <x v="2"/>
    <s v="Arizona"/>
    <s v="Lake Alyssa"/>
  </r>
  <r>
    <s v="#1059"/>
    <d v="2026-08-04T14:05:24"/>
    <s v="William Houston"/>
    <s v="william.houston340@outlook.com"/>
    <s v="Kids Building Blocks Set"/>
    <s v="Toys"/>
    <s v="TOY-BLK-SET"/>
    <n v="1"/>
    <n v="27.99"/>
    <m/>
    <n v="0"/>
    <n v="5.99"/>
    <n v="33.979999999999997"/>
    <s v="Apple Pay"/>
    <s v="Instagram"/>
    <s v="fulfilled"/>
    <x v="2"/>
    <s v="TX"/>
    <s v="Mooreport"/>
  </r>
  <r>
    <s v="#1060"/>
    <d v="2026-08-04T13:57:58"/>
    <s v="Heather Davis"/>
    <s v="heather.davis117@icloud.com"/>
    <s v="Hooded Sweatshirt"/>
    <s v="Apparel"/>
    <s v="APR-HOD-GRY"/>
    <n v="2"/>
    <s v="$34.99"/>
    <m/>
    <n v="0"/>
    <n v="5.99"/>
    <n v="75.97"/>
    <s v="Apple Pay"/>
    <s v="Online Store"/>
    <s v="fulfilled"/>
    <x v="3"/>
    <m/>
    <s v="East Tiffany"/>
  </r>
  <r>
    <s v="#1061"/>
    <d v="2026-08-04T14:03:34"/>
    <s v="Stacey Johnson"/>
    <s v="stacey.johnson95@gmail.com"/>
    <s v="Phone Case - Clear"/>
    <s v="Electronics"/>
    <s v="ELC-CSE-CLR"/>
    <n v="2"/>
    <n v="8.99"/>
    <s v="FREESHIP"/>
    <n v="0"/>
    <n v="0"/>
    <n v="17.98"/>
    <s v="Credit Card"/>
    <s v="Online Store"/>
    <s v="cancelled"/>
    <x v="3"/>
    <m/>
    <s v="West Charles"/>
  </r>
  <r>
    <s v="#1062"/>
    <d v="2026-08-04T14:00:09"/>
    <s v="Lisa Flowers"/>
    <s v="lisa.flowers14@icloud.com"/>
    <s v="Hooded Sweatshirt"/>
    <s v="Apparel"/>
    <s v="APR-HOD-GRY"/>
    <n v="1"/>
    <n v="34.99"/>
    <s v="FREESHIP"/>
    <n v="0"/>
    <n v="0"/>
    <n v="34.99"/>
    <s v="Shopify Payments"/>
    <s v="Online Store"/>
    <s v="cancelled"/>
    <x v="3"/>
    <m/>
    <s v="Port Patriciaborough"/>
  </r>
  <r>
    <s v="#1063"/>
    <d v="2026-08-04T14:06:16"/>
    <s v="Robert Boyd"/>
    <s v="robert.boyd184@yahoo.com"/>
    <s v="Yoga Mat - Extra Thick"/>
    <s v="Sports &amp; Outdoors"/>
    <s v="SP-YGM-EX"/>
    <n v="2"/>
    <n v="22.99"/>
    <s v="FREESHIP"/>
    <n v="0"/>
    <n v="0"/>
    <n v="45.98"/>
    <s v="Apple Pay"/>
    <s v="Online Store"/>
    <s v="fulfilled"/>
    <x v="1"/>
    <m/>
    <s v="North Ariel"/>
  </r>
  <r>
    <s v="#1064"/>
    <d v="2026-08-04T14:08:12"/>
    <s v="Jennifer Burke"/>
    <s v="jennifer.burke472@icloud.com"/>
    <s v="Running Shoes - Men's"/>
    <s v="Footwear"/>
    <s v="FTW-RUN-M"/>
    <n v="2"/>
    <s v="$54.99"/>
    <m/>
    <n v="0"/>
    <n v="0"/>
    <n v="109.98"/>
    <s v="Apple Pay"/>
    <s v="Online Store"/>
    <s v="cancelled"/>
    <x v="0"/>
    <m/>
    <s v="Arroyomouth"/>
  </r>
  <r>
    <s v="#1065"/>
    <d v="2026-08-04T14:02:18"/>
    <s v="Jaime Vargas"/>
    <s v="jaime.vargas795@outlook.com"/>
    <s v="Adjustable Dumbbell Set"/>
    <s v="Sports &amp; Outdoors"/>
    <s v="SP-DMB-ADJ"/>
    <n v="4"/>
    <n v="89.99"/>
    <m/>
    <n v="0"/>
    <n v="0"/>
    <n v="359.96"/>
    <s v="Apple Pay"/>
    <s v="Instagram"/>
    <s v="fulfilled"/>
    <x v="5"/>
    <m/>
    <s v="North Victoriamouth"/>
  </r>
  <r>
    <s v="#1066"/>
    <d v="2026-08-04T14:01:57"/>
    <s v="Kristen Aguirre"/>
    <s v="kristen.aguirre898@gmail.com"/>
    <s v="Portable Power Bank 10000mAh"/>
    <s v="Electronics"/>
    <s v="ELC-PWB-10K"/>
    <n v="2"/>
    <n v="21.99"/>
    <s v="FREESHIP"/>
    <n v="0"/>
    <n v="0"/>
    <n v="43.98"/>
    <s v="Credit Card"/>
    <s v="Online Store"/>
    <s v="fulfilled"/>
    <x v="3"/>
    <m/>
    <s v="Dennisborough"/>
  </r>
  <r>
    <s v="#1067"/>
    <s v="Aug 04, 2026"/>
    <s v="Amanda Robinson"/>
    <m/>
    <s v="Stainless Steel Water Bottle"/>
    <s v="Home &amp; Kitchen"/>
    <s v="HK-BTL-750"/>
    <n v="2"/>
    <n v="12.99"/>
    <s v="FREESHIP"/>
    <n v="0"/>
    <n v="0"/>
    <n v="25.98"/>
    <s v="Apple Pay"/>
    <s v="Online Store"/>
    <s v="fulfilled"/>
    <x v="2"/>
    <s v="Texas"/>
    <s v="Lake Josehaven"/>
  </r>
  <r>
    <s v="#1068"/>
    <d v="2026-08-04T14:04:01"/>
    <s v="Mary Garcia"/>
    <s v="mary.garcia899@icloud.com"/>
    <s v="Throw Blanket - Fleece"/>
    <s v="Home &amp; Kitchen"/>
    <s v="HK-BLK-FLC"/>
    <n v="1"/>
    <n v="17.989999999999998"/>
    <s v="WELCOME10"/>
    <n v="1.8"/>
    <n v="7.99"/>
    <n v="24.18"/>
    <s v="Credit Card"/>
    <s v="Online Store"/>
    <s v="pending"/>
    <x v="1"/>
    <m/>
    <s v="Lake Rebecca"/>
  </r>
  <r>
    <s v="#1069"/>
    <d v="2026-08-04T14:00:22"/>
    <s v="Kristina Cook"/>
    <s v="kristina.cook392@outlook.com"/>
    <s v="Slim Fit Denim Jeans"/>
    <s v="Apparel"/>
    <s v="JNS-BLU-32"/>
    <n v="1"/>
    <n v="39.99"/>
    <m/>
    <n v="0"/>
    <n v="4.99"/>
    <n v="44.98"/>
    <s v="Credit Card"/>
    <s v="Online Store"/>
    <s v="refunded"/>
    <x v="2"/>
    <s v="TX"/>
    <s v="Copelandburgh"/>
  </r>
  <r>
    <s v="#1070"/>
    <d v="2026-08-04T14:01:09"/>
    <s v="Shelly Griffith"/>
    <s v="shelly.griffith342@icloud.com"/>
    <s v="Vitamin C Serum 30ml"/>
    <s v="Beauty"/>
    <s v="BTY-SRM-30"/>
    <n v="1"/>
    <n v="24.99"/>
    <s v="VIP15"/>
    <n v="3.75"/>
    <n v="4.99"/>
    <n v="26.23"/>
    <s v="PayPal"/>
    <s v="Online Store"/>
    <s v="fulfilled"/>
    <x v="4"/>
    <m/>
    <s v="Lake Michele"/>
  </r>
  <r>
    <s v="#1071"/>
    <d v="2026-08-04T13:55:13"/>
    <s v="Kathryn Robinson"/>
    <s v="kathryn.robinson965@gmail.com"/>
    <s v="Scented Soy Candle - Vanilla"/>
    <s v="Home &amp; Kitchen"/>
    <s v="HK-CND-VAN"/>
    <n v="2"/>
    <n v="9.99"/>
    <s v="BFCM25 "/>
    <n v="5"/>
    <n v="5.99"/>
    <n v="20.97"/>
    <s v="Shopify Payments"/>
    <s v="Instagram"/>
    <s v="fulfilled"/>
    <x v="5"/>
    <m/>
    <s v="South Katherine"/>
  </r>
  <r>
    <s v="#1072"/>
    <s v="08/04/2026"/>
    <s v="Katie Coleman"/>
    <s v="katie.coleman262@outlook.com"/>
    <s v="Phone Case - Clear"/>
    <s v="Electronics"/>
    <s v="ELC-CSE-CLR"/>
    <n v="1"/>
    <n v="8.99"/>
    <m/>
    <n v="0"/>
    <n v="5.99"/>
    <n v="14.98"/>
    <s v="Apple Pay"/>
    <s v="Online Store"/>
    <s v="refunded"/>
    <x v="1"/>
    <m/>
    <s v="Kennethfurt"/>
  </r>
  <r>
    <s v="#1073"/>
    <d v="2026-08-04T14:07:13"/>
    <s v="Brittney Thomas"/>
    <s v="brittney.thomas484@gmail.com"/>
    <s v="Classic Cotton T-Shirt"/>
    <s v="Apparel"/>
    <s v="TSH-BLK-L"/>
    <n v="1"/>
    <n v="14.99"/>
    <s v="WELCOME10"/>
    <n v="1.5"/>
    <n v="7.99"/>
    <n v="21.48"/>
    <s v="Shopify Payments"/>
    <s v="POS"/>
    <s v="refunded"/>
    <x v="2"/>
    <s v="Georgia"/>
    <s v="Moyerstad"/>
  </r>
  <r>
    <s v="#1074"/>
    <d v="2026-08-04T13:57:49"/>
    <s v="Jennifer Burke"/>
    <s v="jennifer.burke472@icloud.com"/>
    <s v="Wireless Mouse"/>
    <s v="Electronics"/>
    <s v="ELC-MSE-WL"/>
    <n v="1"/>
    <s v="$11.99"/>
    <s v="SAVE20"/>
    <n v="2.4"/>
    <n v="7.99"/>
    <n v="17.579999999999998"/>
    <s v="Apple Pay"/>
    <s v="Facebook"/>
    <s v="refunded"/>
    <x v="0"/>
    <m/>
    <s v="West Loganbury"/>
  </r>
  <r>
    <s v="#1075"/>
    <d v="2026-08-04T13:53:59"/>
    <s v="Dustin Ward"/>
    <s v="dustin.ward756@icloud.com"/>
    <s v="Facial Cleanser 200ml"/>
    <s v="Beauty"/>
    <s v="BTY-CLN-200"/>
    <n v="2"/>
    <n v="13.49"/>
    <s v="SAVE20"/>
    <n v="5.4"/>
    <n v="5.99"/>
    <n v="27.57"/>
    <s v="PayPal"/>
    <s v="Instagram"/>
    <s v="fulfilled"/>
    <x v="2"/>
    <s v="Florida"/>
    <s v="Lake Stephanieville"/>
  </r>
  <r>
    <s v="#1076"/>
    <d v="2026-08-04T13:53:44"/>
    <s v="Chad Smith"/>
    <s v="chad.smith773@icloud.com"/>
    <s v="Ceramic Coffee Mug Set (4pc)"/>
    <s v="Home &amp; Kitchen"/>
    <s v="HK-MUG-4PK"/>
    <n v="1"/>
    <n v="18.989999999999998"/>
    <s v="FREESHIP"/>
    <n v="0"/>
    <n v="0"/>
    <n v="18.989999999999998"/>
    <s v="PayPal"/>
    <s v="Online Store"/>
    <s v="refunded"/>
    <x v="0"/>
    <m/>
    <s v="North Andreafort"/>
  </r>
  <r>
    <s v="#1077"/>
    <s v="2026-08-04"/>
    <s v="Cody Murray"/>
    <s v="cody.murray456@gmail.com"/>
    <s v="Stainless Steel Water Bottle"/>
    <s v="Home &amp; Kitchen"/>
    <s v="HK-BTL-750"/>
    <n v="2"/>
    <n v="12.99"/>
    <s v="FREESHIP"/>
    <n v="0"/>
    <n v="0"/>
    <n v="25.98"/>
    <s v="Shopify Payments"/>
    <s v="POS"/>
    <s v="refunded"/>
    <x v="5"/>
    <m/>
    <s v="Haydenport"/>
  </r>
  <r>
    <s v="#1078"/>
    <d v="2026-08-04T14:02:46"/>
    <s v="Sandra Potter"/>
    <s v="sandra.potter166@yahoo.com"/>
    <s v="Phone Case - Clear"/>
    <s v="Electronics"/>
    <s v="ELC-CSE-CLR"/>
    <n v="1"/>
    <n v="8.99"/>
    <m/>
    <n v="0"/>
    <n v="4.99"/>
    <n v="13.98"/>
    <s v="Google Pay"/>
    <s v="Online Store"/>
    <s v="cancelled"/>
    <x v="2"/>
    <s v="North Carolina"/>
    <s v="South Moniquehaven"/>
  </r>
  <r>
    <s v="#1079"/>
    <d v="2026-08-04T14:00:06"/>
    <s v="Nicole Taylor"/>
    <s v="nicole.taylor607@icloud.com"/>
    <s v="Vitamin C Serum 30ml"/>
    <s v="Beauty"/>
    <s v="BTY-SRM-30"/>
    <n v="1"/>
    <n v="24.99"/>
    <m/>
    <n v="0"/>
    <n v="5.99"/>
    <n v="30.98"/>
    <s v="Credit Card"/>
    <s v="Online Store"/>
    <s v="fulfilled"/>
    <x v="2"/>
    <s v="New York"/>
    <s v="Port Traviston"/>
  </r>
  <r>
    <s v="#1080"/>
    <d v="2026-08-04T13:54:54"/>
    <s v="Andrew Jones"/>
    <s v="andrew.jones338@icloud.com"/>
    <s v="Ceramic Coffee Mug Set (4pc)"/>
    <s v="Home &amp; Kitchen"/>
    <s v="HK-MUG-4PK"/>
    <n v="1"/>
    <n v="18.989999999999998"/>
    <m/>
    <n v="0"/>
    <n v="4.99"/>
    <n v="23.98"/>
    <s v="Apple Pay"/>
    <s v="Instagram"/>
    <s v="fulfilled"/>
    <x v="5"/>
    <m/>
    <s v="Fitzgeraldtown"/>
  </r>
  <r>
    <s v="#1081"/>
    <d v="2026-08-04T14:02:07"/>
    <s v="Robert Boyd"/>
    <s v="robert.boyd184@yahoo.com"/>
    <s v="Backpack - 25L"/>
    <s v="Accessories"/>
    <s v="ACC-BPK-25L"/>
    <n v="3"/>
    <n v="32.99"/>
    <s v="FREESHIP"/>
    <s v="$0.00"/>
    <n v="0"/>
    <n v="98.97"/>
    <s v="Shopify Payments"/>
    <s v="Online Store"/>
    <s v="cancelled"/>
    <x v="1"/>
    <m/>
    <s v="Lake Franciscoton"/>
  </r>
  <r>
    <s v="#1082"/>
    <s v="08/04/2026"/>
    <s v="Michele Davis"/>
    <s v="michele.davis844@gmail.com"/>
    <s v="Stainless Steel Water Bottle"/>
    <s v="Home &amp; Kitchen"/>
    <s v="HK-BTL-750"/>
    <n v="1"/>
    <n v="12.99"/>
    <s v="SAVE20"/>
    <n v="2.6"/>
    <n v="4.99"/>
    <s v="$15.38"/>
    <s v="Google Pay"/>
    <s v="Online Store"/>
    <s v="refunded"/>
    <x v="4"/>
    <m/>
    <s v="Perkinschester"/>
  </r>
  <r>
    <s v="#1084"/>
    <d v="2026-08-04T14:07:37"/>
    <s v="Megan Herman"/>
    <s v="megan.herman268@yahoo.com"/>
    <s v="Ceramic Coffee Mug Set (4pc)"/>
    <s v="Home &amp; Kitchen"/>
    <s v="HK-MUG-4PK"/>
    <n v="1"/>
    <n v="18.989999999999998"/>
    <m/>
    <n v="0"/>
    <n v="4.99"/>
    <n v="23.98"/>
    <s v="Apple Pay"/>
    <s v="Online Store"/>
    <s v="refunded"/>
    <x v="2"/>
    <s v="Florida"/>
    <s v="Yvetteville"/>
  </r>
  <r>
    <s v="#1085"/>
    <d v="2026-08-04T14:00:47"/>
    <s v="Amanda Harris"/>
    <s v="amanda.harris197@gmail.com"/>
    <s v="Classic Cotton T-Shirt"/>
    <s v="Apparel"/>
    <s v="TSH-BLK-M"/>
    <n v="1"/>
    <n v="14.99"/>
    <s v="SAVE20"/>
    <n v="3"/>
    <n v="4.99"/>
    <s v="$16.98"/>
    <s v="Google Pay"/>
    <s v="Instagram"/>
    <s v="fulfilled"/>
    <x v="2"/>
    <s v="California"/>
    <s v="Michaelmouth"/>
  </r>
  <r>
    <s v="#1086"/>
    <d v="2026-08-04T13:57:52"/>
    <s v="Joshua Chavez"/>
    <s v="joshua.chavez332@outlook.com"/>
    <s v="Leather Wallet - Brown"/>
    <s v="Accessories"/>
    <s v="ACC-WLT-BRN"/>
    <n v="1"/>
    <s v="$19.99"/>
    <m/>
    <n v="0"/>
    <n v="4.99"/>
    <n v="24.98"/>
    <s v="PayPal"/>
    <s v="Facebook"/>
    <s v="fulfilled"/>
    <x v="2"/>
    <s v="California"/>
    <s v="Newmanborough"/>
  </r>
  <r>
    <s v="#1087"/>
    <d v="2026-08-04T13:53:58"/>
    <s v="Deborah Wilson"/>
    <s v="deborah.wilson691@icloud.com"/>
    <s v="Leather Wallet - Brown"/>
    <s v="Accessories"/>
    <s v="ACC-WLT-BRN"/>
    <n v="2"/>
    <n v="19.989999999999998"/>
    <s v="VIP15"/>
    <n v="6"/>
    <n v="7.99"/>
    <s v="$41.97"/>
    <s v="Apple Pay"/>
    <s v="Online Store"/>
    <s v="refunded"/>
    <x v="5"/>
    <m/>
    <s v="Lake Gary"/>
  </r>
  <r>
    <s v="#1088"/>
    <d v="2026-08-04T14:06:57"/>
    <s v="Brian Ruiz"/>
    <s v="brian.ruiz246@gmail.com"/>
    <s v="Vitamin C Serum 30ml"/>
    <s v="Beauty"/>
    <s v="BTY-SRM-30"/>
    <n v="2"/>
    <n v="24.99"/>
    <s v="FREESHIP"/>
    <n v="0"/>
    <n v="0"/>
    <n v="49.98"/>
    <s v="Credit Card"/>
    <s v="Online Store"/>
    <s v="fulfilled"/>
    <x v="3"/>
    <m/>
    <s v="South Melissaborough"/>
  </r>
  <r>
    <s v="#1089"/>
    <d v="2026-08-04T13:55:06"/>
    <s v="Kimberly Cordova"/>
    <s v="kimberly.cordova508@icloud.com"/>
    <s v="Non-Stick Frying Pan 10in"/>
    <s v="Home &amp; Kitchen"/>
    <s v="HK-PAN-10"/>
    <n v="1"/>
    <n v="24.99"/>
    <s v="BFCM25"/>
    <n v="6.25"/>
    <n v="7.99"/>
    <n v="26.73"/>
    <s v="PayPal"/>
    <s v="Online Store"/>
    <s v="refunded"/>
    <x v="0"/>
    <m/>
    <s v="Brendaside"/>
  </r>
  <r>
    <s v="#1090"/>
    <d v="2026-08-04T13:54:11"/>
    <s v="Glenn Mcmahon"/>
    <s v="glenn.mcmahon733@yahoo.com"/>
    <s v="Adjustable Dumbbell Set"/>
    <s v="Sports &amp; Outdoors"/>
    <s v="SP-DMB-ADJ"/>
    <n v="1"/>
    <n v="89.99"/>
    <s v="WELCOME10"/>
    <n v="9"/>
    <n v="0"/>
    <n v="80.989999999999995"/>
    <s v="PayPal"/>
    <s v="Online Store"/>
    <s v="fulfilled"/>
    <x v="2"/>
    <s v="Illinois"/>
    <s v="West Thomaschester"/>
  </r>
  <r>
    <s v="#1091"/>
    <d v="2026-08-04T13:57:30"/>
    <s v="Sara Sims"/>
    <s v="sara.sims992@icloud.com"/>
    <s v="Wireless Mouse"/>
    <s v="Electronics"/>
    <s v="ELC-MSE-WL"/>
    <n v="1"/>
    <n v="11.99"/>
    <s v="BFCM25"/>
    <n v="3"/>
    <n v="7.99"/>
    <n v="16.98"/>
    <s v="Apple Pay"/>
    <s v="Facebook"/>
    <s v="fulfilled"/>
    <x v="3"/>
    <m/>
    <s v="Powellland"/>
  </r>
  <r>
    <s v="#1092"/>
    <d v="2026-08-04T14:03:38"/>
    <s v="Julia Atkinson"/>
    <s v="julia.atkinson939@gmail.com"/>
    <s v="Backpack - 25L"/>
    <s v="Accessories"/>
    <s v="ACC-BPK-25L"/>
    <n v="1"/>
    <n v="32.99"/>
    <s v="VIP15"/>
    <n v="4.95"/>
    <n v="4.99"/>
    <n v="33.03"/>
    <s v="Credit Card"/>
    <s v="Instagram"/>
    <s v="fulfilled"/>
    <x v="1"/>
    <m/>
    <s v="New Christopher"/>
  </r>
  <r>
    <s v="#1093"/>
    <d v="2026-08-04T14:02:10"/>
    <s v="gerald li"/>
    <s v="gerald.li856@icloud.com"/>
    <s v="Wireless Bluetooth Earbuds"/>
    <s v="Electronics"/>
    <s v="ELC-WBE-01"/>
    <n v="1"/>
    <n v="29.99"/>
    <m/>
    <n v="0"/>
    <n v="7.99"/>
    <n v="37.979999999999997"/>
    <s v="Credit Card"/>
    <s v="Facebook"/>
    <s v="fulfilled"/>
    <x v="2"/>
    <s v="Ohio"/>
    <s v="Melissafurt"/>
  </r>
  <r>
    <s v="#1094"/>
    <d v="2026-08-04T14:01:37"/>
    <s v="Angela Rose"/>
    <s v="angela.rose740@outlook.com"/>
    <s v="Ceramic Coffee Mug Set (4pc)"/>
    <s v="Home &amp; Kitchen"/>
    <s v="HK-MUG-4PK"/>
    <n v="1"/>
    <n v="18.989999999999998"/>
    <m/>
    <n v="0"/>
    <n v="7.99"/>
    <n v="26.98"/>
    <s v="Shopify Payments"/>
    <s v="Facebook"/>
    <s v="cancelled"/>
    <x v="2"/>
    <s v="Arizona"/>
    <s v="Williamsview"/>
  </r>
  <r>
    <s v="#1095"/>
    <d v="2026-08-04T13:56:16"/>
    <s v="Nicholas Jarvis"/>
    <s v="nicholas.jarvis112@icloud.com"/>
    <s v="Classic Cotton T-Shirt"/>
    <s v="Apparel"/>
    <s v="TSH-BLK-M"/>
    <n v="2"/>
    <n v="14.99"/>
    <s v="VIP15"/>
    <n v="4.5"/>
    <n v="7.99"/>
    <n v="33.47"/>
    <s v="Shopify Payments"/>
    <s v="Facebook"/>
    <s v="refunded"/>
    <x v="1"/>
    <m/>
    <s v="West Brookebury"/>
  </r>
  <r>
    <s v="#1096"/>
    <d v="2026-08-04T14:08:13"/>
    <s v="Natalie Dixon"/>
    <s v="natalie.dixon388@outlook.com"/>
    <s v="Stainless Steel Water Bottle"/>
    <s v="Home &amp; Kitchen"/>
    <s v="HK-BTL-750"/>
    <n v="2"/>
    <n v="12.99"/>
    <m/>
    <n v="0"/>
    <n v="4.99"/>
    <s v="$30.97"/>
    <s v="Apple Pay"/>
    <s v="Facebook"/>
    <s v="pending"/>
    <x v="2"/>
    <s v="NC"/>
    <s v="East Emilyfort"/>
  </r>
  <r>
    <s v="#1097"/>
    <d v="2026-08-04T14:07:14"/>
    <s v="Christopher Harrington"/>
    <s v="christopher.harrington960@gmail.com"/>
    <s v="Vitamin C Serum 30ml"/>
    <s v="Beauty"/>
    <s v="BTY-SRM-30"/>
    <n v="3"/>
    <n v="24.99"/>
    <m/>
    <n v="0"/>
    <n v="4.99"/>
    <s v="$79.96"/>
    <s v="Credit Card"/>
    <s v="Facebook"/>
    <s v="fulfilled"/>
    <x v="4"/>
    <m/>
    <s v="Smithton"/>
  </r>
  <r>
    <s v="#1098"/>
    <s v="04-08-2026 13:58"/>
    <s v="Timothy Becker"/>
    <s v="timothy.becker88@yahoo.com"/>
    <s v="Kids Building Blocks Set"/>
    <s v="Toys"/>
    <s v="TOY-BLK-SET"/>
    <n v="2"/>
    <n v="27.99"/>
    <m/>
    <n v="0"/>
    <n v="7.99"/>
    <n v="63.97"/>
    <s v="Google Pay"/>
    <s v="Facebook"/>
    <s v="fulfilled"/>
    <x v="2"/>
    <s v="California"/>
    <s v="New Richardmouth"/>
  </r>
  <r>
    <s v="#1099"/>
    <d v="2026-08-04T14:00:01"/>
    <s v="Michael Davis"/>
    <s v="michael.davis313@outlook.com"/>
    <s v="Running Shoes - Women's"/>
    <s v="Footwear"/>
    <s v="FTW-RUN-W"/>
    <n v="1"/>
    <n v="54.99"/>
    <s v="BFCM25"/>
    <n v="13.75"/>
    <n v="5.99"/>
    <n v="47.23"/>
    <s v="Shopify Payments"/>
    <s v="POS"/>
    <s v="fulfilled"/>
    <x v="2"/>
    <s v="California"/>
    <s v="Sarahborough"/>
  </r>
  <r>
    <s v="#1100"/>
    <d v="2026-08-04T13:56:47"/>
    <s v="OMAR SANDERS"/>
    <s v="omar.sanders208@outlook.com"/>
    <s v="Running Shoes - Women's"/>
    <s v="Footwear"/>
    <s v="FTW-RUN-W"/>
    <n v="1"/>
    <n v="54.99"/>
    <s v="WELCOME10"/>
    <n v="5.5"/>
    <n v="7.99"/>
    <s v="$57.48"/>
    <s v="Credit Card"/>
    <s v="Facebook"/>
    <s v="fulfilled"/>
    <x v="5"/>
    <m/>
    <s v="Mclaughlinbury"/>
  </r>
  <r>
    <s v="#1101"/>
    <d v="2026-08-04T13:54:09"/>
    <s v="Brian Ruiz"/>
    <s v="brian.ruiz246@gmail.com"/>
    <s v="Stainless Steel Water Bottle"/>
    <s v="Home &amp; Kitchen"/>
    <s v="HK-BTL-750"/>
    <n v="1"/>
    <n v="12.99"/>
    <s v="FREESHIP"/>
    <s v="$0.00"/>
    <n v="0"/>
    <n v="12.99"/>
    <s v="Shopify Payments"/>
    <s v="Facebook"/>
    <s v="fulfilled"/>
    <x v="3"/>
    <m/>
    <s v="Jerryborough"/>
  </r>
  <r>
    <s v="#1102"/>
    <d v="2026-08-04T13:57:18"/>
    <s v="Michele Davis"/>
    <s v="michele.davis844@gmail.com"/>
    <s v="Portable Power Bank 10000mAh"/>
    <s v="Electronics"/>
    <s v="ELC-PWB-10K"/>
    <n v="1"/>
    <n v="21.99"/>
    <m/>
    <n v="0"/>
    <n v="5.99"/>
    <n v="27.98"/>
    <s v="PayPal"/>
    <s v="Instagram"/>
    <s v="refunded"/>
    <x v="4"/>
    <m/>
    <s v="Port Melissa"/>
  </r>
  <r>
    <s v="#1103"/>
    <d v="2026-08-04T13:57:04"/>
    <s v="Tracy Adams"/>
    <s v="tracy.adams712@icloud.com"/>
    <s v="Stainless Steel Water Bottle"/>
    <s v="Home &amp; Kitchen"/>
    <s v="HK-BTL-750"/>
    <n v="1"/>
    <n v="12.99"/>
    <s v="BFCM25"/>
    <n v="3.25"/>
    <n v="4.99"/>
    <n v="14.73"/>
    <s v="Google Pay"/>
    <s v="POS"/>
    <s v="fulfilled"/>
    <x v="2"/>
    <s v="Arizona"/>
    <s v="Harrisonville"/>
  </r>
  <r>
    <s v="#1104"/>
    <d v="2026-08-04T14:04:01"/>
    <s v="Julia Atkinson"/>
    <s v="julia.atkinson939@gmail.com"/>
    <s v="Polarized Sunglasses"/>
    <s v="Accessories"/>
    <s v="ACC-SUN-01"/>
    <n v="1"/>
    <n v="16.989999999999998"/>
    <m/>
    <n v="0"/>
    <n v="5.99"/>
    <n v="22.98"/>
    <s v="PayPal"/>
    <s v="Facebook"/>
    <s v="pending"/>
    <x v="1"/>
    <m/>
    <s v="Lake Williamstad"/>
  </r>
  <r>
    <s v="#1105"/>
    <d v="2026-08-04T13:56:34"/>
    <s v="Rebecca Watts"/>
    <s v="rebecca.watts779@gmail.com"/>
    <s v="Backpack - 25L"/>
    <s v="Accessories"/>
    <s v="ACC-BPK-25L"/>
    <n v="1"/>
    <n v="32.99"/>
    <s v="FREESHIP"/>
    <n v="0"/>
    <n v="0"/>
    <n v="32.99"/>
    <s v="Shopify Payments"/>
    <s v="Facebook"/>
    <s v="fulfilled"/>
    <x v="2"/>
    <s v="New York"/>
    <s v="North Jenniferhaven"/>
  </r>
  <r>
    <s v="#1106"/>
    <d v="2026-08-04T14:04:31"/>
    <s v="Thomas Smith"/>
    <s v="thomas.smith633@gmail.com"/>
    <s v="Throw Blanket - Fleece"/>
    <s v="Home &amp; Kitchen"/>
    <s v="HK-BLK-FLC"/>
    <n v="1"/>
    <n v="17.989999999999998"/>
    <s v="FREESHIP"/>
    <n v="0"/>
    <n v="0"/>
    <n v="17.989999999999998"/>
    <s v="Credit Card"/>
    <s v="Instagram"/>
    <s v="cancelled"/>
    <x v="3"/>
    <m/>
    <s v="East Seth"/>
  </r>
  <r>
    <s v="#1107"/>
    <s v="08/04/2026"/>
    <s v="Peter Alvarez"/>
    <s v="peter.alvarez465@yahoo.com"/>
    <s v="Hooded Sweatshirt"/>
    <s v="Apparel"/>
    <s v="APR-HOD-GRY"/>
    <n v="2"/>
    <n v="34.99"/>
    <m/>
    <n v="0"/>
    <n v="4.99"/>
    <n v="74.97"/>
    <s v="PayPal"/>
    <s v="POS"/>
    <s v="cancelled"/>
    <x v="2"/>
    <s v="North Carolina"/>
    <s v="Angelaborough"/>
  </r>
  <r>
    <s v="#1108"/>
    <d v="2026-08-04T14:04:53"/>
    <s v="George Gould"/>
    <s v="george.gould10@yahoo.com"/>
    <s v="Kids Building Blocks Set"/>
    <s v="Toys"/>
    <s v="TOY-BLK-SET"/>
    <n v="2"/>
    <n v="27.99"/>
    <s v="FREESHIP"/>
    <n v="0"/>
    <n v="0"/>
    <n v="55.98"/>
    <s v="PayPal"/>
    <s v="POS"/>
    <s v="fulfilled"/>
    <x v="1"/>
    <m/>
    <s v="Sierrastad"/>
  </r>
  <r>
    <s v="#1109"/>
    <d v="2026-08-04T13:57:49"/>
    <s v="Emily Hicks"/>
    <s v="emily.hicks49@outlook.com"/>
    <s v="Portable Power Bank 10000mAh"/>
    <s v="Electronics"/>
    <s v="ELC-PWB-10K"/>
    <n v="2"/>
    <n v="21.99"/>
    <s v="FREESHIP"/>
    <n v="0"/>
    <n v="0"/>
    <s v="$43.98"/>
    <s v="Google Pay"/>
    <s v="Online Store"/>
    <s v="pending"/>
    <x v="3"/>
    <m/>
    <s v="Kendrafurt"/>
  </r>
  <r>
    <s v="#1110"/>
    <d v="2026-08-04T14:02:51"/>
    <s v="Ryan Jones"/>
    <s v="ryan.jones314@gmail.com"/>
    <s v="USB-C Fast Charger 20W"/>
    <s v="Electronics"/>
    <s v="ELC-CHG-20"/>
    <n v="1"/>
    <n v="15.49"/>
    <s v="FREESHIP"/>
    <n v="0"/>
    <n v="0"/>
    <n v="15.49"/>
    <s v="PayPal"/>
    <s v="POS"/>
    <s v="fulfilled"/>
    <x v="4"/>
    <m/>
    <s v="West Jimmy"/>
  </r>
  <r>
    <s v="#1111"/>
    <s v="08/04/2026"/>
    <s v="Robert Bryant"/>
    <s v="robert.bryant21@gmail.com"/>
    <s v="Classic Cotton T-Shirt"/>
    <s v="Apparel"/>
    <s v="TSH-BLK-L"/>
    <n v="1"/>
    <n v="14.99"/>
    <s v="SAVE20"/>
    <n v="3"/>
    <n v="5.99"/>
    <s v="$17.98"/>
    <s v="Apple Pay"/>
    <s v="Online Store"/>
    <s v="cancelled"/>
    <x v="3"/>
    <m/>
    <s v="Lake Adrianport"/>
  </r>
  <r>
    <s v="#1112"/>
    <d v="2026-08-04T14:07:07"/>
    <s v="Pamela Miller"/>
    <s v="pamela.miller171@icloud.com"/>
    <s v="Hooded Sweatshirt"/>
    <s v="Apparel"/>
    <s v="APR-HOD-GRY"/>
    <n v="1"/>
    <n v="34.99"/>
    <m/>
    <n v="0"/>
    <n v="5.99"/>
    <n v="40.98"/>
    <s v="PayPal"/>
    <s v="POS"/>
    <s v="fulfilled"/>
    <x v="2"/>
    <s v="Texas"/>
    <s v="Reeseburgh"/>
  </r>
  <r>
    <s v="#1113"/>
    <d v="2026-08-04T14:03:08"/>
    <s v="THOMAS ROJAS"/>
    <s v="thomas.rojas667@icloud.com"/>
    <s v="Hooded Sweatshirt"/>
    <s v="Apparel"/>
    <s v="APR-HOD-GRY"/>
    <n v="2"/>
    <n v="34.99"/>
    <m/>
    <n v="0"/>
    <n v="4.99"/>
    <n v="74.97"/>
    <s v="Shopify Payments"/>
    <s v="Facebook"/>
    <s v="fulfilled"/>
    <x v="2"/>
    <s v="Illinois"/>
    <s v="Joseton"/>
  </r>
  <r>
    <s v="#1114"/>
    <s v="08/04/2026"/>
    <s v="Kayla Cruz"/>
    <s v="kayla.cruz151@outlook.com"/>
    <s v="Stainless Steel Water Bottle"/>
    <s v="Home &amp; Kitchen"/>
    <s v="HK-BTL-750"/>
    <n v="1"/>
    <n v="12.99"/>
    <s v="FREESHIP"/>
    <n v="0"/>
    <n v="0"/>
    <n v="12.99"/>
    <s v="Apple Pay"/>
    <s v="Online Store"/>
    <s v="fulfilled"/>
    <x v="0"/>
    <m/>
    <s v="East Samantha"/>
  </r>
  <r>
    <s v="#1115"/>
    <d v="2026-08-04T13:56:20"/>
    <s v="Tina Crane"/>
    <s v="tina.crane554@gmail.com"/>
    <s v="Portable Power Bank 10000mAh"/>
    <s v="Electronics"/>
    <s v="ELC-PWB-10K"/>
    <n v="2"/>
    <s v="$21.99"/>
    <s v="FREESHIP"/>
    <n v="0"/>
    <n v="0"/>
    <n v="43.98"/>
    <s v="Google Pay"/>
    <s v="Online Store"/>
    <s v="fulfilled"/>
    <x v="5"/>
    <m/>
    <s v="Elizabethhaven"/>
  </r>
  <r>
    <s v="#1116"/>
    <d v="2026-08-04T14:01:53"/>
    <s v="Arthur Kelley"/>
    <s v="arthur.kelley558@gmail.com"/>
    <s v="Kids Building Blocks Set"/>
    <s v="Toys"/>
    <s v="TOY-BLK-SET"/>
    <n v="1"/>
    <n v="27.99"/>
    <s v="SAVE20"/>
    <n v="5.6"/>
    <n v="4.99"/>
    <n v="27.38"/>
    <s v="PayPal"/>
    <s v="Online Store"/>
    <s v="pending"/>
    <x v="4"/>
    <m/>
    <s v="Mooreport"/>
  </r>
  <r>
    <s v="#1117"/>
    <s v="04-08-2026 14:06"/>
    <s v="Stacey Morales"/>
    <s v="stacey.morales538@yahoo.com"/>
    <s v="Adjustable Dumbbell Set"/>
    <s v="Sports &amp; Outdoors"/>
    <s v="SP-DMB-ADJ"/>
    <n v="1"/>
    <s v="$89.99"/>
    <m/>
    <n v="0"/>
    <n v="0"/>
    <n v="89.99"/>
    <s v="PayPal"/>
    <s v="Instagram"/>
    <s v="fulfilled"/>
    <x v="4"/>
    <m/>
    <s v="Morganmouth"/>
  </r>
  <r>
    <s v="#1118"/>
    <d v="2026-08-04T14:00:39"/>
    <s v="David Torres"/>
    <m/>
    <s v="Non-Stick Frying Pan 10in"/>
    <s v="Home &amp; Kitchen"/>
    <s v="HK-PAN-10"/>
    <n v="1"/>
    <n v="24.99"/>
    <m/>
    <n v="0"/>
    <n v="4.99"/>
    <n v="29.98"/>
    <s v="PayPal"/>
    <s v="Online Store"/>
    <s v="fulfilled"/>
    <x v="2"/>
    <s v="Florida"/>
    <s v="Donaldborough"/>
  </r>
  <r>
    <s v="#1119"/>
    <d v="2026-08-04T13:53:46"/>
    <s v="Justin Smith"/>
    <s v="justin.smith204@yahoo.com"/>
    <s v="Phone Case - Clear"/>
    <s v="Electronics"/>
    <s v="ELC-CSE-CLR"/>
    <n v="2"/>
    <n v="8.99"/>
    <s v="BFCM25"/>
    <n v="4.5"/>
    <n v="5.99"/>
    <n v="19.47"/>
    <s v="Apple Pay"/>
    <s v="Facebook"/>
    <s v="fulfilled"/>
    <x v="5"/>
    <m/>
    <s v="Butlerhaven"/>
  </r>
  <r>
    <s v="#1120"/>
    <d v="2026-08-04T14:03:06"/>
    <s v="Jennifer Martin"/>
    <s v="jennifer.martin986@outlook.com"/>
    <s v="Ceramic Coffee Mug Set (4pc)"/>
    <s v="Home &amp; Kitchen"/>
    <s v="HK-MUG-4PK"/>
    <n v="1"/>
    <n v="18.989999999999998"/>
    <m/>
    <n v="0"/>
    <n v="7.99"/>
    <s v="$26.98"/>
    <s v="Credit Card"/>
    <s v="Facebook"/>
    <s v="fulfilled"/>
    <x v="2"/>
    <s v="Ohio"/>
    <s v="Tamarastad"/>
  </r>
  <r>
    <s v="#1121"/>
    <d v="2026-08-04T14:07:32"/>
    <s v="  Barbara Brown"/>
    <s v="barbara.brown26@gmail.com"/>
    <s v="Polarized Sunglasses"/>
    <s v="Accessories"/>
    <s v="ACC-SUN-01"/>
    <n v="1"/>
    <n v="16.989999999999998"/>
    <s v="VIP15"/>
    <n v="2.5499999999999998"/>
    <n v="7.99"/>
    <n v="22.43"/>
    <s v="PayPal"/>
    <s v="Online Store"/>
    <s v="fulfilled"/>
    <x v="2"/>
    <s v="Georgia"/>
    <s v="Doughertyport"/>
  </r>
  <r>
    <s v="#1122"/>
    <d v="2026-08-04T13:57:34"/>
    <s v="Amanda Harris"/>
    <s v="amanda.harris197@gmail.com"/>
    <s v="Wireless Mouse"/>
    <s v="Electronics"/>
    <s v="ELC-MSE-WL"/>
    <n v="1"/>
    <n v="11.99"/>
    <m/>
    <n v="0"/>
    <n v="7.99"/>
    <n v="19.98"/>
    <s v="Credit Card"/>
    <s v="Online Store"/>
    <s v="fulfilled"/>
    <x v="2"/>
    <s v="New York"/>
    <s v="Knightfort"/>
  </r>
  <r>
    <s v="#1123"/>
    <d v="2026-08-04T13:55:33"/>
    <s v="Ashley Allen"/>
    <s v="ashley.allen918@yahoo.com"/>
    <s v="Ceramic Coffee Mug Set (4pc)"/>
    <s v="Home &amp; Kitchen"/>
    <s v="HK-MUG-4PK"/>
    <n v="1"/>
    <n v="18.989999999999998"/>
    <s v="WELCOME10"/>
    <s v="$1.90"/>
    <n v="5.99"/>
    <n v="23.08"/>
    <s v="Credit Card"/>
    <s v="Online Store"/>
    <s v="fulfilled"/>
    <x v="2"/>
    <s v="NC"/>
    <s v="Hernandezstad"/>
  </r>
  <r>
    <s v="#1124"/>
    <d v="2026-08-04T14:01:22"/>
    <s v="  Daniel Parsons"/>
    <s v="daniel.parsons636@gmail.com"/>
    <s v="Kids Building Blocks Set"/>
    <s v="Toys"/>
    <s v="TOY-BLK-SET"/>
    <n v="3"/>
    <n v="27.99"/>
    <s v="SAVE20"/>
    <s v="$16.79"/>
    <n v="0"/>
    <n v="67.180000000000007"/>
    <s v="Shopify Payments"/>
    <s v="Facebook"/>
    <s v="fulfilled"/>
    <x v="2"/>
    <s v="North Carolina"/>
    <s v="Jeffreyberg"/>
  </r>
  <r>
    <s v="#1125"/>
    <s v="08/04/2026"/>
    <s v="James Castro"/>
    <s v="james.castro923@icloud.com"/>
    <s v="Non-Stick Frying Pan 10in"/>
    <s v="Home &amp; Kitchen"/>
    <s v="HK-PAN-10"/>
    <n v="1"/>
    <n v="24.99"/>
    <s v="VIP15"/>
    <n v="3.75"/>
    <n v="4.99"/>
    <n v="26.23"/>
    <s v="Apple Pay"/>
    <s v="POS"/>
    <s v="pending"/>
    <x v="0"/>
    <m/>
    <s v="West Debrabury"/>
  </r>
  <r>
    <s v="#1126"/>
    <d v="2026-08-04T13:58:13"/>
    <s v="James Miller"/>
    <s v="james.miller866@yahoo.com"/>
    <s v="Wireless Mouse"/>
    <s v="Electronics"/>
    <s v="ELC-MSE-WL"/>
    <n v="1"/>
    <n v="11.99"/>
    <s v="VIP15"/>
    <n v="1.8"/>
    <n v="5.99"/>
    <n v="16.18"/>
    <s v="PayPal"/>
    <s v="Facebook"/>
    <s v="refunded"/>
    <x v="0"/>
    <m/>
    <s v="Adrianview"/>
  </r>
  <r>
    <s v="#1127"/>
    <d v="2026-08-04T14:03:53"/>
    <s v="John Carson"/>
    <s v="john.carson203@yahoo.com"/>
    <s v="Wireless Bluetooth Earbuds"/>
    <s v="Electronics"/>
    <s v="ELC-WBE-01"/>
    <n v="1"/>
    <s v="$29.99"/>
    <m/>
    <n v="0"/>
    <n v="4.99"/>
    <n v="34.979999999999997"/>
    <s v="Shopify Payments"/>
    <s v="POS"/>
    <s v="cancelled"/>
    <x v="2"/>
    <s v="Ohio"/>
    <s v="Johnsonborough"/>
  </r>
  <r>
    <s v="#1128"/>
    <d v="2026-08-04T13:54:47"/>
    <s v="Seth Price"/>
    <s v="seth.price179@gmail.com"/>
    <s v="Hooded Sweatshirt"/>
    <s v="Apparel"/>
    <s v="APR-HOD-GRY"/>
    <n v="1"/>
    <n v="34.99"/>
    <s v="BFCM25"/>
    <n v="8.75"/>
    <n v="4.99"/>
    <n v="31.23"/>
    <s v="Google Pay"/>
    <s v="POS"/>
    <s v="fulfilled"/>
    <x v="2"/>
    <s v="Texas"/>
    <s v="West Jasmine"/>
  </r>
  <r>
    <s v="#1129"/>
    <d v="2026-08-04T14:07:05"/>
    <s v="Kari Cooke"/>
    <s v="kari.cooke871@gmail.com"/>
    <s v="Hooded Sweatshirt"/>
    <s v="Apparel"/>
    <s v="APR-HOD-GRY"/>
    <n v="1"/>
    <n v="34.99"/>
    <s v="WELCOME10"/>
    <n v="3.5"/>
    <n v="7.99"/>
    <n v="39.479999999999997"/>
    <s v="Google Pay"/>
    <s v="Online Store"/>
    <s v="fulfilled"/>
    <x v="4"/>
    <m/>
    <s v="Coxtown"/>
  </r>
  <r>
    <s v="#1130"/>
    <d v="2026-08-04T13:59:11"/>
    <s v="Andrew Wheeler"/>
    <s v="andrew.wheeler379@yahoo.com"/>
    <s v="Running Shoes - Women's"/>
    <s v="Footwear"/>
    <s v="FTW-RUN-W"/>
    <n v="1"/>
    <n v="54.99"/>
    <s v="VIP15"/>
    <n v="8.25"/>
    <n v="4.99"/>
    <n v="51.73"/>
    <s v="PayPal"/>
    <s v="Instagram"/>
    <s v="fulfilled"/>
    <x v="2"/>
    <s v="Ohio"/>
    <s v="Perezville"/>
  </r>
  <r>
    <s v="#1131"/>
    <d v="2026-08-04T13:53:57"/>
    <s v="Janet Martinez"/>
    <s v="janet.martinez20@yahoo.com"/>
    <s v="USB-C Fast Charger 20W"/>
    <s v="Electronics"/>
    <s v="ELC-CHG-20"/>
    <n v="1"/>
    <n v="15.49"/>
    <m/>
    <n v="0"/>
    <n v="4.99"/>
    <n v="20.48"/>
    <s v="Shopify Payments"/>
    <s v="Facebook"/>
    <s v="fulfilled"/>
    <x v="2"/>
    <s v="Illinois"/>
    <s v="West Brian"/>
  </r>
  <r>
    <s v="#1132"/>
    <s v="08/04/2026"/>
    <s v="Sheryl Nguyen"/>
    <s v="sheryl.nguyen272@outlook.com"/>
    <s v="Ceramic Coffee Mug Set (4pc)"/>
    <s v="Home &amp; Kitchen"/>
    <s v="HK-MUG-4PK"/>
    <n v="1"/>
    <s v="$18.99"/>
    <s v="WELCOME10"/>
    <n v="1.9"/>
    <n v="5.99"/>
    <s v="$23.08"/>
    <s v="Credit Card"/>
    <s v="Online Store"/>
    <s v="pending"/>
    <x v="2"/>
    <s v="Ohio"/>
    <s v="North Zacharymouth"/>
  </r>
  <r>
    <s v="#1133"/>
    <d v="2026-08-04T14:02:55"/>
    <s v="Christopher Hayes"/>
    <s v="christopher.hayes809@icloud.com"/>
    <s v="USB-C Fast Charger 20W"/>
    <s v="Electronics"/>
    <s v="ELC-CHG-20"/>
    <n v="3"/>
    <n v="15.49"/>
    <m/>
    <s v="$0.00"/>
    <n v="5.99"/>
    <n v="52.46"/>
    <s v="PayPal"/>
    <s v="Online Store"/>
    <s v="fulfilled"/>
    <x v="2"/>
    <s v="Ohio"/>
    <s v="Seanport"/>
  </r>
  <r>
    <s v="#1134"/>
    <d v="2026-08-04T14:02:35"/>
    <s v="Frank Diaz"/>
    <s v="frank.diaz795@gmail.com"/>
    <s v="USB-C Fast Charger 20W"/>
    <s v="Electronics"/>
    <s v="ELC-CHG-20"/>
    <n v="1"/>
    <n v="15.49"/>
    <s v="SAVE20"/>
    <n v="3.1"/>
    <n v="5.99"/>
    <n v="18.38"/>
    <s v="Shopify Payments"/>
    <s v="Online Store"/>
    <s v="fulfilled"/>
    <x v="2"/>
    <s v="Georgia"/>
    <s v="Tannerbury"/>
  </r>
  <r>
    <s v="#1135"/>
    <d v="2026-08-04T14:03:53"/>
    <s v="Christopher Martin"/>
    <s v="christopher.martin10@gmail.com"/>
    <s v="Wireless Bluetooth Earbuds"/>
    <s v="Electronics"/>
    <s v="ELC-WBE-01"/>
    <n v="1"/>
    <n v="29.99"/>
    <m/>
    <n v="0"/>
    <n v="5.99"/>
    <n v="35.979999999999997"/>
    <s v="PayPal"/>
    <s v="POS"/>
    <s v="fulfilled"/>
    <x v="2"/>
    <s v="New York"/>
    <s v="Lake Teresa"/>
  </r>
  <r>
    <s v="#1136"/>
    <d v="2026-08-04T13:58:58"/>
    <s v="Lori Davis"/>
    <s v="lori.davis757@yahoo.com"/>
    <s v="Kids Building Blocks Set"/>
    <s v="Toys"/>
    <s v="TOY-BLK-SET"/>
    <n v="1"/>
    <n v="27.99"/>
    <m/>
    <n v="0"/>
    <n v="7.99"/>
    <n v="35.979999999999997"/>
    <s v="Shopify Payments"/>
    <s v="Online Store"/>
    <s v="cancelled"/>
    <x v="3"/>
    <m/>
    <s v="Harveymouth"/>
  </r>
  <r>
    <s v="#1137"/>
    <d v="2026-08-04T13:58:52"/>
    <s v="sheryl nguyen"/>
    <s v="sheryl.nguyen272@outlook.com"/>
    <s v="Backpack - 25L"/>
    <s v="Accessories"/>
    <s v="ACC-BPK-25L"/>
    <n v="1"/>
    <n v="32.99"/>
    <s v="FREESHIP"/>
    <n v="0"/>
    <n v="0"/>
    <n v="32.99"/>
    <s v="Credit Card"/>
    <s v="Instagram"/>
    <s v="refunded"/>
    <x v="2"/>
    <s v="Arizona"/>
    <s v="Angelaton"/>
  </r>
  <r>
    <s v="#1138"/>
    <s v="08/04/2026"/>
    <s v="Samuel Padilla"/>
    <s v="samuel.padilla79@gmail.com"/>
    <s v="Throw Blanket - Fleece"/>
    <s v="Home &amp; Kitchen"/>
    <s v="HK-BLK-FLC"/>
    <n v="1"/>
    <n v="17.989999999999998"/>
    <m/>
    <n v="0"/>
    <n v="4.99"/>
    <n v="22.98"/>
    <s v="Google Pay"/>
    <s v="Facebook"/>
    <s v="fulfilled"/>
    <x v="2"/>
    <s v="Georgia"/>
    <s v="Port Lisamouth"/>
  </r>
  <r>
    <s v="#1139"/>
    <s v="08/04/2026"/>
    <s v="Rose Campos"/>
    <s v="rose.campos542@gmail.com"/>
    <s v="Resistance Bands Set"/>
    <s v="Sports &amp; Outdoors"/>
    <s v="SP-RBS-SET"/>
    <n v="1"/>
    <n v="13.99"/>
    <s v="BFCM25"/>
    <n v="3.5"/>
    <n v="5.99"/>
    <n v="16.48"/>
    <s v="PayPal"/>
    <s v="Online Store"/>
    <s v="fulfilled"/>
    <x v="1"/>
    <m/>
    <s v="Williamside"/>
  </r>
  <r>
    <s v="#1140"/>
    <d v="2026-08-04T14:01:46"/>
    <s v="DOMINIQUE HUERTA"/>
    <s v="dominique.huerta708@outlook.com"/>
    <s v="Classic Cotton T-Shirt"/>
    <s v="Apparel"/>
    <s v="TSH-BLK-L"/>
    <n v="1"/>
    <n v="14.99"/>
    <m/>
    <n v="0"/>
    <n v="4.99"/>
    <n v="19.98"/>
    <s v="Apple Pay"/>
    <s v="POS"/>
    <s v="refunded"/>
    <x v="5"/>
    <m/>
    <s v="East Katie"/>
  </r>
  <r>
    <s v="#1141"/>
    <d v="2026-08-04T14:07:54"/>
    <s v="James Andrade"/>
    <s v="james.andrade258@icloud.com"/>
    <s v="Ceramic Coffee Mug Set (4pc)"/>
    <s v="Home &amp; Kitchen"/>
    <s v="HK-MUG-4PK"/>
    <n v="1"/>
    <n v="18.989999999999998"/>
    <m/>
    <n v="0"/>
    <n v="7.99"/>
    <n v="26.98"/>
    <s v="Apple Pay"/>
    <s v="Instagram"/>
    <s v="refunded"/>
    <x v="3"/>
    <m/>
    <s v="New Dawn"/>
  </r>
  <r>
    <s v="#1142"/>
    <d v="2026-08-04T14:00:03"/>
    <m/>
    <s v="karen.bautista779@icloud.com"/>
    <s v="Resistance Bands Set"/>
    <s v="Sports &amp; Outdoors"/>
    <s v="SP-RBS-SET"/>
    <n v="2"/>
    <n v="13.99"/>
    <s v="FREESHIP"/>
    <n v="0"/>
    <n v="0"/>
    <n v="27.98"/>
    <s v="Credit Card"/>
    <s v="POS"/>
    <s v="fulfilled"/>
    <x v="2"/>
    <s v="TX"/>
    <s v="Lake Katherine"/>
  </r>
  <r>
    <s v="#1143"/>
    <d v="2026-08-04T14:06:32"/>
    <s v="Donald Davis"/>
    <s v="donald.davis404@icloud.com"/>
    <s v="Leather Wallet - Brown"/>
    <s v="Accessories"/>
    <s v="ACC-WLT-BRN"/>
    <n v="3"/>
    <n v="19.989999999999998"/>
    <s v="SAVE20"/>
    <n v="11.99"/>
    <n v="5.99"/>
    <n v="53.97"/>
    <s v="Shopify Payments"/>
    <s v="Online Store"/>
    <s v="fulfilled"/>
    <x v="1"/>
    <m/>
    <s v="Lake David"/>
  </r>
  <r>
    <s v="#1144"/>
    <d v="2026-08-04T14:07:24"/>
    <s v="Gerald Li"/>
    <s v="gerald.li856@icloud.com"/>
    <s v="Ceramic Coffee Mug Set (4pc)"/>
    <s v="Home &amp; Kitchen"/>
    <s v="HK-MUG-4PK"/>
    <n v="1"/>
    <n v="18.989999999999998"/>
    <m/>
    <n v="0"/>
    <n v="4.99"/>
    <n v="23.98"/>
    <s v="Shopify Payments"/>
    <s v="Online Store"/>
    <s v="pending"/>
    <x v="2"/>
    <s v="TX"/>
    <s v="New Bonnie"/>
  </r>
  <r>
    <s v="#1145"/>
    <s v="2026-08-04"/>
    <s v="Jose Ingram"/>
    <s v="jose.ingram37@gmail.com"/>
    <s v="Resistance Bands Set"/>
    <s v="Sports &amp; Outdoors"/>
    <s v="SP-RBS-SET"/>
    <n v="1"/>
    <n v="13.99"/>
    <s v="SAVE20"/>
    <n v="2.8"/>
    <n v="7.99"/>
    <n v="19.18"/>
    <s v="Apple Pay"/>
    <s v="Instagram"/>
    <s v="fulfilled"/>
    <x v="2"/>
    <s v="California"/>
    <s v="Sandersstad"/>
  </r>
  <r>
    <s v="#1146"/>
    <d v="2026-08-04T13:56:01"/>
    <s v="Jaime Vargas"/>
    <s v="jaime.vargas795@outlook.com"/>
    <s v="Adjustable Dumbbell Set"/>
    <s v="Sports &amp; Outdoors"/>
    <s v="SP-DMB-ADJ"/>
    <n v="1"/>
    <n v="89.99"/>
    <s v="WELCOME10"/>
    <n v="9"/>
    <n v="0"/>
    <n v="80.989999999999995"/>
    <s v="Credit Card"/>
    <s v="POS"/>
    <s v="fulfilled"/>
    <x v="5"/>
    <m/>
    <s v="Lake Rickyland"/>
  </r>
  <r>
    <s v="#1147"/>
    <d v="2026-08-04T14:00:13"/>
    <s v="Donald Davis"/>
    <s v="donald.davis404@icloud.com"/>
    <s v="Running Shoes - Men's"/>
    <s v="Footwear"/>
    <s v="FTW-RUN-M"/>
    <n v="1"/>
    <n v="54.99"/>
    <m/>
    <n v="0"/>
    <n v="7.99"/>
    <n v="62.98"/>
    <s v="PayPal"/>
    <s v="POS"/>
    <s v="fulfilled"/>
    <x v="1"/>
    <m/>
    <s v="South Joelstad"/>
  </r>
  <r>
    <s v="#1148"/>
    <d v="2026-08-04T14:01:58"/>
    <s v="Johnathan Everett"/>
    <s v="johnathan.everett6@outlook.com"/>
    <s v="Running Shoes - Women's"/>
    <s v="Footwear"/>
    <s v="FTW-RUN-W"/>
    <n v="1"/>
    <n v="54.99"/>
    <s v="WELCOME10"/>
    <n v="5.5"/>
    <n v="5.99"/>
    <n v="55.48"/>
    <s v="Shopify Payments"/>
    <s v="Facebook"/>
    <s v="fulfilled"/>
    <x v="2"/>
    <s v="WA"/>
    <s v="Davischester"/>
  </r>
  <r>
    <s v="#1149"/>
    <d v="2026-08-04T13:53:50"/>
    <s v="Brittney Conway"/>
    <s v="brittney.conway383@outlook.com"/>
    <s v="Classic Cotton T-Shirt"/>
    <s v="Apparel"/>
    <s v="TSH-BLK-L"/>
    <n v="1"/>
    <n v="14.99"/>
    <s v="BFCM25"/>
    <n v="3.75"/>
    <n v="5.99"/>
    <n v="17.23"/>
    <s v="Apple Pay"/>
    <s v="POS"/>
    <s v="fulfilled"/>
    <x v="2"/>
    <s v="Illinois"/>
    <s v="Scottmouth"/>
  </r>
  <r>
    <s v="#1150"/>
    <d v="2026-08-04T14:01:59"/>
    <s v="Jaime Vargas"/>
    <s v="jaime.vargas795@outlook.com"/>
    <s v="Running Shoes - Women's"/>
    <s v="Footwear"/>
    <s v="FTW-RUN-W"/>
    <n v="1"/>
    <n v="54.99"/>
    <s v="BFCM25"/>
    <n v="13.75"/>
    <n v="7.99"/>
    <n v="49.23"/>
    <s v="Credit Card"/>
    <s v="Online Store"/>
    <s v="refunded"/>
    <x v="5"/>
    <m/>
    <s v="Perryberg"/>
  </r>
  <r>
    <s v="#1151"/>
    <d v="2026-08-04T13:59:32"/>
    <s v="Amanda Robinson"/>
    <s v="amanda.robinson263@icloud.com"/>
    <s v="Leather Wallet - Brown"/>
    <s v="Accessories"/>
    <s v="ACC-WLT-BRN"/>
    <n v="1"/>
    <n v="19.989999999999998"/>
    <s v="FREESHIP"/>
    <n v="0"/>
    <n v="0"/>
    <n v="19.989999999999998"/>
    <s v="PayPal"/>
    <s v="Online Store"/>
    <s v="cancelled"/>
    <x v="2"/>
    <s v="Washington"/>
    <s v="Manuelview"/>
  </r>
  <r>
    <s v="#1152"/>
    <d v="2026-08-04T14:06:08"/>
    <s v="Trevor Carter"/>
    <s v="trevor.carter617@icloud.com"/>
    <s v="Throw Blanket - Fleece"/>
    <s v="Home &amp; Kitchen"/>
    <s v="HK-BLK-FLC"/>
    <n v="1"/>
    <s v="$17.99"/>
    <s v="WELCOME10"/>
    <n v="1.8"/>
    <n v="4.99"/>
    <n v="21.18"/>
    <s v="Credit Card"/>
    <s v="Facebook"/>
    <s v="refunded"/>
    <x v="2"/>
    <s v="North Carolina"/>
    <s v="South Richardville"/>
  </r>
  <r>
    <s v="#1153"/>
    <d v="2026-08-04T14:03:38"/>
    <s v="Kayla Cruz"/>
    <s v="kayla.cruz151@outlook.com"/>
    <s v="Slim Fit Denim Jeans"/>
    <s v="Apparel"/>
    <s v="JNS-BLU-32"/>
    <n v="1"/>
    <n v="39.99"/>
    <s v="VIP15"/>
    <n v="6"/>
    <n v="7.99"/>
    <n v="41.98"/>
    <s v="Shopify Payments"/>
    <s v="Online Store"/>
    <s v="cancelled"/>
    <x v="0"/>
    <m/>
    <s v="Juanshire"/>
  </r>
  <r>
    <s v="#1154"/>
    <d v="2026-08-04T13:55:21"/>
    <s v="Megan Dickson"/>
    <s v="megan.dickson508@gmail.com"/>
    <s v="Throw Blanket - Fleece"/>
    <s v="Home &amp; Kitchen"/>
    <s v="HK-BLK-FLC"/>
    <n v="1"/>
    <n v="17.989999999999998"/>
    <s v="SAVE20"/>
    <s v="$3.60"/>
    <n v="5.99"/>
    <n v="20.38"/>
    <s v="Google Pay"/>
    <s v="Instagram"/>
    <s v="pending"/>
    <x v="5"/>
    <m/>
    <s v="West Joseph"/>
  </r>
  <r>
    <s v="#1155"/>
    <d v="2026-08-04T14:00:47"/>
    <s v="Monique Bowman"/>
    <s v="monique.bowman430@gmail.com"/>
    <s v="Classic Cotton T-Shirt"/>
    <s v="Apparel"/>
    <s v="TSH-BLK-L"/>
    <n v="2"/>
    <n v="14.99"/>
    <m/>
    <n v="0"/>
    <n v="4.99"/>
    <n v="34.97"/>
    <s v="PayPal"/>
    <s v="Facebook"/>
    <s v="fulfilled"/>
    <x v="2"/>
    <s v="North Carolina"/>
    <s v="West Anna"/>
  </r>
  <r>
    <s v="#1156"/>
    <s v="04-08-2026 14:00"/>
    <s v="  Barbara Case"/>
    <s v="barbara.case365@yahoo.com"/>
    <s v="Wireless Mouse"/>
    <s v="Electronics"/>
    <s v="ELC-MSE-WL"/>
    <n v="1"/>
    <n v="11.99"/>
    <m/>
    <n v="0"/>
    <n v="5.99"/>
    <n v="17.98"/>
    <s v="Google Pay"/>
    <s v="POS"/>
    <s v="fulfilled"/>
    <x v="2"/>
    <s v="Arizona"/>
    <s v="Port Matthewfurt"/>
  </r>
  <r>
    <s v="#1157"/>
    <d v="2026-08-04T14:07:34"/>
    <s v="Christopher Martin"/>
    <s v="christopher.martin10@gmail.com"/>
    <s v="Wireless Mouse"/>
    <s v="Electronics"/>
    <s v="ELC-MSE-WL"/>
    <n v="1"/>
    <s v="$11.99"/>
    <m/>
    <n v="0"/>
    <n v="5.99"/>
    <n v="17.98"/>
    <s v="Apple Pay"/>
    <s v="Online Store"/>
    <s v="cancelled"/>
    <x v="2"/>
    <s v="New York"/>
    <s v="West Danny"/>
  </r>
  <r>
    <s v="#1158"/>
    <d v="2026-08-04T14:00:28"/>
    <s v="Samuel Padilla"/>
    <m/>
    <s v="Running Shoes - Men's"/>
    <s v="Footwear"/>
    <s v="FTW-RUN-M"/>
    <n v="1"/>
    <n v="54.99"/>
    <m/>
    <n v="0"/>
    <n v="7.99"/>
    <n v="62.98"/>
    <s v="Credit Card"/>
    <s v="Online Store"/>
    <s v="fulfilled"/>
    <x v="2"/>
    <s v="Illinois"/>
    <s v="South Rebecca"/>
  </r>
  <r>
    <s v="#1159"/>
    <d v="2026-08-04T13:55:10"/>
    <s v="Christopher Martin"/>
    <s v="christopher.martin10@gmail.com"/>
    <s v="Adjustable Dumbbell Set"/>
    <s v="Sports &amp; Outdoors"/>
    <s v="SP-DMB-ADJ"/>
    <n v="1"/>
    <n v="89.99"/>
    <m/>
    <n v="0"/>
    <n v="0"/>
    <n v="89.99"/>
    <s v="PayPal"/>
    <s v="POS"/>
    <s v="fulfilled"/>
    <x v="2"/>
    <s v="Ohio"/>
    <s v="Sarahfort"/>
  </r>
  <r>
    <s v="#1160"/>
    <d v="2026-08-04T13:59:47"/>
    <s v="Sean Frank"/>
    <s v="sean.frank587@icloud.com"/>
    <s v="Hooded Sweatshirt"/>
    <s v="Apparel"/>
    <s v="APR-HOD-GRY"/>
    <n v="2"/>
    <n v="34.99"/>
    <m/>
    <n v="0"/>
    <n v="5.99"/>
    <n v="75.97"/>
    <s v="Google Pay"/>
    <s v="Online Store"/>
    <s v="fulfilled"/>
    <x v="4"/>
    <m/>
    <s v="Willisview"/>
  </r>
  <r>
    <s v="#1161"/>
    <d v="2026-08-04T14:00:30"/>
    <s v="Omar Sanders"/>
    <s v="omar.sanders208@outlook.com"/>
    <s v="Running Shoes - Men's"/>
    <s v="Footwear"/>
    <s v="FTW-RUN-M"/>
    <n v="1"/>
    <n v="54.99"/>
    <s v="WELCOME10"/>
    <n v="5.5"/>
    <n v="5.99"/>
    <n v="55.48"/>
    <s v="Apple Pay"/>
    <s v="Instagram"/>
    <s v="fulfilled"/>
    <x v="5"/>
    <m/>
    <s v="Port Sonya"/>
  </r>
  <r>
    <s v="#1162"/>
    <s v="08/04/2026"/>
    <s v="Cynthia Williams"/>
    <s v="cynthia.williams720@yahoo.com"/>
    <s v="USB-C Fast Charger 20W"/>
    <s v="Electronics"/>
    <s v="ELC-CHG-20"/>
    <n v="1"/>
    <n v="15.49"/>
    <m/>
    <n v="0"/>
    <n v="7.99"/>
    <n v="23.48"/>
    <s v="Google Pay"/>
    <s v="Online Store"/>
    <s v="cancelled"/>
    <x v="4"/>
    <m/>
    <s v="Jordanmouth"/>
  </r>
  <r>
    <s v="#1163"/>
    <d v="2026-08-04T13:56:40"/>
    <s v="nancy nichols"/>
    <s v="nancy.nichols189@yahoo.com"/>
    <s v="Phone Case - Clear"/>
    <s v="Electronics"/>
    <s v="ELC-CSE-CLR"/>
    <n v="1"/>
    <n v="8.99"/>
    <m/>
    <n v="0"/>
    <n v="7.99"/>
    <n v="16.98"/>
    <s v="Shopify Payments"/>
    <s v="Facebook"/>
    <s v="fulfilled"/>
    <x v="2"/>
    <s v="Georgia"/>
    <s v="Shafferchester"/>
  </r>
  <r>
    <s v="#1164"/>
    <d v="2026-08-04T14:05:00"/>
    <s v="Timothy Hodges"/>
    <s v="timothy.hodges687@icloud.com"/>
    <s v="Kids Building Blocks Set"/>
    <s v="Toys"/>
    <s v="TOY-BLK-SET"/>
    <n v="1"/>
    <n v="27.99"/>
    <s v="WELCOME10"/>
    <n v="2.8"/>
    <n v="5.99"/>
    <n v="31.18"/>
    <s v="PayPal"/>
    <s v="Instagram"/>
    <s v="cancelled"/>
    <x v="4"/>
    <m/>
    <s v="New Steveberg"/>
  </r>
  <r>
    <s v="#1165"/>
    <d v="2026-08-04T14:02:59"/>
    <s v="Stacey Johnson"/>
    <s v="stacey.johnson95@gmail.com"/>
    <s v="Polarized Sunglasses"/>
    <s v="Accessories"/>
    <s v="ACC-SUN-01"/>
    <n v="2"/>
    <n v="16.989999999999998"/>
    <m/>
    <n v="0"/>
    <n v="7.99"/>
    <n v="41.97"/>
    <s v="Google Pay"/>
    <s v="Instagram"/>
    <s v="fulfilled"/>
    <x v="3"/>
    <m/>
    <s v="Traceyberg"/>
  </r>
  <r>
    <s v="#1166"/>
    <s v="08/04/2026"/>
    <s v="Mary Garcia"/>
    <m/>
    <s v="Portable Power Bank 10000mAh"/>
    <s v="Electronics"/>
    <s v="ELC-PWB-10K"/>
    <n v="1"/>
    <s v="$21.99"/>
    <s v="SAVE20"/>
    <n v="4.4000000000000004"/>
    <n v="7.99"/>
    <n v="25.58"/>
    <s v="Shopify Payments"/>
    <s v="Online Store"/>
    <s v="refunded"/>
    <x v="1"/>
    <m/>
    <s v="Hawkinsborough"/>
  </r>
  <r>
    <s v="#1167"/>
    <d v="2026-08-04T14:01:50"/>
    <s v="Anthony Hunt"/>
    <s v="anthony.hunt521@outlook.com"/>
    <s v="Running Shoes - Men's"/>
    <s v="Footwear"/>
    <s v="FTW-RUN-M"/>
    <n v="1"/>
    <s v="$54.99"/>
    <s v="BFCM25"/>
    <n v="13.75"/>
    <n v="4.99"/>
    <n v="46.23"/>
    <s v="Credit Card"/>
    <s v="Online Store"/>
    <s v="fulfilled"/>
    <x v="2"/>
    <s v="Arizona"/>
    <s v="Evansburgh"/>
  </r>
  <r>
    <s v="#1168"/>
    <d v="2026-08-04T13:53:50"/>
    <s v="Lisa Williams"/>
    <s v="lisa.williams715@yahoo.com"/>
    <s v="Running Shoes - Men's"/>
    <s v="Footwear"/>
    <s v="FTW-RUN-M"/>
    <n v="1"/>
    <n v="54.99"/>
    <s v="VIP15"/>
    <n v="8.25"/>
    <n v="7.99"/>
    <n v="54.73"/>
    <s v="Shopify Payments"/>
    <s v="Facebook"/>
    <s v="fulfilled"/>
    <x v="2"/>
    <s v="North Carolina"/>
    <s v="Jacksonborough"/>
  </r>
  <r>
    <s v="#1169"/>
    <d v="2026-08-04T14:07:06"/>
    <s v="Jesus Mason"/>
    <s v="jesus.mason798@icloud.com"/>
    <s v="Yoga Mat - Extra Thick"/>
    <s v="Sports &amp; Outdoors"/>
    <s v="SP-YGM-EX"/>
    <n v="1"/>
    <n v="22.99"/>
    <s v="BFCM25"/>
    <n v="5.75"/>
    <n v="5.99"/>
    <n v="23.23"/>
    <s v="Google Pay"/>
    <s v="Facebook"/>
    <s v="fulfilled"/>
    <x v="2"/>
    <s v="NY"/>
    <s v="Williamschester"/>
  </r>
  <r>
    <s v="#1170"/>
    <s v="08/04/2026"/>
    <s v="Philip Stevens"/>
    <s v="philip.stevens908@outlook.com"/>
    <s v="Portable Power Bank 10000mAh"/>
    <s v="Electronics"/>
    <s v="ELC-PWB-10K"/>
    <n v="3"/>
    <n v="21.99"/>
    <m/>
    <n v="0"/>
    <n v="7.99"/>
    <n v="73.959999999999994"/>
    <s v="Shopify Payments"/>
    <s v="POS"/>
    <s v="fulfilled"/>
    <x v="2"/>
    <s v="Georgia"/>
    <s v="Jessicaville"/>
  </r>
  <r>
    <s v="#1171"/>
    <d v="2026-08-04T14:07:11"/>
    <s v="Lori Davis"/>
    <s v="lori.davis757@yahoo.com"/>
    <s v="Resistance Bands Set"/>
    <s v="Sports &amp; Outdoors"/>
    <s v="SP-RBS-SET"/>
    <n v="1"/>
    <n v="13.99"/>
    <m/>
    <n v="0"/>
    <n v="5.99"/>
    <n v="19.98"/>
    <s v="Google Pay"/>
    <s v="Facebook"/>
    <s v="fulfilled"/>
    <x v="3"/>
    <m/>
    <s v="Amyburgh"/>
  </r>
  <r>
    <s v="#1173"/>
    <d v="2026-08-04T14:07:30"/>
    <s v="Samuel Lee"/>
    <s v="samuel.lee63@icloud.com"/>
    <s v="Running Shoes - Women's"/>
    <s v="Footwear"/>
    <s v="FTW-RUN-W"/>
    <n v="1"/>
    <n v="54.99"/>
    <m/>
    <n v="0"/>
    <n v="4.99"/>
    <n v="59.98"/>
    <s v="Credit Card"/>
    <s v="Online Store"/>
    <s v="fulfilled"/>
    <x v="4"/>
    <m/>
    <s v="South Ericburgh"/>
  </r>
  <r>
    <s v="#1174"/>
    <d v="2026-08-04T13:57:27"/>
    <s v="Mary Phillips"/>
    <s v="mary.phillips944@yahoo.com"/>
    <s v="Facial Cleanser 200ml"/>
    <s v="Beauty"/>
    <s v="BTY-CLN-200"/>
    <n v="1"/>
    <n v="13.49"/>
    <m/>
    <n v="0"/>
    <n v="5.99"/>
    <n v="19.48"/>
    <s v="Credit Card"/>
    <s v="Online Store"/>
    <s v="cancelled"/>
    <x v="2"/>
    <s v="Illinois"/>
    <s v="South John"/>
  </r>
  <r>
    <s v="#1175"/>
    <d v="2026-08-04T13:54:13"/>
    <s v="Tyler Williams"/>
    <s v="tyler.williams938@outlook.com"/>
    <s v="Ceramic Coffee Mug Set (4pc)"/>
    <s v="Home &amp; Kitchen"/>
    <s v="HK-MUG-4PK"/>
    <n v="2"/>
    <n v="18.989999999999998"/>
    <s v="FREESHIP"/>
    <n v="0"/>
    <n v="0"/>
    <n v="37.979999999999997"/>
    <s v="PayPal"/>
    <s v="Online Store"/>
    <s v="fulfilled"/>
    <x v="4"/>
    <m/>
    <s v="Lawrencestad"/>
  </r>
  <r>
    <s v="#1176"/>
    <d v="2026-08-04T14:02:46"/>
    <s v="Julia Atkinson"/>
    <s v="julia.atkinson939@gmail.com"/>
    <s v="Vitamin C Serum 30ml"/>
    <s v="Beauty"/>
    <s v="BTY-SRM-30"/>
    <n v="2"/>
    <n v="24.99"/>
    <m/>
    <n v="0"/>
    <n v="5.99"/>
    <n v="55.97"/>
    <s v="PayPal"/>
    <s v="Online Store"/>
    <s v="fulfilled"/>
    <x v="1"/>
    <m/>
    <s v="Kristiburgh"/>
  </r>
  <r>
    <s v="#1177"/>
    <d v="2026-08-04T14:00:31"/>
    <s v="Nicole Taylor"/>
    <s v="nicole.taylor607@icloud.com"/>
    <s v="Running Shoes - Women's"/>
    <s v="Footwear"/>
    <s v="FTW-RUN-W"/>
    <n v="1"/>
    <n v="54.99"/>
    <s v="BFCM25"/>
    <n v="13.75"/>
    <n v="5.99"/>
    <n v="47.23"/>
    <s v="PayPal"/>
    <s v="Facebook"/>
    <s v="fulfilled"/>
    <x v="2"/>
    <s v="Texas"/>
    <s v="Mcphersonmouth"/>
  </r>
  <r>
    <s v="#1178"/>
    <d v="2026-08-04T13:57:58"/>
    <s v="Lisa Zuniga"/>
    <s v="lisa.zuniga825@outlook.com"/>
    <s v="Throw Blanket - Fleece"/>
    <s v="Home &amp; Kitchen"/>
    <s v="HK-BLK-FLC"/>
    <n v="2"/>
    <n v="17.989999999999998"/>
    <s v="FREESHIP"/>
    <n v="0"/>
    <n v="0"/>
    <s v="$35.98"/>
    <s v="Apple Pay"/>
    <s v="Instagram"/>
    <s v="fulfilled"/>
    <x v="3"/>
    <m/>
    <s v="Griffithville"/>
  </r>
  <r>
    <s v="#1179"/>
    <d v="2026-08-04T14:01:28"/>
    <s v="Cody Murray"/>
    <s v="cody.murray456@gmail.com"/>
    <s v="Portable Power Bank 10000mAh"/>
    <s v="Electronics"/>
    <s v="ELC-PWB-10K"/>
    <n v="1"/>
    <n v="21.99"/>
    <m/>
    <n v="0"/>
    <n v="4.99"/>
    <n v="26.98"/>
    <s v="Apple Pay"/>
    <s v="Instagram"/>
    <s v="fulfilled"/>
    <x v="5"/>
    <m/>
    <s v="Bellfurt"/>
  </r>
  <r>
    <s v="#1180"/>
    <s v="08/04/2026"/>
    <s v="Lindsay Shaw"/>
    <s v="lindsay.shaw178@icloud.com"/>
    <s v="Stainless Steel Water Bottle"/>
    <s v="Home &amp; Kitchen"/>
    <s v="HK-BTL-750"/>
    <n v="2"/>
    <n v="12.99"/>
    <s v="VIP15"/>
    <n v="3.9"/>
    <n v="7.99"/>
    <n v="30.07"/>
    <s v="Google Pay"/>
    <s v="POS"/>
    <s v="fulfilled"/>
    <x v="5"/>
    <m/>
    <s v="Riverafort"/>
  </r>
  <r>
    <s v="#1181"/>
    <s v="08/04/2026"/>
    <s v="Brian Ruiz"/>
    <s v="brian.ruiz246@gmail.com"/>
    <s v="Classic Cotton T-Shirt"/>
    <s v="Apparel"/>
    <s v="TSH-BLK-L"/>
    <n v="1"/>
    <n v="14.99"/>
    <m/>
    <n v="0"/>
    <n v="5.99"/>
    <n v="20.98"/>
    <s v="Credit Card"/>
    <s v="Facebook"/>
    <s v="fulfilled"/>
    <x v="3"/>
    <m/>
    <s v="Hernandezberg"/>
  </r>
  <r>
    <s v="#1182"/>
    <d v="2026-08-04T13:58:34"/>
    <s v="Joshua Chavez"/>
    <s v="joshua.chavez332@outlook.com"/>
    <s v="Yoga Mat - Extra Thick"/>
    <s v="Sports &amp; Outdoors"/>
    <s v="SP-YGM-EX"/>
    <n v="1"/>
    <n v="22.99"/>
    <s v="BFCM25"/>
    <n v="5.75"/>
    <n v="7.99"/>
    <n v="25.23"/>
    <s v="Credit Card"/>
    <s v="Online Store"/>
    <s v="cancelled"/>
    <x v="2"/>
    <s v="Georgia"/>
    <s v="Lake Rebeccaberg"/>
  </r>
  <r>
    <s v="#1183"/>
    <s v="Aug 04, 2026"/>
    <s v="Benjamin Collins"/>
    <s v="benjamin.collins953@icloud.com"/>
    <s v="Adjustable Dumbbell Set"/>
    <s v="Sports &amp; Outdoors"/>
    <s v="SP-DMB-ADJ"/>
    <n v="1"/>
    <n v="89.99"/>
    <s v="SAVE20"/>
    <n v="18"/>
    <n v="0"/>
    <n v="71.989999999999995"/>
    <s v="Google Pay"/>
    <s v="Instagram"/>
    <s v="fulfilled"/>
    <x v="0"/>
    <m/>
    <s v="Lake Patriciaview"/>
  </r>
  <r>
    <s v="#1184"/>
    <d v="2026-08-04T14:03:39"/>
    <s v="Amanda Robinson"/>
    <s v="amanda.robinson263@icloud.com"/>
    <s v="Hooded Sweatshirt"/>
    <s v="Apparel"/>
    <s v="APR-HOD-GRY"/>
    <n v="1"/>
    <n v="34.99"/>
    <s v="VIP15"/>
    <s v="$5.25"/>
    <n v="7.99"/>
    <s v="$37.73"/>
    <s v="PayPal"/>
    <s v="Online Store"/>
    <s v="fulfilled"/>
    <x v="2"/>
    <s v="TX"/>
    <s v="Cummingsbury"/>
  </r>
  <r>
    <s v="#1185"/>
    <s v="08/04/2026"/>
    <s v="Philip Stevens"/>
    <s v="philip.stevens908@outlook.com"/>
    <s v="Throw Blanket - Fleece"/>
    <s v="Home &amp; Kitchen"/>
    <s v="HK-BLK-FLC"/>
    <n v="1"/>
    <n v="17.989999999999998"/>
    <m/>
    <n v="0"/>
    <n v="7.99"/>
    <n v="25.98"/>
    <s v="Google Pay"/>
    <s v="Online Store"/>
    <s v="fulfilled"/>
    <x v="2"/>
    <s v="Georgia"/>
    <s v="North Garyfurt"/>
  </r>
  <r>
    <s v="#1186"/>
    <d v="2026-08-04T14:06:44"/>
    <s v="Patrick Richardson"/>
    <s v="patrick.richardson270@icloud.com"/>
    <s v="Portable Power Bank 10000mAh"/>
    <s v="Electronics"/>
    <s v="ELC-PWB-10K"/>
    <n v="1"/>
    <n v="21.99"/>
    <m/>
    <n v="0"/>
    <n v="4.99"/>
    <n v="26.98"/>
    <s v="Shopify Payments"/>
    <s v="Online Store"/>
    <s v="refunded"/>
    <x v="2"/>
    <s v="Illinois"/>
    <s v="Timothyhaven"/>
  </r>
  <r>
    <s v="#1187"/>
    <d v="2026-08-04T14:01:55"/>
    <s v="Ronald Stanley"/>
    <s v="ronald.stanley7@yahoo.com"/>
    <s v="Hooded Sweatshirt"/>
    <s v="Apparel"/>
    <s v="APR-HOD-GRY"/>
    <n v="2"/>
    <n v="34.99"/>
    <s v="VIP15"/>
    <n v="10.5"/>
    <n v="5.99"/>
    <n v="65.47"/>
    <s v="Shopify Payments"/>
    <s v="POS"/>
    <s v="fulfilled"/>
    <x v="2"/>
    <s v="Georgia"/>
    <s v="North Briannahaven"/>
  </r>
  <r>
    <s v="#1188"/>
    <d v="2026-08-04T13:53:45"/>
    <s v="Kristen Lewis"/>
    <s v="kristen.lewis649@icloud.com"/>
    <s v="Classic Cotton T-Shirt"/>
    <s v="Apparel"/>
    <s v="TSH-BLK-M"/>
    <n v="2"/>
    <n v="14.99"/>
    <s v="SAVE20"/>
    <n v="6"/>
    <n v="4.99"/>
    <n v="28.97"/>
    <s v="PayPal"/>
    <s v="Online Store"/>
    <s v="fulfilled"/>
    <x v="2"/>
    <s v="Texas"/>
    <s v="North Christina"/>
  </r>
  <r>
    <s v="#1189"/>
    <d v="2026-08-04T14:01:03"/>
    <s v="Dustin Mccoy"/>
    <s v="dustin.mccoy570@gmail.com"/>
    <s v="Stainless Steel Water Bottle"/>
    <s v="Home &amp; Kitchen"/>
    <s v="HK-BTL-750"/>
    <n v="3"/>
    <n v="12.99"/>
    <s v="SAVE20"/>
    <n v="7.79"/>
    <n v="4.99"/>
    <n v="36.17"/>
    <s v="Credit Card"/>
    <s v="Online Store"/>
    <s v="fulfilled"/>
    <x v="1"/>
    <m/>
    <s v="South Ryan"/>
  </r>
  <r>
    <s v="#1190"/>
    <s v="08/04/2026"/>
    <s v="John Hoffman"/>
    <s v="john.hoffman175@gmail.com"/>
    <s v="Portable Power Bank 10000mAh"/>
    <s v="Electronics"/>
    <s v="ELC-PWB-10K"/>
    <n v="1"/>
    <n v="21.99"/>
    <s v="WELCOME10"/>
    <n v="2.2000000000000002"/>
    <n v="7.99"/>
    <n v="27.78"/>
    <s v="Credit Card"/>
    <s v="Instagram"/>
    <s v="fulfilled"/>
    <x v="2"/>
    <s v="California"/>
    <s v="West Jenniferfurt"/>
  </r>
  <r>
    <s v="#1191"/>
    <d v="2026-08-04T13:54:25"/>
    <s v="Brittney Thomas"/>
    <s v="brittney.thomas484@gmail.com"/>
    <s v="Scented Soy Candle - Vanilla"/>
    <s v="Home &amp; Kitchen"/>
    <s v="HK-CND-VAN"/>
    <n v="1"/>
    <n v="9.99"/>
    <m/>
    <n v="0"/>
    <n v="5.99"/>
    <n v="15.98"/>
    <s v="Credit Card"/>
    <s v="Facebook"/>
    <s v="fulfilled"/>
    <x v="2"/>
    <s v="Texas"/>
    <s v="North Lance"/>
  </r>
  <r>
    <s v="#1192"/>
    <d v="2026-08-04T14:01:10"/>
    <s v="Jennifer Burke"/>
    <s v="jennifer.burke472@icloud.com"/>
    <s v="Scented Soy Candle - Vanilla"/>
    <s v="Home &amp; Kitchen"/>
    <s v="HK-CND-VAN"/>
    <n v="1"/>
    <n v="9.99"/>
    <s v="WELCOME10"/>
    <n v="1"/>
    <n v="4.99"/>
    <n v="13.98"/>
    <s v="Google Pay"/>
    <s v="Facebook"/>
    <s v="fulfilled"/>
    <x v="0"/>
    <m/>
    <s v="Lake Susan"/>
  </r>
  <r>
    <s v="#1193"/>
    <d v="2026-08-04T13:59:21"/>
    <s v="Joe Taylor"/>
    <s v="joe.taylor714@yahoo.com"/>
    <s v="Facial Cleanser 200ml"/>
    <s v="Beauty"/>
    <s v="BTY-CLN-200"/>
    <n v="1"/>
    <n v="13.49"/>
    <m/>
    <n v="0"/>
    <n v="7.99"/>
    <n v="21.48"/>
    <s v="PayPal"/>
    <s v="Online Store"/>
    <s v="refunded"/>
    <x v="3"/>
    <m/>
    <s v="Anthonyhaven"/>
  </r>
  <r>
    <s v="#1194"/>
    <s v="08/04/2026"/>
    <s v="James Castro"/>
    <s v="james.castro923@icloud.com"/>
    <s v="Wireless Bluetooth Earbuds"/>
    <s v="Electronics"/>
    <s v="ELC-WBE-01"/>
    <n v="2"/>
    <n v="29.99"/>
    <s v="BFCM25"/>
    <n v="14.99"/>
    <n v="5.99"/>
    <n v="50.98"/>
    <s v="Google Pay"/>
    <s v="Facebook"/>
    <s v="fulfilled"/>
    <x v="0"/>
    <m/>
    <s v="West Deanna"/>
  </r>
  <r>
    <s v="#1195"/>
    <d v="2026-08-04T13:56:06"/>
    <s v="Justin Chavez"/>
    <s v="justin.chavez556@gmail.com"/>
    <s v="Stainless Steel Water Bottle"/>
    <s v="Home &amp; Kitchen"/>
    <s v="HK-BTL-750"/>
    <n v="1"/>
    <n v="12.99"/>
    <m/>
    <n v="0"/>
    <n v="5.99"/>
    <n v="18.98"/>
    <s v="Google Pay"/>
    <s v="Online Store"/>
    <s v="fulfilled"/>
    <x v="2"/>
    <s v="New York"/>
    <s v="South Andrea"/>
  </r>
  <r>
    <s v="#1196"/>
    <d v="2026-08-04T13:59:55"/>
    <s v="Carrie Boyd"/>
    <s v="carrie.boyd968@gmail.com"/>
    <s v="Non-Stick Frying Pan 10in"/>
    <s v="Home &amp; Kitchen"/>
    <s v="HK-PAN-10"/>
    <n v="1"/>
    <n v="24.99"/>
    <m/>
    <s v="$0.00"/>
    <n v="7.99"/>
    <n v="32.979999999999997"/>
    <s v="Shopify Payments"/>
    <s v="Online Store"/>
    <s v="fulfilled"/>
    <x v="2"/>
    <s v="California"/>
    <s v="Nathanberg"/>
  </r>
  <r>
    <s v="#1197"/>
    <d v="2026-08-04T14:00:50"/>
    <s v="Carly Johnson"/>
    <s v="carly.johnson664@gmail.com"/>
    <s v="Adjustable Dumbbell Set"/>
    <s v="Sports &amp; Outdoors"/>
    <s v="SP-DMB-ADJ"/>
    <n v="1"/>
    <n v="89.99"/>
    <s v="SAVE20"/>
    <n v="18"/>
    <n v="0"/>
    <n v="71.989999999999995"/>
    <s v="Google Pay"/>
    <s v="Online Store"/>
    <s v="pending"/>
    <x v="3"/>
    <m/>
    <s v="Thomasfurt"/>
  </r>
  <r>
    <s v="#1198"/>
    <d v="2026-08-04T14:02:39"/>
    <s v="Michael Hays"/>
    <s v="michael.hays590@gmail.com"/>
    <s v="Hooded Sweatshirt"/>
    <s v="Apparel"/>
    <s v="APR-HOD-GRY"/>
    <n v="2"/>
    <n v="34.99"/>
    <s v="FREESHIP"/>
    <n v="0"/>
    <n v="0"/>
    <s v="$69.98"/>
    <s v="Apple Pay"/>
    <s v="Online Store"/>
    <s v="fulfilled"/>
    <x v="2"/>
    <s v="Arizona"/>
    <s v="East Juliafort"/>
  </r>
  <r>
    <s v="#1199"/>
    <d v="2026-08-04T13:54:45"/>
    <s v="Andrew Johnson"/>
    <s v="andrew.johnson94@outlook.com"/>
    <s v="Hooded Sweatshirt"/>
    <s v="Apparel"/>
    <s v="APR-HOD-GRY"/>
    <n v="1"/>
    <n v="34.99"/>
    <s v="BFCM25"/>
    <n v="8.75"/>
    <n v="7.99"/>
    <n v="34.229999999999997"/>
    <s v="PayPal"/>
    <s v="Facebook"/>
    <s v="cancelled"/>
    <x v="4"/>
    <m/>
    <s v="East Andrew"/>
  </r>
  <r>
    <s v="#1200"/>
    <d v="2026-08-04T13:59:51"/>
    <s v="Victor Herrera"/>
    <s v="victor.herrera394@outlook.com"/>
    <s v="Ceramic Coffee Mug Set (4pc)"/>
    <s v="Home &amp; Kitchen"/>
    <s v="HK-MUG-4PK"/>
    <n v="4"/>
    <n v="18.989999999999998"/>
    <s v="BFCM25"/>
    <n v="18.989999999999998"/>
    <n v="0"/>
    <n v="56.97"/>
    <s v="PayPal"/>
    <s v="Online Store"/>
    <s v="fulfilled"/>
    <x v="0"/>
    <m/>
    <s v="Danielborough"/>
  </r>
  <r>
    <s v="#1201"/>
    <d v="2026-08-04T14:04:30"/>
    <s v="Johnathan Sloan"/>
    <s v="johnathan.sloan721@outlook.com"/>
    <s v="Classic Cotton T-Shirt"/>
    <s v="Apparel"/>
    <s v="TSH-BLK-L"/>
    <n v="1"/>
    <n v="14.99"/>
    <s v="BFCM25"/>
    <n v="3.75"/>
    <n v="5.99"/>
    <n v="17.23"/>
    <s v="Google Pay"/>
    <s v="Online Store"/>
    <s v="pending"/>
    <x v="0"/>
    <m/>
    <s v="Kimberlymouth"/>
  </r>
  <r>
    <s v="#1202"/>
    <d v="2026-08-04T13:56:55"/>
    <s v="Alexandria Miller"/>
    <s v="alexandria.miller414@outlook.com"/>
    <s v="Stainless Steel Water Bottle"/>
    <s v="Home &amp; Kitchen"/>
    <s v="HK-BTL-750"/>
    <n v="1"/>
    <n v="12.99"/>
    <m/>
    <n v="0"/>
    <n v="4.99"/>
    <n v="17.98"/>
    <s v="Credit Card"/>
    <s v="Online Store"/>
    <s v="fulfilled"/>
    <x v="4"/>
    <m/>
    <s v="East Anthonyton"/>
  </r>
  <r>
    <s v="#1203"/>
    <s v="08/04/2026"/>
    <s v="michael hays"/>
    <s v="michael.hays590@gmail.com"/>
    <s v="Wireless Bluetooth Earbuds"/>
    <s v="Electronics"/>
    <s v="ELC-WBE-01"/>
    <n v="1"/>
    <n v="29.99"/>
    <s v="BFCM25"/>
    <n v="7.5"/>
    <n v="4.99"/>
    <n v="27.48"/>
    <s v="PayPal"/>
    <s v="Facebook"/>
    <s v="fulfilled"/>
    <x v="2"/>
    <s v="Washington"/>
    <s v="Gallegosmouth"/>
  </r>
  <r>
    <s v="#1204"/>
    <d v="2026-08-04T14:05:31"/>
    <s v="Chad Smith"/>
    <s v="chad.smith773@icloud.com"/>
    <s v="Non-Stick Frying Pan 10in"/>
    <s v="Home &amp; Kitchen"/>
    <s v="HK-PAN-10"/>
    <n v="2"/>
    <n v="24.99"/>
    <m/>
    <s v="$0.00"/>
    <n v="4.99"/>
    <n v="54.97"/>
    <s v="Credit Card"/>
    <s v="Online Store"/>
    <s v="cancelled"/>
    <x v="0"/>
    <m/>
    <s v="Padillamouth"/>
  </r>
  <r>
    <s v="#1205"/>
    <d v="2026-08-04T13:58:18"/>
    <s v="James Miller"/>
    <s v="james.miller866@yahoo.com"/>
    <s v="Running Shoes - Men's"/>
    <s v="Footwear"/>
    <s v="FTW-RUN-M"/>
    <n v="1"/>
    <n v="54.99"/>
    <m/>
    <n v="0"/>
    <n v="5.99"/>
    <n v="60.98"/>
    <s v="Credit Card"/>
    <s v="Online Store"/>
    <s v="pending"/>
    <x v="0"/>
    <m/>
    <s v="Gibsontown"/>
  </r>
  <r>
    <s v="#1206"/>
    <d v="2026-08-04T14:02:41"/>
    <s v="Jacqueline Miller"/>
    <s v="jacqueline.miller687@yahoo.com"/>
    <s v="Classic Cotton T-Shirt"/>
    <s v="Apparel"/>
    <s v="TSH-BLK-L"/>
    <n v="1"/>
    <n v="14.99"/>
    <m/>
    <n v="0"/>
    <n v="5.99"/>
    <n v="20.98"/>
    <s v="Google Pay"/>
    <s v="Facebook"/>
    <s v="cancelled"/>
    <x v="1"/>
    <m/>
    <s v="East Antonio"/>
  </r>
  <r>
    <s v="#1207"/>
    <d v="2026-08-04T14:01:29"/>
    <s v="Natalie Roberts"/>
    <s v="natalie.roberts628@yahoo.com"/>
    <s v="Scented Soy Candle - Vanilla"/>
    <s v="Home &amp; Kitchen"/>
    <s v="HK-CND-VAN"/>
    <n v="1"/>
    <s v="$9.99"/>
    <s v="VIP15"/>
    <n v="1.5"/>
    <n v="5.99"/>
    <n v="14.48"/>
    <s v="Apple Pay"/>
    <s v="Facebook"/>
    <s v="fulfilled"/>
    <x v="2"/>
    <s v="New York"/>
    <s v="West Misty"/>
  </r>
  <r>
    <s v="#1208"/>
    <d v="2026-08-04T14:02:16"/>
    <s v="Cody Murray"/>
    <s v="cody.murray456@gmail.com"/>
    <s v="Phone Case - Clear"/>
    <s v="Electronics"/>
    <s v="ELC-CSE-CLR"/>
    <n v="1"/>
    <n v="8.99"/>
    <s v="SAVE20"/>
    <n v="1.8"/>
    <n v="5.99"/>
    <n v="13.18"/>
    <s v="Apple Pay"/>
    <s v="Facebook"/>
    <s v="refunded"/>
    <x v="5"/>
    <m/>
    <s v="West Codyberg"/>
  </r>
  <r>
    <s v="#1209"/>
    <d v="2026-08-04T13:54:35"/>
    <s v="Donald Davis"/>
    <s v="donald.davis404@icloud.com"/>
    <s v="Backpack - 25L"/>
    <s v="Accessories"/>
    <s v="ACC-BPK-25L"/>
    <n v="1"/>
    <n v="32.99"/>
    <s v="WELCOME10"/>
    <n v="3.3"/>
    <n v="5.99"/>
    <n v="35.68"/>
    <s v="Google Pay"/>
    <s v="Online Store"/>
    <s v="pending"/>
    <x v="1"/>
    <m/>
    <s v="West Amyport"/>
  </r>
  <r>
    <s v="#1210"/>
    <d v="2026-08-04T13:59:45"/>
    <s v="Stacey Johnson"/>
    <s v="stacey.johnson95@gmail.com"/>
    <s v="Scented Soy Candle - Vanilla"/>
    <s v="Home &amp; Kitchen"/>
    <s v="HK-CND-VAN"/>
    <n v="1"/>
    <s v="$9.99"/>
    <s v="BFCM25"/>
    <n v="2.5"/>
    <n v="7.99"/>
    <n v="15.48"/>
    <s v="Shopify Payments"/>
    <s v="POS"/>
    <s v="fulfilled"/>
    <x v="3"/>
    <m/>
    <s v="Port Josephmouth"/>
  </r>
  <r>
    <s v="#1211"/>
    <d v="2026-08-04T14:01:55"/>
    <s v="  Angela Gonzalez"/>
    <s v="angela.gonzalez50@icloud.com"/>
    <s v="Wireless Bluetooth Earbuds"/>
    <s v="Electronics"/>
    <s v="ELC-WBE-01"/>
    <n v="1"/>
    <n v="29.99"/>
    <s v="VIP15"/>
    <n v="4.5"/>
    <n v="7.99"/>
    <n v="33.479999999999997"/>
    <s v="Shopify Payments"/>
    <s v="Online Store"/>
    <s v="pending"/>
    <x v="1"/>
    <m/>
    <s v="West Miranda"/>
  </r>
  <r>
    <s v="#1212"/>
    <d v="2026-08-04T13:54:32"/>
    <s v="Aimee Smith"/>
    <s v="aimee.smith857@icloud.com"/>
    <s v="Backpack - 25L"/>
    <s v="Accessories"/>
    <s v="ACC-BPK-25L"/>
    <n v="1"/>
    <n v="32.99"/>
    <m/>
    <n v="0"/>
    <n v="5.99"/>
    <n v="38.979999999999997"/>
    <s v="Google Pay"/>
    <s v="Facebook"/>
    <s v="refunded"/>
    <x v="5"/>
    <m/>
    <s v="Hollyville"/>
  </r>
  <r>
    <s v="#1213"/>
    <s v="Aug 04, 2026"/>
    <s v="Jon Lambert"/>
    <s v="jon.lambert231@icloud.com"/>
    <s v="Classic Cotton T-Shirt"/>
    <s v="Apparel"/>
    <s v="TSH-BLK-L"/>
    <n v="1"/>
    <n v="14.99"/>
    <s v="FREESHIP"/>
    <n v="0"/>
    <n v="0"/>
    <n v="14.99"/>
    <s v="Apple Pay"/>
    <s v="POS"/>
    <s v="pending"/>
    <x v="2"/>
    <s v="Washington"/>
    <s v="New Jordan"/>
  </r>
  <r>
    <s v="#1214"/>
    <d v="2026-08-04T14:06:27"/>
    <s v="Lauren Nguyen"/>
    <s v="lauren.nguyen819@outlook.com"/>
    <s v="Kids Building Blocks Set"/>
    <s v="Toys"/>
    <s v="TOY-BLK-SET"/>
    <n v="2"/>
    <n v="27.99"/>
    <s v="FREESHIP"/>
    <n v="0"/>
    <n v="0"/>
    <n v="55.98"/>
    <s v="PayPal"/>
    <s v="Instagram"/>
    <s v="pending"/>
    <x v="5"/>
    <m/>
    <s v="Lake Sarahfurt"/>
  </r>
  <r>
    <s v="#1215"/>
    <d v="2026-08-04T14:02:52"/>
    <s v="Tracy Dominguez"/>
    <s v="tracy.dominguez23@gmail.com"/>
    <s v="Throw Blanket - Fleece"/>
    <s v="Home &amp; Kitchen"/>
    <s v="HK-BLK-FLC"/>
    <n v="1"/>
    <n v="17.989999999999998"/>
    <s v="WELCOME10"/>
    <n v="1.8"/>
    <n v="7.99"/>
    <n v="24.18"/>
    <s v="PayPal"/>
    <s v="POS"/>
    <s v="refunded"/>
    <x v="2"/>
    <s v="Arizona"/>
    <s v="Lake Anitaview"/>
  </r>
  <r>
    <s v="#1216"/>
    <d v="2026-08-04T14:04:35"/>
    <s v="Kayla Cruz"/>
    <s v="kayla.cruz151@outlook.com"/>
    <s v="Polarized Sunglasses"/>
    <s v="Accessories"/>
    <s v="ACC-SUN-01"/>
    <n v="2"/>
    <n v="16.989999999999998"/>
    <s v="SAVE20"/>
    <n v="6.8"/>
    <n v="7.99"/>
    <n v="35.17"/>
    <s v="Credit Card"/>
    <s v="Instagram"/>
    <s v="refunded"/>
    <x v="0"/>
    <m/>
    <s v="Port Natalieview"/>
  </r>
  <r>
    <s v="#1217"/>
    <d v="2026-08-04T14:03:17"/>
    <s v="Brown, Barbara"/>
    <s v="barbara.brown26@gmail.com"/>
    <s v="Wireless Mouse"/>
    <s v="Electronics"/>
    <s v="ELC-MSE-WL"/>
    <n v="2"/>
    <n v="11.99"/>
    <s v="BFCM25"/>
    <n v="6"/>
    <n v="4.99"/>
    <n v="22.97"/>
    <s v="Google Pay"/>
    <s v="Facebook"/>
    <s v="cancelled"/>
    <x v="2"/>
    <s v="Ohio"/>
    <s v="East Patricialand"/>
  </r>
  <r>
    <s v="#1218"/>
    <d v="2026-08-04T13:56:07"/>
    <s v="Zachary Hanson"/>
    <s v="zachary.hanson261@outlook.com"/>
    <s v="Scented Soy Candle - Vanilla"/>
    <s v="Home &amp; Kitchen"/>
    <s v="HK-CND-VAN"/>
    <n v="1"/>
    <n v="9.99"/>
    <m/>
    <n v="0"/>
    <n v="4.99"/>
    <n v="14.98"/>
    <s v="Shopify Payments"/>
    <s v="Instagram"/>
    <s v="fulfilled"/>
    <x v="2"/>
    <s v="TX"/>
    <s v="Santosburgh"/>
  </r>
  <r>
    <s v="#1219"/>
    <d v="2026-08-04T13:54:00"/>
    <s v="Veronica Price"/>
    <m/>
    <s v="Polarized Sunglasses"/>
    <s v="Accessories"/>
    <s v="ACC-SUN-01"/>
    <n v="1"/>
    <n v="16.989999999999998"/>
    <m/>
    <n v="0"/>
    <n v="4.99"/>
    <n v="21.98"/>
    <s v="Shopify Payments"/>
    <s v="Facebook"/>
    <s v="fulfilled"/>
    <x v="1"/>
    <m/>
    <s v="North Matthewstad"/>
  </r>
  <r>
    <s v="#1220"/>
    <s v="04-08-2026 13:53"/>
    <s v="  Megan Dickson"/>
    <s v="megan.dickson508@gmail.com"/>
    <s v="Running Shoes - Womens"/>
    <s v="Footwear"/>
    <s v="FTW-RUN-W"/>
    <n v="1"/>
    <n v="54.99"/>
    <s v="BFCM25"/>
    <n v="13.75"/>
    <n v="7.99"/>
    <n v="49.23"/>
    <s v="Google Pay"/>
    <s v="Online Store"/>
    <s v="fulfilled"/>
    <x v="5"/>
    <m/>
    <s v="Lake Joe"/>
  </r>
  <r>
    <s v="#1221"/>
    <d v="2026-08-04T14:08:01"/>
    <s v="David Knapp"/>
    <s v="david.knapp687@yahoo.com"/>
    <s v="Hooded Sweatshirt"/>
    <s v="Apparel"/>
    <s v="APR-HOD-GRY"/>
    <n v="1"/>
    <n v="34.99"/>
    <s v="FREESHIP"/>
    <n v="0"/>
    <n v="0"/>
    <n v="34.99"/>
    <s v="Credit Card"/>
    <s v="Facebook"/>
    <s v="fulfilled"/>
    <x v="2"/>
    <s v="Arizona"/>
    <s v="West Stephenburgh"/>
  </r>
  <r>
    <s v="#1222"/>
    <d v="2026-08-04T14:04:24"/>
    <s v="John Jacobs"/>
    <s v="john.jacobs137@yahoo.com"/>
    <s v="Vitamin C Serum 30ml"/>
    <s v="Beauty"/>
    <s v="BTY-SRM-30"/>
    <n v="1"/>
    <n v="24.99"/>
    <s v="SAVE20"/>
    <s v="$5.00"/>
    <n v="5.99"/>
    <n v="25.98"/>
    <s v="PayPal"/>
    <s v="POS"/>
    <s v="fulfilled"/>
    <x v="4"/>
    <m/>
    <s v="Cookton"/>
  </r>
  <r>
    <s v="#1223"/>
    <d v="2026-08-04T14:03:00"/>
    <s v="Michelle Owens"/>
    <s v="michelle.owens269@yahoo.com"/>
    <s v="Adjustable Dumbbell Set"/>
    <s v="Sports &amp; Outdoors"/>
    <s v="SP-DMB-ADJ"/>
    <n v="1"/>
    <n v="89.99"/>
    <s v="BFCM25"/>
    <n v="22.5"/>
    <n v="0"/>
    <n v="67.489999999999995"/>
    <s v="Shopify Payments"/>
    <s v="Instagram"/>
    <s v="fulfilled"/>
    <x v="2"/>
    <s v="Arizona"/>
    <s v="Owenschester"/>
  </r>
  <r>
    <s v="#1224"/>
    <s v="08/04/2026"/>
    <s v="TINA SINGH"/>
    <s v="tina.singh98@icloud.com"/>
    <s v="Non-Stick Frying Pan 10in"/>
    <s v="Home &amp; Kitchen"/>
    <s v="HK-PAN-10"/>
    <n v="2"/>
    <n v="24.99"/>
    <m/>
    <n v="0"/>
    <n v="4.99"/>
    <s v="$54.97"/>
    <s v="Shopify Payments"/>
    <s v="Online Store"/>
    <s v="fulfilled"/>
    <x v="2"/>
    <s v="FL"/>
    <s v="West Laceyberg"/>
  </r>
  <r>
    <s v="#1225"/>
    <d v="2026-08-04T14:07:19"/>
    <s v="Christopher Harrington"/>
    <s v="christopher.harrington960@gmail.com"/>
    <s v="Non-Stick Frying Pan 10in"/>
    <s v="Home &amp; Kitchen"/>
    <s v="HK-PAN-10"/>
    <n v="1"/>
    <n v="24.99"/>
    <m/>
    <n v="0"/>
    <n v="5.99"/>
    <n v="30.98"/>
    <s v="Google Pay"/>
    <s v="Instagram"/>
    <s v="fulfilled"/>
    <x v="4"/>
    <m/>
    <s v="Lake Christopherside"/>
  </r>
  <r>
    <s v="#1226"/>
    <s v="Aug 04, 2026"/>
    <s v="Sara Sims"/>
    <s v="sara.sims992@icloud.com"/>
    <s v="Kids Building Blocks Set"/>
    <s v="Toys"/>
    <s v="TOY-BLK-SET"/>
    <n v="1"/>
    <n v="27.99"/>
    <m/>
    <n v="0"/>
    <n v="4.99"/>
    <n v="32.979999999999997"/>
    <s v="PayPal"/>
    <s v="Instagram"/>
    <s v="refunded"/>
    <x v="3"/>
    <m/>
    <s v="Waremouth"/>
  </r>
  <r>
    <s v="#1227"/>
    <s v="08/04/2026"/>
    <s v="Rebecca Watts"/>
    <s v="rebecca.watts779@gmail.com"/>
    <s v="Slim Fit Denim Jeans"/>
    <s v="Apparel"/>
    <s v="JNS-BLU-32"/>
    <n v="1"/>
    <n v="39.99"/>
    <m/>
    <n v="0"/>
    <n v="4.99"/>
    <n v="44.98"/>
    <s v="Google Pay"/>
    <s v="Online Store"/>
    <s v="fulfilled"/>
    <x v="2"/>
    <s v="Ohio"/>
    <s v="Andreaport"/>
  </r>
  <r>
    <s v="#1228"/>
    <d v="2026-08-04T13:53:57"/>
    <s v="Andrew Cross"/>
    <s v="andrew.cross512@yahoo.com"/>
    <s v="Running Shoes - Men's"/>
    <s v="Footwear"/>
    <s v="FTW-RUN-M"/>
    <n v="1"/>
    <n v="54.99"/>
    <s v="WELCOME10"/>
    <n v="5.5"/>
    <n v="5.99"/>
    <n v="55.48"/>
    <s v="Apple Pay"/>
    <s v="Online Store"/>
    <s v="fulfilled"/>
    <x v="2"/>
    <s v="TX"/>
    <s v="New Kelly"/>
  </r>
  <r>
    <s v="#1229"/>
    <d v="2026-08-04T14:05:50"/>
    <s v="Randy Wheeler"/>
    <s v="randy.wheeler304@icloud.com"/>
    <s v="Leather Wallet - Brown"/>
    <s v="Accessories"/>
    <s v="ACC-WLT-BRN"/>
    <n v="1"/>
    <n v="19.989999999999998"/>
    <m/>
    <n v="0"/>
    <n v="4.99"/>
    <s v="$24.98"/>
    <s v="Credit Card"/>
    <s v="Online Store"/>
    <s v="fulfilled"/>
    <x v="2"/>
    <s v="North Carolina"/>
    <s v="East Michelleside"/>
  </r>
  <r>
    <s v="#1230"/>
    <d v="2026-08-04T14:04:55"/>
    <s v="Brian Ruiz"/>
    <s v="brian.ruiz246@gmail.com"/>
    <s v="Facial Cleanser 200ml"/>
    <s v="Beauty"/>
    <s v="BTY-CLN-200"/>
    <n v="1"/>
    <s v="$13.49"/>
    <s v="SAVE20"/>
    <n v="2.7"/>
    <n v="4.99"/>
    <n v="15.78"/>
    <s v="Apple Pay"/>
    <s v="Online Store"/>
    <s v="fulfilled"/>
    <x v="3"/>
    <m/>
    <s v="New Emilyshire"/>
  </r>
  <r>
    <s v="#1231"/>
    <d v="2026-08-04T13:59:49"/>
    <s v="Leon Oliver"/>
    <s v="leon.oliver578@gmail.com"/>
    <s v="Backpack - 25L"/>
    <s v="Accessories"/>
    <s v="ACC-BPK-25L"/>
    <n v="1"/>
    <n v="32.99"/>
    <s v="BFCM25"/>
    <n v="8.25"/>
    <n v="5.99"/>
    <n v="30.73"/>
    <s v="PayPal"/>
    <s v="Online Store"/>
    <s v="fulfilled"/>
    <x v="1"/>
    <m/>
    <s v="Lindamouth"/>
  </r>
  <r>
    <s v="#1232"/>
    <d v="2026-08-04T14:08:09"/>
    <s v="Patrick Richardson"/>
    <s v="patrick.richardson270@icloud.com"/>
    <s v="Running Shoes - Men's"/>
    <s v="Footwear"/>
    <s v="FTW-RUN-M"/>
    <n v="2"/>
    <n v="54.99"/>
    <s v="FREESHIP"/>
    <n v="0"/>
    <n v="0"/>
    <n v="109.98"/>
    <s v="Credit Card"/>
    <s v="Online Store"/>
    <s v="fulfilled"/>
    <x v="2"/>
    <s v="New York"/>
    <s v="South Malloryview"/>
  </r>
  <r>
    <s v="#1233"/>
    <s v="08/04/2026"/>
    <s v="KEVIN STOUT"/>
    <s v="kevin.stout35@icloud.com"/>
    <s v="Throw Blanket - Fleece"/>
    <s v="Home &amp; Kitchen"/>
    <s v="HK-BLK-FLC"/>
    <n v="2"/>
    <n v="17.989999999999998"/>
    <m/>
    <n v="0"/>
    <n v="7.99"/>
    <n v="43.97"/>
    <s v="PayPal"/>
    <s v="POS"/>
    <s v="fulfilled"/>
    <x v="2"/>
    <s v="IL"/>
    <s v="New Paul"/>
  </r>
  <r>
    <s v="#1234"/>
    <d v="2026-08-04T14:03:03"/>
    <s v="Gerald Li"/>
    <s v="gerald.li856@icloud.com"/>
    <s v="Kids Building Blocks Set"/>
    <s v="Toys"/>
    <s v="TOY-BLK-SET"/>
    <n v="2"/>
    <n v="27.99"/>
    <m/>
    <n v="0"/>
    <n v="4.99"/>
    <n v="60.97"/>
    <s v="Shopify Payments"/>
    <s v="Online Store"/>
    <s v="pending"/>
    <x v="2"/>
    <s v="Ohio"/>
    <s v="Jennifertown"/>
  </r>
  <r>
    <s v="#1235"/>
    <s v="2026-08-04"/>
    <s v="Melinda Henderson"/>
    <s v="melinda.henderson831@gmail.com"/>
    <s v="Wireless Mouse"/>
    <s v="Electronics"/>
    <s v="ELC-MSE-WL"/>
    <n v="2"/>
    <n v="11.99"/>
    <s v="VIP15"/>
    <n v="3.6"/>
    <n v="7.99"/>
    <n v="28.37"/>
    <s v="Credit Card"/>
    <s v="Online Store"/>
    <s v="cancelled"/>
    <x v="5"/>
    <m/>
    <s v="Port Patrick"/>
  </r>
  <r>
    <s v="#1236"/>
    <d v="2026-08-04T14:02:17"/>
    <s v="Suzanne Robertson"/>
    <s v="suzanne.robertson435@gmail.com"/>
    <s v="Non-Stick Frying Pan 10in"/>
    <s v="Home &amp; Kitchen"/>
    <s v="HK-PAN-10"/>
    <n v="1"/>
    <n v="24.99"/>
    <s v="BFCM25"/>
    <n v="6.25"/>
    <n v="7.99"/>
    <n v="26.73"/>
    <s v="PayPal"/>
    <s v="Instagram"/>
    <s v="cancelled"/>
    <x v="4"/>
    <m/>
    <s v="New Austinfort"/>
  </r>
  <r>
    <s v="#1237"/>
    <d v="2026-08-04T14:05:14"/>
    <s v="  Shawn Oliver"/>
    <s v="shawn.oliver540@icloud.com"/>
    <s v="Running Shoes - Men's"/>
    <s v="Footwear"/>
    <s v="FTW-RUN-M"/>
    <n v="2"/>
    <n v="54.99"/>
    <m/>
    <n v="0"/>
    <n v="0"/>
    <n v="109.98"/>
    <s v="Google Pay"/>
    <s v="Online Store"/>
    <s v="cancelled"/>
    <x v="1"/>
    <m/>
    <s v="East April"/>
  </r>
  <r>
    <s v="#1238"/>
    <d v="2026-08-04T14:03:23"/>
    <s v="Ann Byrd"/>
    <m/>
    <s v="Vitamin C Serum 30ml"/>
    <s v="Beauty"/>
    <s v="BTY-SRM-30"/>
    <n v="1"/>
    <n v="24.99"/>
    <m/>
    <n v="0"/>
    <n v="7.99"/>
    <n v="32.979999999999997"/>
    <s v="Google Pay"/>
    <s v="Online Store"/>
    <s v="fulfilled"/>
    <x v="4"/>
    <m/>
    <s v="Ewingchester"/>
  </r>
  <r>
    <s v="#1239"/>
    <d v="2026-08-04T13:53:34"/>
    <s v="Dustin Mccoy"/>
    <s v="dustin.mccoy570@gmail.com"/>
    <s v="Classic Cotton T-Shirt"/>
    <s v="Apparel"/>
    <s v="TSH-BLK-M"/>
    <n v="1"/>
    <n v="14.99"/>
    <s v="VIP15"/>
    <n v="2.25"/>
    <n v="5.99"/>
    <n v="18.73"/>
    <s v="Apple Pay"/>
    <s v="Instagram"/>
    <s v="pending"/>
    <x v="1"/>
    <m/>
    <s v="Berryside"/>
  </r>
  <r>
    <s v="#1240"/>
    <s v="08/04/2026"/>
    <s v="Anthony Parker"/>
    <s v="anthony.parker256@icloud.com"/>
    <s v="Scented Soy Candle - Vanilla"/>
    <s v="Home &amp; Kitchen"/>
    <s v="HK-CND-VAN"/>
    <n v="1"/>
    <n v="9.99"/>
    <m/>
    <n v="0"/>
    <n v="4.99"/>
    <s v="$14.98"/>
    <s v="Credit Card"/>
    <s v="Instagram"/>
    <s v="cancelled"/>
    <x v="5"/>
    <m/>
    <s v="Oneillborough"/>
  </r>
  <r>
    <s v="#1241"/>
    <s v="04-08-2026 14:00"/>
    <s v="Karen Bautista"/>
    <s v="karen.bautista779@icloud.com"/>
    <s v="Vitamin C Serum 30ml"/>
    <s v="Beauty"/>
    <s v="BTY-SRM-30"/>
    <n v="3"/>
    <n v="24.99"/>
    <m/>
    <n v="0"/>
    <n v="5.99"/>
    <n v="80.959999999999994"/>
    <s v="Google Pay"/>
    <s v="Online Store"/>
    <s v="pending"/>
    <x v="2"/>
    <s v="North Carolina"/>
    <s v="Callahanside"/>
  </r>
  <r>
    <s v="#1242"/>
    <d v="2026-08-04T14:07:35"/>
    <s v="Jennifer Burke"/>
    <s v="jennifer.burke472@icloud.com"/>
    <s v="Facial Cleanser 200ml"/>
    <s v="Beauty"/>
    <s v="BTY-CLN-200"/>
    <n v="2"/>
    <n v="13.49"/>
    <s v="SAVE20"/>
    <s v="$5.40"/>
    <n v="7.99"/>
    <n v="29.57"/>
    <s v="PayPal"/>
    <s v="Online Store"/>
    <s v="fulfilled"/>
    <x v="0"/>
    <m/>
    <s v="Taylorberg"/>
  </r>
  <r>
    <s v="#1243"/>
    <d v="2026-08-04T13:59:21"/>
    <s v="Jaime Vargas"/>
    <s v="jaime.vargas795@outlook.com"/>
    <s v="Polarized Sunglasses"/>
    <s v="Accessories"/>
    <s v="ACC-SUN-01"/>
    <n v="2"/>
    <s v="$16.99"/>
    <s v="FREESHIP"/>
    <n v="0"/>
    <n v="0"/>
    <n v="33.979999999999997"/>
    <s v="Google Pay"/>
    <s v="Online Store"/>
    <s v="fulfilled"/>
    <x v="5"/>
    <m/>
    <s v="South Benjaminstad"/>
  </r>
  <r>
    <s v="#1244"/>
    <d v="2026-08-04T13:58:27"/>
    <s v="Robert Lopez"/>
    <s v="robert.lopez980@outlook.com"/>
    <s v="Yoga Mat - Extra Thick"/>
    <s v="Sports &amp; Outdoors"/>
    <s v="SP-YGM-EX"/>
    <n v="1"/>
    <s v="$22.99"/>
    <m/>
    <n v="0"/>
    <n v="4.99"/>
    <n v="27.98"/>
    <s v="PayPal"/>
    <s v="Facebook"/>
    <s v="fulfilled"/>
    <x v="3"/>
    <m/>
    <s v="Collinsborough"/>
  </r>
  <r>
    <s v="#1245"/>
    <d v="2026-08-04T14:04:59"/>
    <s v="Christy Phillips"/>
    <s v="christy.phillips291@gmail.com"/>
    <s v="Classic Cotton T-Shirt"/>
    <s v="Apparel"/>
    <s v="TSH-BLK-M"/>
    <n v="1"/>
    <n v="14.99"/>
    <s v="FREESHIP"/>
    <n v="0"/>
    <n v="0"/>
    <n v="14.99"/>
    <s v="Google Pay"/>
    <s v="Online Store"/>
    <s v="cancelled"/>
    <x v="0"/>
    <m/>
    <s v="Devinburgh"/>
  </r>
  <r>
    <s v="#1246"/>
    <s v="2026-08-04"/>
    <s v="Cody Murray"/>
    <s v="cody.murray456@gmail.com"/>
    <s v="Facial Cleanser 200ml"/>
    <s v="Beauty"/>
    <s v="BTY-CLN-200"/>
    <n v="1"/>
    <n v="13.49"/>
    <s v="FREESHIP"/>
    <n v="0"/>
    <n v="0"/>
    <n v="13.49"/>
    <s v="Apple Pay"/>
    <s v="Online Store"/>
    <s v="fulfilled"/>
    <x v="5"/>
    <m/>
    <s v="South Matthew"/>
  </r>
  <r>
    <s v="#1247"/>
    <d v="2026-08-04T13:59:54"/>
    <s v="Stacey Morales"/>
    <s v="stacey.morales538@yahoo.com"/>
    <s v="Vitamin C Serum 30ml"/>
    <s v="Beauty"/>
    <s v="BTY-SRM-30"/>
    <n v="1"/>
    <n v="24.99"/>
    <s v="WELCOME10"/>
    <s v="$2.50"/>
    <n v="4.99"/>
    <n v="27.48"/>
    <s v="PayPal"/>
    <s v="Facebook"/>
    <s v="cancelled"/>
    <x v="4"/>
    <m/>
    <s v="North Christopherport"/>
  </r>
  <r>
    <s v="#1248"/>
    <d v="2026-08-04T14:04:31"/>
    <s v="Melissa Smith"/>
    <s v="melissa.smith711@gmail.com"/>
    <s v="Running Shoes - Women's"/>
    <s v="Footwear"/>
    <s v="FTW-RUN-W"/>
    <n v="2"/>
    <n v="54.99"/>
    <s v="BFCM25"/>
    <n v="27.5"/>
    <n v="0"/>
    <n v="82.48"/>
    <s v="Credit Card"/>
    <s v="Online Store"/>
    <s v="fulfilled"/>
    <x v="0"/>
    <m/>
    <s v="Thompsonshire"/>
  </r>
  <r>
    <s v="#1249"/>
    <d v="2026-08-04T14:07:53"/>
    <s v="Kayla Cruz"/>
    <s v="kayla.cruz151@outlook.com"/>
    <s v="Facial Cleanser 200ml"/>
    <s v="Beauty"/>
    <s v="BTY-CLN-200"/>
    <n v="3"/>
    <n v="13.49"/>
    <m/>
    <n v="0"/>
    <n v="7.99"/>
    <n v="48.46"/>
    <s v="Google Pay"/>
    <s v="Online Store"/>
    <s v="refunded"/>
    <x v="0"/>
    <m/>
    <s v="South Mark"/>
  </r>
  <r>
    <s v="#1250"/>
    <d v="2026-08-04T14:04:19"/>
    <s v="Debra Thomas"/>
    <s v="debra.thomas509@icloud.com"/>
    <s v="Polarized Sunglasses"/>
    <s v="Accessories"/>
    <s v="ACC-SUN-01"/>
    <n v="1"/>
    <n v="16.989999999999998"/>
    <s v="WELCOME10"/>
    <n v="1.7"/>
    <n v="7.99"/>
    <n v="23.28"/>
    <s v="PayPal"/>
    <s v="Online Store"/>
    <s v="fulfilled"/>
    <x v="2"/>
    <s v="Georgia"/>
    <s v="Richardsid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5">
  <r>
    <s v="#1042"/>
    <d v="2026-08-04T13:55:24"/>
    <d v="2026-08-04T13:55:24"/>
    <s v="Angie Martin"/>
    <x v="0"/>
    <s v="angie.martin506@icloud.com"/>
    <s v="Running Shoes - Women's"/>
    <s v="Footwear"/>
    <s v="FTW-RUN-W"/>
    <n v="-1"/>
    <n v="54.99"/>
    <s v="VIP15"/>
    <n v="8.25"/>
    <n v="5.99"/>
    <n v="52.73"/>
    <s v="PayPal"/>
    <x v="0"/>
    <s v="fulfilled"/>
    <s v="Pakistan"/>
    <m/>
    <s v="Not Required"/>
    <s v="West Travis"/>
  </r>
  <r>
    <s v="#1083"/>
    <d v="2026-08-04T13:54:56"/>
    <d v="2026-08-04T13:54:56"/>
    <s v="Johnathan Sloan"/>
    <x v="0"/>
    <s v="johnathan.sloan721@outlook.com"/>
    <s v="Running Shoes - Men's"/>
    <s v="Footwear"/>
    <s v="FTW-RUN-M"/>
    <n v="-1"/>
    <n v="54.99"/>
    <s v="SAVE20"/>
    <s v="$11.00"/>
    <n v="5.99"/>
    <n v="49.98"/>
    <s v="Apple Pay"/>
    <x v="0"/>
    <s v="fulfilled"/>
    <s v="Pakistan"/>
    <m/>
    <s v="Not Required"/>
    <s v="Robertborough"/>
  </r>
  <r>
    <s v="#1371"/>
    <d v="2026-08-04T13:59:50"/>
    <d v="2026-08-04T13:59:50"/>
    <s v="Andrew Vargas"/>
    <x v="0"/>
    <s v="andrew.vargas381@outlook.com"/>
    <s v="Hooded Sweatshirt"/>
    <s v="Apparel"/>
    <s v="APR-HOD-GRY"/>
    <n v="-1"/>
    <n v="34.99"/>
    <m/>
    <n v="0"/>
    <n v="4.99"/>
    <n v="39.979999999999997"/>
    <s v="PayPal"/>
    <x v="0"/>
    <s v="cancelled"/>
    <s v="Canada"/>
    <m/>
    <s v="Not Required"/>
    <s v="Port Jasmineview"/>
  </r>
  <r>
    <s v="#1463"/>
    <d v="2026-08-04T13:56:52"/>
    <d v="2026-08-04T13:56:52"/>
    <s v="Conway, Brittney"/>
    <x v="0"/>
    <s v="brittney.conway383@outlook.com"/>
    <s v="Yoga Mat - Extra Thick"/>
    <s v="Sports &amp; Outdoors"/>
    <s v="SP-YGM-EX"/>
    <n v="-2"/>
    <n v="22.99"/>
    <m/>
    <s v="$0.00"/>
    <n v="7.99"/>
    <n v="53.97"/>
    <s v="Apple Pay"/>
    <x v="0"/>
    <s v="fulfilled"/>
    <s v="United States"/>
    <s v="Texas"/>
    <s v="Valid"/>
    <s v="North Nathan"/>
  </r>
  <r>
    <s v="#1472"/>
    <d v="2026-04-08T00:00:00"/>
    <s v="                                08/04/2026"/>
    <s v="Christy Phillips"/>
    <x v="0"/>
    <s v="christy.phillips291@gmail.com"/>
    <s v="Hooded Sweatshirt"/>
    <s v="Apparel"/>
    <s v="APR-HOD-GRY"/>
    <n v="-1"/>
    <n v="34.99"/>
    <s v="VIP15"/>
    <n v="5.25"/>
    <n v="7.99"/>
    <n v="37.729999999999997"/>
    <s v="Apple Pay"/>
    <x v="1"/>
    <s v="cancelled"/>
    <s v="Pakistan"/>
    <m/>
    <s v="Not Required"/>
    <s v="New Claire"/>
  </r>
  <r>
    <s v="#1632"/>
    <d v="2026-04-08T00:00:00"/>
    <d v="2026-04-08T00:00:00"/>
    <s v="Kenneth Morgan"/>
    <x v="0"/>
    <s v="kenneth.morgan181@outlook.com"/>
    <s v="Backpack - 25L"/>
    <s v="Accessories"/>
    <s v="ACC-BPK-25L"/>
    <n v="-3"/>
    <n v="32.99"/>
    <s v="WELCOME10"/>
    <n v="9.9"/>
    <n v="0"/>
    <n v="89.07"/>
    <s v="Apple Pay"/>
    <x v="0"/>
    <s v="fulfilled"/>
    <s v="United States"/>
    <s v="Arizona"/>
    <s v="Valid"/>
    <s v="West David"/>
  </r>
  <r>
    <s v="#1836"/>
    <d v="2026-08-04T14:03:31"/>
    <d v="2026-08-04T14:03:31"/>
    <s v="Sergio Turner"/>
    <x v="0"/>
    <s v="sergio.turner744@outlook.com"/>
    <s v="Wireless Mouse"/>
    <s v="Electronics"/>
    <s v="ELC-MSE-WL"/>
    <n v="-2"/>
    <n v="11.99"/>
    <m/>
    <n v="0"/>
    <n v="4.99"/>
    <n v="28.97"/>
    <s v="Credit Card"/>
    <x v="2"/>
    <s v="fulfilled"/>
    <s v="Germany"/>
    <m/>
    <s v="Not Required"/>
    <s v="Fordburgh"/>
  </r>
  <r>
    <s v="#2008"/>
    <d v="2026-08-04T14:08:04"/>
    <d v="2026-08-04T14:08:04"/>
    <s v="Jacob Gibbs"/>
    <x v="0"/>
    <s v="jacob.gibbs527@gmail.com"/>
    <s v="Classic Cotton T-Shirt"/>
    <s v="Apparel"/>
    <s v="TSH-BLK-M"/>
    <n v="-2"/>
    <n v="14.99"/>
    <m/>
    <n v="0"/>
    <n v="4.99"/>
    <n v="34.97"/>
    <s v="Shopify Payments"/>
    <x v="0"/>
    <s v="fulfilled"/>
    <s v="United States"/>
    <s v="North Carolina"/>
    <s v="Valid"/>
    <s v="Keyburgh"/>
  </r>
  <r>
    <s v="#2485"/>
    <d v="2026-08-04T14:05:20"/>
    <d v="2026-08-04T14:05:20"/>
    <s v="George Gould"/>
    <x v="0"/>
    <s v="george.gould10@yahoo.com"/>
    <s v="Running Shoes - Women's"/>
    <s v="Footwear"/>
    <s v="FTW-RUN-W"/>
    <n v="-1"/>
    <s v="$54.99"/>
    <m/>
    <n v="0"/>
    <n v="7.99"/>
    <n v="62.98"/>
    <s v="Google Pay"/>
    <x v="0"/>
    <s v="fulfilled"/>
    <s v="Canada"/>
    <m/>
    <s v="Not Required"/>
    <s v="Port Jenniferburgh"/>
  </r>
  <r>
    <s v="#2687"/>
    <d v="2026-08-04T13:59:31"/>
    <d v="2026-08-04T13:59:31"/>
    <s v="Karen Bautista"/>
    <x v="0"/>
    <s v="karen.bautista779@icloud.com"/>
    <s v="Vitamin C Serum 30ml"/>
    <s v="Beauty"/>
    <s v="BTY-SRM-30"/>
    <n v="-1"/>
    <n v="24.99"/>
    <m/>
    <n v="0"/>
    <n v="5.99"/>
    <n v="30.98"/>
    <s v="Apple Pay"/>
    <x v="0"/>
    <s v="fulfilled"/>
    <s v="United States"/>
    <s v="Washington"/>
    <s v="Valid"/>
    <s v="Patrickmouth"/>
  </r>
  <r>
    <s v="#2862"/>
    <d v="2026-08-04T00:00:00"/>
    <s v="2026-08-04"/>
    <s v="Linda Scott"/>
    <x v="0"/>
    <s v="linda.scott2@icloud.com"/>
    <s v="Vitamin C Serum 30ml"/>
    <s v="Beauty"/>
    <s v="BTY-SRM-30"/>
    <n v="-1"/>
    <n v="24.99"/>
    <m/>
    <n v="0"/>
    <n v="4.99"/>
    <n v="29.98"/>
    <s v="Google Pay"/>
    <x v="2"/>
    <s v="fulfilled"/>
    <s v="Canada"/>
    <m/>
    <s v="Not Required"/>
    <s v="South Lisaton"/>
  </r>
  <r>
    <s v="#2888"/>
    <d v="2026-08-04T13:59:49"/>
    <d v="2026-08-04T13:59:49"/>
    <s v="Frederick Bean"/>
    <x v="0"/>
    <s v="frederick.bean141@outlook.com"/>
    <s v="Leather Wallet - Brown"/>
    <s v="Accessories"/>
    <s v="ACC-WLT-BRN"/>
    <n v="-2"/>
    <n v="19.989999999999998"/>
    <m/>
    <n v="0"/>
    <n v="7.99"/>
    <n v="47.97"/>
    <s v="Google Pay"/>
    <x v="0"/>
    <s v="pending"/>
    <s v="United States"/>
    <s v="California"/>
    <s v="Valid"/>
    <s v="Barnesville"/>
  </r>
  <r>
    <s v="#1003"/>
    <d v="2026-08-04T13:55:36"/>
    <d v="2026-08-04T13:55:36"/>
    <s v="THOMAS ROJAS"/>
    <x v="0"/>
    <s v="thomas.rojas667@icloud.com"/>
    <s v="Slim Fit Denim Jeans"/>
    <s v="Apparel"/>
    <s v="JNS-BLU-32"/>
    <n v="1"/>
    <n v="39.99"/>
    <m/>
    <n v="0"/>
    <n v="5.99"/>
    <n v="45.98"/>
    <s v="Credit Card"/>
    <x v="0"/>
    <s v="fulfilled"/>
    <s v="United States"/>
    <s v="North Carolina"/>
    <s v="Valid"/>
    <s v="West Cynthialand"/>
  </r>
  <r>
    <s v="#1027"/>
    <d v="2026-08-04T13:58:50"/>
    <d v="2026-08-04T13:58:50"/>
    <s v="Sandra Wilson"/>
    <x v="0"/>
    <s v="sandra.wilson554@outlook.com"/>
    <s v="Vitamin C Serum 30ml"/>
    <s v="Beauty"/>
    <s v="BTY-SRM-30"/>
    <n v="1"/>
    <n v="24.99"/>
    <s v="VIP15"/>
    <n v="3.75"/>
    <n v="7.99"/>
    <n v="29.23"/>
    <s v="Apple Pay"/>
    <x v="0"/>
    <s v="pending"/>
    <s v="Canada"/>
    <m/>
    <s v="Not Required"/>
    <s v="Hollyport"/>
  </r>
  <r>
    <s v="#1172"/>
    <d v="2026-08-04T14:01:00"/>
    <d v="2026-08-04T14:01:00"/>
    <s v="TINA SINGH"/>
    <x v="0"/>
    <s v="tina.singh98@icloud.com"/>
    <s v="Leather Wallet - Brown"/>
    <s v="Accessories"/>
    <s v="ACC-WLT-BRN"/>
    <n v="1"/>
    <n v="19.989999999999998"/>
    <m/>
    <n v="0"/>
    <n v="5.99"/>
    <n v="25.98"/>
    <s v="Credit Card"/>
    <x v="0"/>
    <s v="fulfilled"/>
    <s v="United States"/>
    <s v="Washington"/>
    <s v="Valid"/>
    <s v="East Heathertown"/>
  </r>
  <r>
    <s v="#1260"/>
    <d v="2026-08-04T14:03:58"/>
    <d v="2026-08-04T14:03:58"/>
    <s v="Morgan Brown"/>
    <x v="0"/>
    <s v="morgan.brown933@gmail.com"/>
    <s v="Wireless Bluetooth Earbuds"/>
    <s v="Electronics"/>
    <s v="ELC-WBE-01"/>
    <n v="1"/>
    <n v="29.99"/>
    <s v="FREESHIP"/>
    <n v="0"/>
    <n v="0"/>
    <n v="29.99"/>
    <s v="Apple Pay"/>
    <x v="0"/>
    <s v="pending"/>
    <s v="United States"/>
    <s v="Florida"/>
    <s v="Valid"/>
    <s v="Austinbury"/>
  </r>
  <r>
    <s v="#1262"/>
    <d v="2026-08-04T14:04:08"/>
    <d v="2026-08-04T14:04:08"/>
    <s v="Mark Mata"/>
    <x v="0"/>
    <s v="mark.mata757@outlook.com"/>
    <s v="Facial Cleanser 200ml"/>
    <s v="Beauty"/>
    <s v="BTY-CLN-200"/>
    <n v="1"/>
    <n v="13.49"/>
    <m/>
    <n v="0"/>
    <n v="7.99"/>
    <n v="21.48"/>
    <s v="Apple Pay"/>
    <x v="2"/>
    <s v="pending"/>
    <s v="United States"/>
    <s v="Washington"/>
    <s v="Valid"/>
    <s v="Davidburgh"/>
  </r>
  <r>
    <s v="#1305"/>
    <d v="2026-08-04T14:04:15"/>
    <d v="2026-08-04T14:04:15"/>
    <s v="Amy Maldonado"/>
    <x v="0"/>
    <s v="amy.maldonado44@gmail.com"/>
    <s v="Polarized Sunglasses"/>
    <s v="Accessories"/>
    <s v="ACC-SUN-01"/>
    <n v="1"/>
    <n v="16.989999999999998"/>
    <m/>
    <n v="0"/>
    <n v="5.99"/>
    <n v="22.98"/>
    <s v="PayPal"/>
    <x v="0"/>
    <s v="fulfilled"/>
    <s v="Pakistan"/>
    <m/>
    <s v="Not Required"/>
    <s v="Matthewstad"/>
  </r>
  <r>
    <s v="#1652"/>
    <d v="2026-08-04T14:02:11"/>
    <d v="2026-08-04T14:02:11"/>
    <s v="Sean Frank"/>
    <x v="0"/>
    <s v="sean.frank587@icloud.com"/>
    <s v="Kids Building Blocks Set"/>
    <s v="Toys"/>
    <s v="TOY-BLK-SET"/>
    <n v="2"/>
    <n v="27.99"/>
    <s v="WELCOME10"/>
    <n v="5.6"/>
    <n v="7.99"/>
    <s v="$58.37"/>
    <s v="Credit Card"/>
    <x v="2"/>
    <s v="fulfilled"/>
    <s v="Australia"/>
    <m/>
    <s v="Not Required"/>
    <s v="Port Josephborough"/>
  </r>
  <r>
    <s v="#1719"/>
    <d v="2026-08-04T14:08:07"/>
    <d v="2026-08-04T14:08:07"/>
    <s v="GRACE RAY"/>
    <x v="0"/>
    <s v="grace.ray807@yahoo.com"/>
    <s v="Wireless Mouse"/>
    <s v="Electronics"/>
    <s v="ELC-MSE-WL"/>
    <n v="2"/>
    <n v="11.99"/>
    <m/>
    <n v="0"/>
    <n v="7.99"/>
    <n v="31.97"/>
    <s v="Apple Pay"/>
    <x v="2"/>
    <s v="cancelled"/>
    <s v="United Kingdom"/>
    <m/>
    <s v="Not Required"/>
    <s v="Lutzton"/>
  </r>
  <r>
    <s v="#1781"/>
    <d v="2026-08-04T00:00:00"/>
    <s v="Aug 04, 2026"/>
    <s v="Sharon Brown"/>
    <x v="1"/>
    <m/>
    <s v="Running Shoes - Men's"/>
    <s v="Footwear"/>
    <s v="FTW-RUN-M"/>
    <n v="1"/>
    <n v="54.99"/>
    <m/>
    <n v="0"/>
    <n v="4.99"/>
    <n v="59.98"/>
    <s v="Shopify Payments"/>
    <x v="1"/>
    <s v="fulfilled"/>
    <s v="United States"/>
    <s v="Arizona"/>
    <s v="Valid"/>
    <s v="Clarkmouth"/>
  </r>
  <r>
    <s v="#1798"/>
    <d v="2026-08-04T13:57:37"/>
    <d v="2026-08-04T13:57:37"/>
    <s v="TINA SINGH"/>
    <x v="0"/>
    <s v="tina.singh98@icloud.com"/>
    <s v="Adjustable Dumbbell Set"/>
    <s v="Sports &amp; Outdoors"/>
    <s v="SP-DMB-ADJ"/>
    <n v="2"/>
    <n v="89.99"/>
    <m/>
    <n v="0"/>
    <n v="0"/>
    <n v="179.98"/>
    <s v="Google Pay"/>
    <x v="1"/>
    <s v="pending"/>
    <s v="United States"/>
    <s v="Georgia"/>
    <s v="Valid"/>
    <s v="North Shannon"/>
  </r>
  <r>
    <s v="#1818"/>
    <d v="2026-04-08T00:00:00"/>
    <s v="08/04/2026"/>
    <s v="Amanda Harris"/>
    <x v="0"/>
    <s v="amanda.harris197@gmail.com"/>
    <s v="USB-C Fast Charger 20W  "/>
    <s v="Electronics"/>
    <s v="ELC-CHG-20"/>
    <n v="1"/>
    <n v="15.49"/>
    <m/>
    <n v="0"/>
    <n v="5.99"/>
    <n v="21.48"/>
    <s v="Google Pay"/>
    <x v="3"/>
    <s v="pending"/>
    <s v="United States"/>
    <s v="Washington"/>
    <s v="Valid"/>
    <s v="Richardsonburgh"/>
  </r>
  <r>
    <s v="#1859"/>
    <d v="2026-08-04T13:55:24"/>
    <d v="2026-08-04T13:55:24"/>
    <s v="Sarah Webb"/>
    <x v="0"/>
    <s v="sarah.webb997@outlook.com"/>
    <s v="Adjustable Dumbbell Set"/>
    <s v="Sports &amp; Outdoors"/>
    <s v="SP-DMB-ADJ"/>
    <n v="3"/>
    <n v="89.99"/>
    <s v="VIP15"/>
    <n v="40.5"/>
    <n v="0"/>
    <n v="229.47"/>
    <s v="PayPal"/>
    <x v="2"/>
    <s v="fulfilled"/>
    <s v="Germany"/>
    <m/>
    <s v="Not Required"/>
    <s v="North Ronald"/>
  </r>
  <r>
    <s v="#1866"/>
    <d v="2026-08-04T13:54:26"/>
    <d v="2026-08-04T13:54:26"/>
    <s v="Melissa Jones"/>
    <x v="1"/>
    <m/>
    <s v="Ceramic Coffee Mug Set (4pc)"/>
    <s v="Home &amp; Kitchen"/>
    <s v="HK-MUG-4PK"/>
    <n v="1"/>
    <n v="18.989999999999998"/>
    <s v="FREESHIP"/>
    <n v="0"/>
    <n v="0"/>
    <n v="18.989999999999998"/>
    <s v="Credit Card"/>
    <x v="0"/>
    <s v="pending"/>
    <s v="United States"/>
    <s v="Florida"/>
    <s v="Valid"/>
    <s v="Kelseybury"/>
  </r>
  <r>
    <s v="#1948"/>
    <d v="2026-08-04T13:57:22"/>
    <d v="2026-08-04T13:57:22"/>
    <s v="Peter Alvarez"/>
    <x v="0"/>
    <s v="peter.alvarez465@yahoo.com"/>
    <s v="Wireless Mouse"/>
    <s v="Electronics"/>
    <s v="ELC-MSE-WL"/>
    <n v="1"/>
    <n v="11.99"/>
    <s v="VIP15"/>
    <n v="1.8"/>
    <n v="5.99"/>
    <n v="16.18"/>
    <s v="PayPal"/>
    <x v="0"/>
    <s v="fulfilled"/>
    <s v="United States"/>
    <s v="Illinois"/>
    <s v="Valid"/>
    <s v="New Jeffreystad"/>
  </r>
  <r>
    <s v="#1963"/>
    <d v="2026-08-04T00:00:00"/>
    <s v="04-08-2026 13:58"/>
    <s v="  Sean Frank"/>
    <x v="0"/>
    <s v="sean.frank587@icloud.com"/>
    <s v="Yoga Mat - Extra Thick"/>
    <s v="Sports &amp; Outdoors"/>
    <s v="SP-YGM-EX"/>
    <n v="1"/>
    <n v="22.99"/>
    <s v="VIP15"/>
    <n v="3.45"/>
    <n v="7.99"/>
    <n v="27.53"/>
    <s v="Credit Card"/>
    <x v="0"/>
    <s v="fulfilled"/>
    <s v="Australia"/>
    <m/>
    <s v="Not Required"/>
    <s v="New Bruce"/>
  </r>
  <r>
    <s v="#2040"/>
    <d v="2026-08-04T13:54:02"/>
    <d v="2026-08-04T13:54:02"/>
    <s v="Sean Frank"/>
    <x v="0"/>
    <s v="sean.frank587@icloud.com"/>
    <s v="Stainless Steel Water Bottle"/>
    <s v="Home &amp; Kitchen"/>
    <s v="HK-BTL-750"/>
    <n v="1"/>
    <n v="12.99"/>
    <s v="VIP15"/>
    <n v="1.95"/>
    <n v="7.99"/>
    <n v="19.03"/>
    <s v="PayPal"/>
    <x v="2"/>
    <s v="fulfilled"/>
    <s v="Australia"/>
    <m/>
    <s v="Not Required"/>
    <s v="Thompsonburgh"/>
  </r>
  <r>
    <s v="#2130"/>
    <d v="2026-08-04T14:04:01"/>
    <d v="2026-08-04T14:04:01"/>
    <s v="Jacqueline Graham"/>
    <x v="0"/>
    <s v="jacqueline.graham958@gmail.com"/>
    <s v="Phone Case - Clear"/>
    <s v="Electronics"/>
    <s v="ELC-CSE-CLR"/>
    <n v="1"/>
    <n v="8.99"/>
    <m/>
    <n v="0"/>
    <n v="5.99"/>
    <n v="14.98"/>
    <s v="Shopify Payments"/>
    <x v="1"/>
    <s v="refunded"/>
    <s v="Australia"/>
    <m/>
    <s v="Not Required"/>
    <s v="West Jeffreystad"/>
  </r>
  <r>
    <s v="#2204"/>
    <d v="2026-04-08T00:00:00"/>
    <s v="08/04/2026"/>
    <s v="Maria Patterson"/>
    <x v="0"/>
    <s v="maria.patterson62@icloud.com"/>
    <s v="Yoga Mat - Extra Thick  "/>
    <s v="Sports &amp; Outdoors"/>
    <s v="SP-YGM-EX"/>
    <n v="1"/>
    <n v="22.99"/>
    <s v="VIP15"/>
    <n v="3.45"/>
    <n v="5.99"/>
    <n v="25.53"/>
    <s v="Credit Card"/>
    <x v="3"/>
    <s v="cancelled"/>
    <s v="United States"/>
    <s v="Texas"/>
    <s v="Valid"/>
    <s v="West Ericport"/>
  </r>
  <r>
    <s v="#2212"/>
    <d v="2026-08-04T14:01:47"/>
    <d v="2026-08-04T14:01:47"/>
    <s v="  Anthony Patterson"/>
    <x v="0"/>
    <s v="anthony.patterson944@gmail.com"/>
    <s v="Scented Soy Candle - Vanilla"/>
    <s v="Home &amp; Kitchen"/>
    <s v="HK-CND-VAN"/>
    <n v="1"/>
    <n v="9.99"/>
    <s v="BFCM25"/>
    <n v="2.5"/>
    <n v="4.99"/>
    <n v="12.48"/>
    <s v="Shopify Payments"/>
    <x v="3"/>
    <s v="refunded"/>
    <s v="Pakistan"/>
    <m/>
    <s v="Not Required"/>
    <s v="Josephbury"/>
  </r>
  <r>
    <s v="#2331"/>
    <d v="2026-08-04T00:00:00"/>
    <s v="04-08-2026 13:55"/>
    <s v="Taylor Davis"/>
    <x v="0"/>
    <s v="taylor.davis403@outlook.com"/>
    <s v="Scented Soy Candle - Vanilla"/>
    <s v="Home &amp; Kitchen"/>
    <s v="HK-CND-VAN"/>
    <n v="2"/>
    <s v="$9.99"/>
    <s v="FREESHIP"/>
    <n v="0"/>
    <n v="0"/>
    <n v="19.98"/>
    <s v="PayPal"/>
    <x v="0"/>
    <s v="fulfilled"/>
    <s v="United States"/>
    <s v="Florida"/>
    <s v="Valid"/>
    <s v="East Rhonda"/>
  </r>
  <r>
    <s v="#2402"/>
    <d v="2026-08-04T14:05:27"/>
    <d v="2026-08-04T14:05:27"/>
    <s v="Dustin Mccoy"/>
    <x v="0"/>
    <s v="dustin.mccoy570@gmail.com"/>
    <s v="Running Shoes - Men's"/>
    <s v="Footwear"/>
    <s v="FTW-RUN-M"/>
    <n v="1"/>
    <n v="54.99"/>
    <m/>
    <n v="0"/>
    <n v="5.99"/>
    <n v="60.98"/>
    <s v="PayPal"/>
    <x v="0"/>
    <s v="fulfilled"/>
    <s v="Canada"/>
    <m/>
    <s v="Not Required"/>
    <s v="Lake Mariatown"/>
  </r>
  <r>
    <s v="#2415"/>
    <d v="2026-08-04T13:55:10"/>
    <d v="2026-08-04T13:55:10"/>
    <s v="Vincent Rosales"/>
    <x v="0"/>
    <s v="vincent.rosales30@icloud.com"/>
    <s v="Scented Soy Candle - Vanilla"/>
    <s v="Home &amp; Kitchen"/>
    <s v="HK-CND-VAN"/>
    <n v="2"/>
    <n v="9.99"/>
    <s v="FREESHIP"/>
    <n v="0"/>
    <n v="0"/>
    <n v="19.98"/>
    <s v="PayPal"/>
    <x v="0"/>
    <s v="pending"/>
    <s v="United States"/>
    <s v="Texas"/>
    <s v="Valid"/>
    <s v="Stephaniebury"/>
  </r>
  <r>
    <s v="#2436"/>
    <d v="2026-08-04T13:59:22"/>
    <d v="2026-08-04T13:59:22"/>
    <s v="David Fleming"/>
    <x v="0"/>
    <s v="david.fleming778@gmail.com"/>
    <s v="USB-C Fast Charger 20W"/>
    <s v="Electronics"/>
    <s v="ELC-CHG-20"/>
    <n v="1"/>
    <n v="15.49"/>
    <m/>
    <n v="0"/>
    <n v="4.99"/>
    <n v="20.48"/>
    <s v="PayPal"/>
    <x v="3"/>
    <s v="fulfilled"/>
    <s v="Australia"/>
    <m/>
    <s v="Not Required"/>
    <s v="Port Dustin"/>
  </r>
  <r>
    <s v="#2502"/>
    <d v="2026-08-04T00:00:00"/>
    <s v="04-08-2026 13:57"/>
    <s v="Barbara Brown"/>
    <x v="0"/>
    <s v="barbara.brown26@gmail.com"/>
    <s v="Slim Fit Denim Jeans"/>
    <s v="Apparel"/>
    <s v="JNS-BLU-32"/>
    <n v="1"/>
    <n v="39.99"/>
    <s v="VIP15"/>
    <n v="6"/>
    <n v="7.99"/>
    <n v="41.98"/>
    <s v="Google Pay"/>
    <x v="3"/>
    <s v="refunded"/>
    <s v="United States"/>
    <s v="California"/>
    <s v="Valid"/>
    <s v="North Benjamintown"/>
  </r>
  <r>
    <s v="#2545"/>
    <d v="2026-08-04T14:04:38"/>
    <d v="2026-08-04T14:04:38"/>
    <s v="Courtney Bullock"/>
    <x v="0"/>
    <s v="courtney.bullock860@outlook.com"/>
    <s v="Ceramic Coffee Mug Set (4pc)"/>
    <s v="Home &amp; Kitchen"/>
    <s v="HK-MUG-4PK"/>
    <n v="1"/>
    <n v="18.989999999999998"/>
    <s v="FREESHIP"/>
    <n v="0"/>
    <n v="0"/>
    <n v="18.989999999999998"/>
    <s v="Google Pay"/>
    <x v="3"/>
    <s v="fulfilled"/>
    <s v="United Kingdom"/>
    <m/>
    <s v="Not Required"/>
    <s v="South Savannahton"/>
  </r>
  <r>
    <s v="#2581"/>
    <d v="2026-08-04T14:04:33"/>
    <d v="2026-08-04T14:04:33"/>
    <s v="Lindsay Shaw"/>
    <x v="0"/>
    <s v="lindsay.shaw178@icloud.com"/>
    <s v="Leather Wallet - Brown"/>
    <s v="Accessories"/>
    <s v="ACC-WLT-BRN"/>
    <n v="1"/>
    <n v="19.989999999999998"/>
    <m/>
    <n v="0"/>
    <n v="4.99"/>
    <n v="24.98"/>
    <s v="Google Pay"/>
    <x v="0"/>
    <s v="refunded"/>
    <s v="United Kingdom"/>
    <m/>
    <s v="Not Required"/>
    <s v="Campbellmouth"/>
  </r>
  <r>
    <s v="#2603"/>
    <d v="2026-04-08T00:00:00"/>
    <s v="08/04/2026"/>
    <s v="Amanda Harris"/>
    <x v="1"/>
    <m/>
    <s v="Polarized Sunglasses"/>
    <s v="Accessories"/>
    <s v="ACC-SUN-01"/>
    <n v="1"/>
    <n v="16.989999999999998"/>
    <m/>
    <n v="0"/>
    <n v="7.99"/>
    <n v="24.98"/>
    <s v="Apple Pay"/>
    <x v="1"/>
    <s v="cancelled"/>
    <s v="United States"/>
    <s v="New York"/>
    <s v="Valid"/>
    <s v="Lake Steven"/>
  </r>
  <r>
    <s v="#2681"/>
    <d v="2026-08-04T00:00:00"/>
    <s v="Aug 04, 2026"/>
    <s v="Farmer, Bradley"/>
    <x v="0"/>
    <s v="bradley.farmer290@icloud.com"/>
    <s v="Running Shoes - Men's"/>
    <s v="Footwear"/>
    <s v="FTW-RUN-M"/>
    <n v="1"/>
    <n v="54.99"/>
    <m/>
    <n v="0"/>
    <n v="7.99"/>
    <n v="62.98"/>
    <s v="PayPal"/>
    <x v="3"/>
    <s v="fulfilled"/>
    <s v="United Kingdom"/>
    <m/>
    <s v="Not Required"/>
    <s v="Kimberlyview"/>
  </r>
  <r>
    <s v="#2704"/>
    <d v="2026-04-08T00:00:00"/>
    <s v="08/04/2026"/>
    <s v="Katie Coleman"/>
    <x v="0"/>
    <s v="katie.coleman262@outlook.com"/>
    <s v="Classic Cotton T-Shirt"/>
    <s v="Apparel"/>
    <s v="TSH-BLK-M"/>
    <n v="1"/>
    <n v="14.99"/>
    <s v="VIP15"/>
    <n v="2.25"/>
    <n v="5.99"/>
    <n v="18.73"/>
    <s v="Google Pay"/>
    <x v="0"/>
    <s v="fulfilled"/>
    <s v="Canada"/>
    <m/>
    <s v="Not Required"/>
    <s v="East Annaville"/>
  </r>
  <r>
    <s v="#2737"/>
    <d v="2026-08-04T14:06:48"/>
    <d v="2026-08-04T14:06:48"/>
    <s v="Rose English"/>
    <x v="0"/>
    <s v="rose.english118@icloud.com"/>
    <s v="Wireless Bluetooth Earbuds"/>
    <s v="Electronics"/>
    <s v="ELC-WBE-01"/>
    <n v="1"/>
    <n v="29.99"/>
    <m/>
    <n v="0"/>
    <n v="5.99"/>
    <s v="$35.98"/>
    <s v="Apple Pay"/>
    <x v="1"/>
    <s v="fulfilled"/>
    <s v="Germany"/>
    <m/>
    <s v="Not Required"/>
    <s v="East Courtneystad"/>
  </r>
  <r>
    <s v="#2751"/>
    <d v="2026-08-04T14:00:28"/>
    <d v="2026-08-04T14:00:28"/>
    <s v="Amanda Harris"/>
    <x v="0"/>
    <s v="amanda.harris197@gmail.com"/>
    <s v="Vitamin C Serum 30ml"/>
    <s v="Beauty"/>
    <s v="BTY-SRM-30"/>
    <n v="1"/>
    <n v="24.99"/>
    <m/>
    <n v="0"/>
    <n v="4.99"/>
    <n v="29.98"/>
    <s v="Credit Card"/>
    <x v="2"/>
    <s v="fulfilled"/>
    <s v="United States"/>
    <s v="AZ"/>
    <s v="Valid"/>
    <s v="West Melissafurt"/>
  </r>
  <r>
    <s v="#2792"/>
    <d v="2026-08-04T13:57:37"/>
    <d v="2026-08-04T13:57:37"/>
    <s v="Donald Davis"/>
    <x v="0"/>
    <s v="donald.davis404@icloud.com"/>
    <s v="Classic Cotton T-Shirt"/>
    <s v="Apparel"/>
    <s v="TSH-BLK-M"/>
    <n v="1"/>
    <n v="14.99"/>
    <s v="BFCM25"/>
    <n v="3.75"/>
    <n v="7.99"/>
    <n v="19.23"/>
    <s v="Shopify Payments"/>
    <x v="1"/>
    <s v="pending"/>
    <s v="Canada"/>
    <m/>
    <s v="Not Required"/>
    <s v="West Marcus"/>
  </r>
  <r>
    <s v="#2850"/>
    <d v="2026-08-04T00:00:00"/>
    <s v="2026-08-04"/>
    <s v="Houston, William"/>
    <x v="0"/>
    <s v="william.houston340@outlook.com"/>
    <s v="Facial Cleanser 200ml"/>
    <s v="Beauty"/>
    <s v="BTY-CLN-200"/>
    <n v="1"/>
    <s v="$13.49"/>
    <m/>
    <n v="0"/>
    <n v="5.99"/>
    <n v="19.48"/>
    <s v="Apple Pay"/>
    <x v="2"/>
    <s v="fulfilled"/>
    <s v="United States"/>
    <s v="Ohio"/>
    <s v="Valid"/>
    <s v="East Kimville"/>
  </r>
  <r>
    <s v="#2893"/>
    <d v="2026-08-04T13:57:11"/>
    <d v="2026-08-04T13:57:11"/>
    <s v="Darin Alvarez"/>
    <x v="0"/>
    <s v="darin.alvarez843@gmail.com"/>
    <s v="Classic Cotton T-Shirt"/>
    <s v="Apparel"/>
    <s v="TSH-BLK-M"/>
    <n v="4"/>
    <n v="14.99"/>
    <s v="SAVE20"/>
    <n v="11.99"/>
    <n v="7.99"/>
    <n v="55.96"/>
    <s v="PayPal"/>
    <x v="0"/>
    <s v="cancelled"/>
    <s v="Canada"/>
    <m/>
    <s v="Not Required"/>
    <s v="Lake William"/>
  </r>
  <r>
    <s v="#2917"/>
    <d v="2026-08-04T14:05:06"/>
    <d v="2026-08-04T14:05:06"/>
    <s v="Andrew Cross"/>
    <x v="0"/>
    <s v="andrew.cross512@yahoo.com"/>
    <s v="Scented Soy Candle - Vanilla  "/>
    <s v="Home &amp; Kitchen"/>
    <s v="HK-CND-VAN"/>
    <n v="2"/>
    <n v="9.99"/>
    <s v="VIP15"/>
    <n v="3"/>
    <n v="7.99"/>
    <n v="24.97"/>
    <s v="Google Pay"/>
    <x v="0"/>
    <s v="cancelled"/>
    <s v="United States"/>
    <s v="Arizona"/>
    <s v="Valid"/>
    <s v="West Robert"/>
  </r>
  <r>
    <s v="#2415"/>
    <d v="2026-08-04T13:55:10"/>
    <d v="2026-08-04T13:55:10"/>
    <s v="Vincent Rosales"/>
    <x v="0"/>
    <s v="vincent.rosales30@icloud.com"/>
    <s v="Scented Soy Candle - Vanilla"/>
    <s v="Home &amp; Kitchen"/>
    <s v="HK-CND-VAN"/>
    <n v="2"/>
    <s v="$9.99"/>
    <s v="FREESHIP"/>
    <n v="0"/>
    <n v="0"/>
    <n v="19.98"/>
    <s v="PayPal"/>
    <x v="0"/>
    <s v="pending"/>
    <s v="United States"/>
    <s v="Texas"/>
    <s v="Valid"/>
    <s v="Stephaniebury"/>
  </r>
  <r>
    <s v="#2751"/>
    <d v="2026-08-04T00:00:00"/>
    <s v="2026-08-04"/>
    <s v="Amanda Harris"/>
    <x v="1"/>
    <m/>
    <s v="Vitamin C Serum 30ml"/>
    <s v="Beauty"/>
    <s v="BTY-SRM-30"/>
    <n v="1"/>
    <s v="$24.99"/>
    <m/>
    <n v="0"/>
    <n v="4.99"/>
    <n v="29.98"/>
    <s v="Credit Card"/>
    <x v="2"/>
    <s v="fulfilled"/>
    <s v="United States"/>
    <s v="Arizona"/>
    <s v="Valid"/>
    <s v="West Melissafurt"/>
  </r>
  <r>
    <s v="#1719"/>
    <d v="2026-04-08T00:00:00"/>
    <s v="08/04/2026"/>
    <s v="GRACE RAY"/>
    <x v="0"/>
    <s v="grace.ray807@yahoo.com"/>
    <s v="Wireless Mouse"/>
    <s v="Electronics"/>
    <s v="ELC-MSE-WL"/>
    <n v="2"/>
    <n v="11.99"/>
    <m/>
    <n v="0"/>
    <n v="7.99"/>
    <n v="31.97"/>
    <s v="Apple Pay"/>
    <x v="2"/>
    <s v="cancelled"/>
    <s v="United Kingdom"/>
    <m/>
    <s v="Not Required"/>
    <s v="Lutzton"/>
  </r>
  <r>
    <s v="#2204"/>
    <d v="2026-08-04T00:00:00"/>
    <s v="Aug 04, 2026"/>
    <s v="Maria Patterson"/>
    <x v="0"/>
    <s v="maria.patterson62@icloud.com"/>
    <s v="Yoga Mat - Extra Thick"/>
    <s v="Sports &amp; Outdoors"/>
    <s v="SP-YGM-EX"/>
    <n v="1"/>
    <n v="22.99"/>
    <s v="VIP15"/>
    <n v="3.45"/>
    <n v="5.99"/>
    <n v="25.53"/>
    <s v="Credit Card"/>
    <x v="3"/>
    <s v="cancelled"/>
    <s v="United States"/>
    <s v="Texas"/>
    <s v="Valid"/>
    <s v="West Ericport"/>
  </r>
  <r>
    <s v="#1305"/>
    <d v="2026-08-04T14:04:15"/>
    <d v="2026-08-04T14:04:15"/>
    <s v="Amy Maldonado"/>
    <x v="0"/>
    <s v="amy.maldonado44@gmail.com"/>
    <s v="Polarized Sunglasses"/>
    <s v="Accessories"/>
    <s v="ACC-SUN-01"/>
    <n v="1"/>
    <n v="16.989999999999998"/>
    <m/>
    <n v="0"/>
    <n v="5.99"/>
    <n v="22.98"/>
    <s v="PayPal"/>
    <x v="0"/>
    <s v="fulfilled"/>
    <s v="Pakistan"/>
    <m/>
    <s v="Not Required"/>
    <s v="Matthewstad"/>
  </r>
  <r>
    <s v="#1781"/>
    <d v="2026-08-04T13:55:08"/>
    <d v="2026-08-04T13:55:08"/>
    <s v="  Sharon Brown"/>
    <x v="0"/>
    <s v="sharon.brown14@gmail.com"/>
    <s v="Running Shoes - Men's"/>
    <s v="Footwear"/>
    <s v="FTW-RUN-M"/>
    <n v="1"/>
    <n v="54.99"/>
    <m/>
    <n v="0"/>
    <n v="4.99"/>
    <n v="59.98"/>
    <s v="Shopify Payments"/>
    <x v="1"/>
    <s v="fulfilled"/>
    <s v="United States"/>
    <s v="Arizona"/>
    <s v="Valid"/>
    <s v="Clarkmouth"/>
  </r>
  <r>
    <s v="#2130"/>
    <d v="2026-04-08T00:00:00"/>
    <s v="08/04/2026"/>
    <s v="Jacqueline Graham"/>
    <x v="0"/>
    <s v="jacqueline.graham958@gmail.com"/>
    <s v="Phone Case - Clear"/>
    <s v="Electronics"/>
    <s v="ELC-CSE-CLR"/>
    <n v="1"/>
    <n v="8.99"/>
    <m/>
    <n v="0"/>
    <n v="5.99"/>
    <n v="749"/>
    <s v="Shopify Payments"/>
    <x v="1"/>
    <s v="refunded"/>
    <s v="Australia"/>
    <m/>
    <s v="Not Required"/>
    <s v="West Jeffreystad"/>
  </r>
  <r>
    <s v="#1866"/>
    <d v="2026-08-04T13:54:26"/>
    <d v="2026-08-04T13:54:26"/>
    <s v="Melissa Jones"/>
    <x v="0"/>
    <s v="melissa.jones297@yahoo.com"/>
    <s v="Ceramic Coffee Mug Set (4pc)"/>
    <s v="Home &amp; Kitchen"/>
    <s v="HK-MUG-4PK"/>
    <n v="1"/>
    <n v="18.989999999999998"/>
    <s v="FREESHIP"/>
    <n v="0"/>
    <n v="0"/>
    <n v="949.5"/>
    <s v="Credit Card"/>
    <x v="0"/>
    <s v="pending"/>
    <s v="United States"/>
    <s v="Florida"/>
    <s v="Valid"/>
    <s v="Kelseybury"/>
  </r>
  <r>
    <s v="#1859"/>
    <d v="2026-08-04T13:55:24"/>
    <d v="2026-08-04T13:55:24"/>
    <s v="Sarah Webb"/>
    <x v="0"/>
    <s v="sarah.webb997@outlook.com"/>
    <s v="Adjustable Dumbbell Set"/>
    <s v="Sports &amp; Outdoors"/>
    <s v="SP-DMB-ADJ"/>
    <n v="3"/>
    <n v="89.99"/>
    <s v="VIP15"/>
    <n v="40.5"/>
    <n v="0"/>
    <n v="229.47"/>
    <s v="PayPal"/>
    <x v="2"/>
    <s v="fulfilled"/>
    <s v="Germany"/>
    <m/>
    <s v="Not Required"/>
    <s v="North Ronald"/>
  </r>
  <r>
    <s v="#2545"/>
    <d v="2026-08-04T14:04:38"/>
    <d v="2026-08-04T14:04:38"/>
    <s v="Courtney Bullock"/>
    <x v="0"/>
    <s v="courtney.bullock860@outlook.com"/>
    <s v="Ceramic Coffee Mug Set (4pc)"/>
    <s v="Home &amp; Kitchen"/>
    <s v="HK-MUG-4PK"/>
    <n v="1"/>
    <n v="18.989999999999998"/>
    <s v="FREESHIP"/>
    <n v="0"/>
    <n v="0"/>
    <n v="18.989999999999998"/>
    <s v="Google Pay"/>
    <x v="3"/>
    <s v="fulfilled"/>
    <s v="United Kingdom"/>
    <m/>
    <s v="Not Required"/>
    <s v="South Savannahton"/>
  </r>
  <r>
    <s v="#2917"/>
    <d v="2026-04-08T00:00:00"/>
    <s v="08/04/2026"/>
    <s v="Andrew Cross"/>
    <x v="0"/>
    <s v="andrew.cross512@yahoo.com"/>
    <s v="Scented Soy Candle - Vanilla"/>
    <s v="Home &amp; Kitchen"/>
    <s v="HK-CND-VAN"/>
    <n v="2"/>
    <n v="9.99"/>
    <s v="VIP15"/>
    <n v="3"/>
    <n v="7.99"/>
    <n v="24.97"/>
    <s v="Google Pay"/>
    <x v="0"/>
    <s v="cancelled"/>
    <s v="United States"/>
    <s v="Arizona"/>
    <s v="Valid"/>
    <s v="West Robert"/>
  </r>
  <r>
    <s v="#1818"/>
    <d v="2026-08-04T13:59:54"/>
    <d v="2026-08-04T13:59:54"/>
    <s v="Amanda Harris"/>
    <x v="0"/>
    <s v="amanda.harris197@gmail.com"/>
    <s v="USB-C Fast Charger 20W"/>
    <s v="Electronics"/>
    <s v="ELC-CHG-20"/>
    <n v="1"/>
    <n v="15.49"/>
    <m/>
    <n v="0"/>
    <n v="5.99"/>
    <s v="$21.48"/>
    <s v="Google Pay"/>
    <x v="3"/>
    <s v="pending"/>
    <s v="United States"/>
    <s v="Washington"/>
    <s v="Valid"/>
    <s v="Richardsonburgh"/>
  </r>
  <r>
    <s v="#1948"/>
    <d v="2026-08-04T13:57:22"/>
    <d v="2026-08-04T13:57:22"/>
    <s v="Peter Alvarez"/>
    <x v="0"/>
    <s v="peter.alvarez465@yahoo.com"/>
    <s v="Wireless Mouse"/>
    <s v="Electronics"/>
    <s v="ELC-MSE-WL"/>
    <n v="1"/>
    <s v="$11.99"/>
    <s v="VIP15"/>
    <n v="1.8"/>
    <n v="5.99"/>
    <n v="16.18"/>
    <s v="PayPal"/>
    <x v="0"/>
    <s v="fulfilled"/>
    <s v="United States"/>
    <s v="Illinois"/>
    <s v="Valid"/>
    <s v="New Jeffreystad"/>
  </r>
  <r>
    <s v="#2704"/>
    <d v="2026-08-04T14:06:42"/>
    <d v="2026-08-04T14:06:42"/>
    <s v="Katie Coleman"/>
    <x v="0"/>
    <s v="katie.coleman262@outlook.com"/>
    <s v="Classic Cotton T-Shirt"/>
    <s v="Apparel"/>
    <s v="TSH-BLK-M"/>
    <n v="1"/>
    <n v="14.99"/>
    <s v="VIP15 "/>
    <n v="2.25"/>
    <n v="5.99"/>
    <n v="18.73"/>
    <s v="Google Pay"/>
    <x v="0"/>
    <s v="fulfilled"/>
    <s v="Canada"/>
    <m/>
    <s v="Not Required"/>
    <s v="East Annaville"/>
  </r>
  <r>
    <s v="#2040"/>
    <d v="2026-08-04T13:54:02"/>
    <d v="2026-08-04T13:54:02"/>
    <s v="Sean Frank"/>
    <x v="0"/>
    <s v="sean.frank587@icloud.com"/>
    <s v="Stainless Steel Water Bottle"/>
    <s v="Home &amp; Kitchen"/>
    <s v="HK-BTL-750"/>
    <n v="1"/>
    <n v="12.99"/>
    <s v="VIP15"/>
    <n v="1.95"/>
    <n v="7.99"/>
    <n v="19.03"/>
    <s v="PayPal"/>
    <x v="2"/>
    <s v="fulfilled"/>
    <s v="Australia"/>
    <m/>
    <s v="Not Required"/>
    <s v="Thompsonburgh"/>
  </r>
  <r>
    <s v="#2402"/>
    <d v="2026-08-04T14:05:27"/>
    <d v="2026-08-04T14:05:27"/>
    <s v="Dustin Mccoy"/>
    <x v="0"/>
    <s v="dustin.mccoy570@gmail.com"/>
    <s v="Running Shoes - Men's"/>
    <s v="Footwear"/>
    <s v="FTW-RUN-M"/>
    <n v="1"/>
    <n v="54.99"/>
    <m/>
    <n v="0"/>
    <n v="5.99"/>
    <n v="60.98"/>
    <s v="PayPal"/>
    <x v="0"/>
    <s v="fulfilled"/>
    <s v="Canada"/>
    <m/>
    <s v="Not Required"/>
    <s v="Lake Mariatown"/>
  </r>
  <r>
    <s v="#2681"/>
    <d v="2026-08-04T13:59:46"/>
    <d v="2026-08-04T13:59:46"/>
    <s v="Bradley Farmer"/>
    <x v="0"/>
    <s v="bradley.farmer290@icloud.com"/>
    <s v="Running Shoes - Men's"/>
    <s v="Footwear"/>
    <s v="FTW-RUN-M"/>
    <n v="1"/>
    <n v="54.99"/>
    <m/>
    <n v="0"/>
    <n v="7.99"/>
    <n v="62.98"/>
    <s v="PayPal"/>
    <x v="3"/>
    <s v="fulfilled"/>
    <s v="United Kingdom"/>
    <m/>
    <s v="Not Required"/>
    <s v="Kimberlyview"/>
  </r>
  <r>
    <s v="#2502"/>
    <d v="2026-08-04T13:57:49"/>
    <d v="2026-08-04T13:57:49"/>
    <s v="Barbara Brown"/>
    <x v="0"/>
    <s v="barbara.brown26@gmail.com"/>
    <s v="Slim Fit Denim Jeans"/>
    <s v="Apparel"/>
    <s v="JNS-BLU-32"/>
    <n v="1"/>
    <n v="39.99"/>
    <s v="VIP15"/>
    <n v="6"/>
    <n v="7.99"/>
    <n v="41.98"/>
    <s v="Google Pay"/>
    <x v="3"/>
    <s v="refunded"/>
    <s v="United States"/>
    <s v="California"/>
    <s v="Valid"/>
    <s v="North Benjamintown"/>
  </r>
  <r>
    <s v="#2436"/>
    <d v="2026-08-04T13:59:22"/>
    <d v="2026-08-04T13:59:22"/>
    <s v="David Fleming"/>
    <x v="0"/>
    <s v="david.fleming778@gmail.com"/>
    <s v="USB-C Fast Charger 20W"/>
    <s v="Electronics"/>
    <s v="ELC-CHG-20"/>
    <n v="1"/>
    <n v="15.49"/>
    <m/>
    <n v="0"/>
    <n v="4.99"/>
    <n v="20.48"/>
    <s v="PayPal"/>
    <x v="3"/>
    <s v="fulfilled"/>
    <s v="Australia"/>
    <m/>
    <s v="Not Required"/>
    <s v="Port Dustin"/>
  </r>
  <r>
    <s v="#1262"/>
    <d v="2026-08-04T14:04:08"/>
    <d v="2026-08-04T14:04:08"/>
    <s v="Mark Mata"/>
    <x v="0"/>
    <s v="mark.mata757@outlook.com"/>
    <s v="Facial Cleanser 200ml"/>
    <s v="Beauty"/>
    <s v="BTY-CLN-200"/>
    <n v="1"/>
    <n v="13.49"/>
    <m/>
    <s v="$0.00"/>
    <n v="7.99"/>
    <n v="21.48"/>
    <s v="Apple Pay"/>
    <x v="2"/>
    <s v="pending"/>
    <s v="United States"/>
    <s v="Washington"/>
    <s v="Valid"/>
    <s v="Davidburgh"/>
  </r>
  <r>
    <s v="#2792"/>
    <d v="2026-04-08T00:00:00"/>
    <s v="08/04/2026"/>
    <s v="Donald Davis"/>
    <x v="0"/>
    <s v="donald.davis404@icloud.com"/>
    <s v="Classic Cotton T-Shirt"/>
    <s v="Apparel"/>
    <s v="TSH-BLK-M"/>
    <n v="1"/>
    <n v="14.99"/>
    <s v="BFCM25"/>
    <n v="3.75"/>
    <n v="7.99"/>
    <n v="19.23"/>
    <s v="Shopify Payments"/>
    <x v="1"/>
    <s v="pending"/>
    <s v="Canada"/>
    <m/>
    <s v="Not Required"/>
    <s v="West Marcus"/>
  </r>
  <r>
    <s v="#2893"/>
    <d v="2026-08-04T13:57:11"/>
    <d v="2026-08-04T13:57:11"/>
    <s v="Darin Alvarez"/>
    <x v="0"/>
    <s v="darin.alvarez843@gmail.com"/>
    <s v="Classic Cotton T-Shirt"/>
    <s v="Apparel"/>
    <s v="TSH-BLK-M"/>
    <n v="4"/>
    <n v="14.99"/>
    <s v="SAVE20"/>
    <n v="11.99"/>
    <n v="7.99"/>
    <n v="55.96"/>
    <s v="PayPal"/>
    <x v="0"/>
    <s v="cancelled"/>
    <s v="Canada"/>
    <m/>
    <s v="Not Required"/>
    <s v="Lake William"/>
  </r>
  <r>
    <s v="#1027"/>
    <d v="2026-08-04T13:58:50"/>
    <d v="2026-08-04T13:58:50"/>
    <s v="Sandra Wilson"/>
    <x v="1"/>
    <m/>
    <s v="Vitamin C Serum 30ml"/>
    <s v="Beauty"/>
    <s v="BTY-SRM-30"/>
    <n v="1"/>
    <n v="24.99"/>
    <s v="VIP15"/>
    <n v="3.75"/>
    <n v="7.99"/>
    <n v="29.23"/>
    <s v="Apple Pay"/>
    <x v="0"/>
    <s v="pending"/>
    <s v="Canada"/>
    <m/>
    <s v="Not Required"/>
    <s v="Hollyport"/>
  </r>
  <r>
    <s v="#2581"/>
    <d v="2026-08-04T14:04:33"/>
    <d v="2026-08-04T14:04:33"/>
    <s v="Lindsay Shaw"/>
    <x v="0"/>
    <s v="lindsay.shaw178@icloud.com"/>
    <s v="Leather Wallet - Brown"/>
    <s v="Accessories"/>
    <s v="ACC-WLT-BRN"/>
    <n v="1"/>
    <n v="19.989999999999998"/>
    <m/>
    <n v="0"/>
    <n v="4.99"/>
    <n v="24.98"/>
    <s v="Google Pay"/>
    <x v="0"/>
    <s v="refunded"/>
    <s v="United Kingdom"/>
    <m/>
    <s v="Not Required"/>
    <s v="Campbellmouth"/>
  </r>
  <r>
    <s v="#1652"/>
    <d v="2026-08-04T14:02:11"/>
    <d v="2026-08-04T14:02:11"/>
    <s v="Sean Frank"/>
    <x v="0"/>
    <s v="sean.frank587@icloud.com"/>
    <s v="Kids Building Blocks Set"/>
    <s v="Toys"/>
    <s v="TOY-BLK-SET"/>
    <n v="2"/>
    <n v="27.99"/>
    <s v="WELCOME10"/>
    <n v="5.6"/>
    <n v="7.99"/>
    <n v="58.37"/>
    <s v="Credit Card"/>
    <x v="2"/>
    <s v="fulfilled"/>
    <s v="Australia"/>
    <m/>
    <s v="Not Required"/>
    <s v="Port Josephborough"/>
  </r>
  <r>
    <s v="#2603"/>
    <d v="2026-08-04T14:01:58"/>
    <d v="2026-08-04T14:01:58"/>
    <s v="Amanda Harris"/>
    <x v="0"/>
    <s v="amanda.harris197@gmail.com"/>
    <s v="Polarized Sunglasses"/>
    <s v="Accessories"/>
    <s v="ACC-SUN-01"/>
    <n v="1"/>
    <n v="16.989999999999998"/>
    <m/>
    <n v="0"/>
    <n v="7.99"/>
    <n v="24.98"/>
    <s v="Apple Pay"/>
    <x v="1"/>
    <s v="cancelled"/>
    <s v="United States"/>
    <s v="NY"/>
    <s v="Valid"/>
    <s v="Lake Steven"/>
  </r>
  <r>
    <s v="#2850"/>
    <d v="2026-08-04T00:00:00"/>
    <s v="Aug 04, 2026"/>
    <s v="William Houston"/>
    <x v="1"/>
    <m/>
    <s v="Facial Cleanser 200ml"/>
    <s v="Beauty"/>
    <s v="BTY-CLN-200"/>
    <n v="1"/>
    <n v="13.49"/>
    <m/>
    <n v="0"/>
    <n v="5.99"/>
    <n v="19.48"/>
    <s v="Apple Pay"/>
    <x v="2"/>
    <s v="fulfilled"/>
    <s v="United States"/>
    <s v="OH"/>
    <s v="Valid"/>
    <s v="East Kimville"/>
  </r>
  <r>
    <s v="#2212"/>
    <d v="2026-08-04T14:01:47"/>
    <d v="2026-08-04T14:01:47"/>
    <s v="Patterson, Anthony"/>
    <x v="0"/>
    <s v="anthony.patterson944@gmail.com"/>
    <s v="Scented Soy Candle - Vanilla"/>
    <s v="Home &amp; Kitchen"/>
    <s v="HK-CND-VAN"/>
    <n v="1"/>
    <n v="9.99"/>
    <s v="BFCM25"/>
    <n v="2.5"/>
    <n v="4.99"/>
    <n v="12.48"/>
    <s v="Shopify Payments"/>
    <x v="3"/>
    <s v="refunded"/>
    <s v="Pakistan"/>
    <m/>
    <s v="Not Required"/>
    <s v="Josephbury"/>
  </r>
  <r>
    <s v="#1003"/>
    <d v="2026-08-04T00:00:00"/>
    <s v="Aug 04, 2026"/>
    <s v="THOMAS ROJAS"/>
    <x v="0"/>
    <s v="thomas.rojas667@icloud.com"/>
    <s v="Slim Fit Denim Jeans"/>
    <s v="Apparel"/>
    <s v="JNS-BLU-32"/>
    <n v="1"/>
    <n v="39.99"/>
    <m/>
    <n v="0"/>
    <n v="5.99"/>
    <n v="45.98"/>
    <s v="Credit Card"/>
    <x v="0"/>
    <s v="fulfilled"/>
    <s v="United States"/>
    <s v="North Carolina"/>
    <s v="Valid"/>
    <s v="West Cynthialand"/>
  </r>
  <r>
    <s v="#2331"/>
    <d v="2026-08-04T13:55:08"/>
    <d v="2026-08-04T13:55:08"/>
    <s v="Taylor Davis"/>
    <x v="0"/>
    <s v="taylor.davis403@outlook.com"/>
    <s v="Scented Soy Candle - Vanilla"/>
    <s v="Home &amp; Kitchen"/>
    <s v="HK-CND-VAN"/>
    <n v="2"/>
    <n v="9.99"/>
    <s v="FREESHIP"/>
    <n v="0"/>
    <n v="0"/>
    <n v="19.98"/>
    <s v="PayPal"/>
    <x v="0"/>
    <s v="fulfilled"/>
    <s v="United States"/>
    <s v="Florida"/>
    <s v="Valid"/>
    <s v="East Rhonda"/>
  </r>
  <r>
    <s v="#1172"/>
    <d v="2026-08-04T14:01:00"/>
    <d v="2026-08-04T14:01:00"/>
    <s v="TINA SINGH"/>
    <x v="0"/>
    <s v="tina.singh98@icloud.com"/>
    <s v="Leather Wallet - Brown"/>
    <s v="Accessories"/>
    <s v="ACC-WLT-BRN"/>
    <n v="1"/>
    <n v="19.989999999999998"/>
    <m/>
    <n v="0"/>
    <n v="5.99"/>
    <n v="25.98"/>
    <s v="Credit Card"/>
    <x v="0"/>
    <s v="fulfilled"/>
    <s v="United States"/>
    <s v="Washington"/>
    <s v="Valid"/>
    <s v="East Heathertown"/>
  </r>
  <r>
    <s v="#2737"/>
    <d v="2026-08-04T14:06:48"/>
    <d v="2026-08-04T14:06:48"/>
    <s v="Rose English"/>
    <x v="0"/>
    <s v="rose.english118@icloud.com"/>
    <s v="Wireless Bluetooth Earbuds"/>
    <s v="Electronics"/>
    <s v="ELC-WBE-01"/>
    <n v="1"/>
    <s v="$29.99"/>
    <m/>
    <n v="0"/>
    <n v="5.99"/>
    <n v="35.979999999999997"/>
    <s v="Apple Pay"/>
    <x v="1"/>
    <s v="fulfilled"/>
    <s v="Germany"/>
    <m/>
    <s v="Not Required"/>
    <s v="East Courtneystad"/>
  </r>
  <r>
    <s v="#1798"/>
    <d v="2026-04-08T00:00:00"/>
    <s v="08/04/2026"/>
    <s v="TINA SINGH"/>
    <x v="1"/>
    <m/>
    <s v="Adjustable Dumbbell Set"/>
    <s v="Sports &amp; Outdoors"/>
    <s v="SP-DMB-ADJ"/>
    <n v="2"/>
    <n v="89.99"/>
    <m/>
    <n v="0"/>
    <n v="0"/>
    <n v="179.98"/>
    <s v="Google Pay"/>
    <x v="1"/>
    <s v="pending"/>
    <s v="United States"/>
    <s v="Georgia"/>
    <s v="Valid"/>
    <s v="North Shannon"/>
  </r>
  <r>
    <s v="#1963"/>
    <d v="2026-08-04T13:58:20"/>
    <d v="2026-08-04T13:58:20"/>
    <s v="Sean Frank"/>
    <x v="0"/>
    <s v="sean.frank587@icloud.com"/>
    <s v="Yoga Mat - Extra Thick"/>
    <s v="Sports &amp; Outdoors"/>
    <s v="SP-YGM-EX"/>
    <n v="1"/>
    <n v="22.99"/>
    <s v="VIP15"/>
    <n v="3.45"/>
    <n v="7.99"/>
    <n v="27.53"/>
    <s v="Credit Card"/>
    <x v="0"/>
    <s v="fulfilled"/>
    <s v="Australia"/>
    <m/>
    <s v="Not Required"/>
    <s v="New Bruce"/>
  </r>
  <r>
    <s v="#1260"/>
    <d v="2026-08-04T14:03:58"/>
    <d v="2026-08-04T14:03:58"/>
    <s v="Morgan Brown"/>
    <x v="0"/>
    <s v="morgan.brown933@gmail.com"/>
    <s v="Wireless Bluetooth Earbuds"/>
    <s v="Electronics"/>
    <s v="ELC-WBE-01"/>
    <n v="1"/>
    <n v="29.99"/>
    <s v="FREESHIP"/>
    <n v="0"/>
    <n v="0"/>
    <n v="29.99"/>
    <s v="Apple Pay"/>
    <x v="0"/>
    <s v="pending"/>
    <s v="United States"/>
    <s v="Florida"/>
    <s v="Valid"/>
    <s v="Austinbury"/>
  </r>
  <r>
    <s v="#1001"/>
    <d v="2026-08-04T13:55:58"/>
    <d v="2026-08-04T13:55:58"/>
    <s v="Glenn Mcmahon"/>
    <x v="0"/>
    <s v="glenn.mcmahon733@yahoo.com"/>
    <s v="Stainless Steel Water Bottle  "/>
    <s v="Home &amp; Kitchen"/>
    <s v="HK-BTL-750"/>
    <n v="1"/>
    <n v="12.99"/>
    <s v="SAVE20"/>
    <s v="$2.60"/>
    <n v="5.99"/>
    <n v="16.38"/>
    <s v="Google Pay"/>
    <x v="0"/>
    <s v="pending"/>
    <s v="United States"/>
    <s v="Georgia"/>
    <s v="Valid"/>
    <s v="Jamesfurt"/>
  </r>
  <r>
    <s v="#1002"/>
    <d v="2026-08-04T14:00:14"/>
    <d v="2026-08-04T14:00:14"/>
    <s v="Miranda Gray"/>
    <x v="0"/>
    <s v="miranda.gray649@yahoo.com"/>
    <s v="Portable Power Bank 10000mAh"/>
    <s v="Electronics"/>
    <s v="ELC-PWB-10K"/>
    <n v="1"/>
    <n v="21.99"/>
    <s v="FREESHIP"/>
    <n v="0"/>
    <n v="0"/>
    <n v="21.99"/>
    <s v="Shopify Payments"/>
    <x v="2"/>
    <s v="refunded"/>
    <s v="Pakistan"/>
    <m/>
    <s v="Not Required"/>
    <s v="Port Davidshire"/>
  </r>
  <r>
    <s v="#1004"/>
    <d v="2026-08-04T14:06:42"/>
    <d v="2026-08-04T14:06:42"/>
    <s v="Robyn Hughes"/>
    <x v="0"/>
    <s v="robyn.hughes771@gmail.com"/>
    <s v="Scented Soy Candle - Vanilla"/>
    <s v="Home &amp; Kitchen"/>
    <s v="HK-CND-VAN"/>
    <n v="1"/>
    <n v="9.99"/>
    <s v="FREESHIP"/>
    <n v="0"/>
    <n v="0"/>
    <n v="9.99"/>
    <s v="Google Pay"/>
    <x v="2"/>
    <s v="fulfilled"/>
    <s v="United States"/>
    <s v="New York"/>
    <s v="Valid"/>
    <s v="New Debra"/>
  </r>
  <r>
    <s v="#1005"/>
    <d v="2026-08-04T13:53:46"/>
    <d v="2026-08-04T13:53:46"/>
    <s v="Sharon Brown"/>
    <x v="0"/>
    <s v="sharon.brown14@gmail.com"/>
    <s v="Classic Cotton T-Shirt"/>
    <s v="Apparel"/>
    <s v="TSH-BLK-L"/>
    <n v="1"/>
    <n v="14.99"/>
    <s v="WELCOME10"/>
    <n v="1.5"/>
    <n v="5.99"/>
    <n v="19.48"/>
    <s v="Apple Pay"/>
    <x v="0"/>
    <s v="fulfilled"/>
    <s v="United States"/>
    <s v="Illinois"/>
    <s v="Valid"/>
    <s v="Lake Angel"/>
  </r>
  <r>
    <s v="#1006"/>
    <d v="2026-08-04T14:00:26"/>
    <d v="2026-08-04T14:00:26"/>
    <s v="Joshua Anderson"/>
    <x v="0"/>
    <s v="joshua.anderson662@gmail.com"/>
    <s v="Scented Soy Candle - Vanilla"/>
    <s v="Home &amp; Kitchen"/>
    <s v="HK-CND-VAN"/>
    <n v="2"/>
    <n v="9.99"/>
    <s v="WELCOME10"/>
    <n v="2"/>
    <n v="4.99"/>
    <n v="22.97"/>
    <s v="PayPal"/>
    <x v="2"/>
    <s v="fulfilled"/>
    <s v="Canada"/>
    <m/>
    <s v="Not Required"/>
    <s v="Joshuastad"/>
  </r>
  <r>
    <s v="#1007"/>
    <d v="2026-08-04T14:05:52"/>
    <d v="2026-08-04T14:05:52"/>
    <s v="Maria Leon"/>
    <x v="0"/>
    <s v="maria.leon163@outlook.com"/>
    <s v="Adjustable Dumbbell Set"/>
    <s v="Sports &amp; Outdoors"/>
    <s v="SP-DMB-ADJ"/>
    <n v="1"/>
    <n v="89.99"/>
    <m/>
    <n v="0"/>
    <n v="0"/>
    <n v="89.99"/>
    <s v="Apple Pay"/>
    <x v="0"/>
    <s v="refunded"/>
    <s v="Canada"/>
    <m/>
    <s v="Not Required"/>
    <s v="North Rebeccaland"/>
  </r>
  <r>
    <s v="#1008"/>
    <d v="2026-08-04T13:55:20"/>
    <d v="2026-08-04T13:55:20"/>
    <s v="austin norris"/>
    <x v="0"/>
    <s v="austin.norris15@gmail.com"/>
    <s v="Running Shoes - Women's"/>
    <s v="Footwear"/>
    <s v="FTW-RUN-W"/>
    <n v="1"/>
    <n v="54.99"/>
    <m/>
    <n v="0"/>
    <n v="4.99"/>
    <n v="59.98"/>
    <s v="Credit Card"/>
    <x v="3"/>
    <s v="fulfilled"/>
    <s v="United States"/>
    <s v="Florida"/>
    <s v="Valid"/>
    <s v="South Kaitlyn"/>
  </r>
  <r>
    <s v="#1009"/>
    <d v="2026-08-04T14:06:48"/>
    <d v="2026-08-04T14:06:48"/>
    <s v="Jennifer Burke"/>
    <x v="0"/>
    <s v="jennifer.burke472@icloud.com"/>
    <s v="Running Shoes - Women's  "/>
    <s v="Footwear"/>
    <s v="FTW-RUN-W"/>
    <n v="3"/>
    <n v="54.99"/>
    <s v="SAVE20"/>
    <n v="32.99"/>
    <n v="0"/>
    <s v="$131.98"/>
    <s v="Google Pay"/>
    <x v="0"/>
    <s v="cancelled"/>
    <s v="Pakistan"/>
    <m/>
    <s v="Not Required"/>
    <s v="Reneemouth"/>
  </r>
  <r>
    <s v="#1010"/>
    <d v="2026-08-04T00:00:00"/>
    <s v="04-08-2026 14:06"/>
    <s v="Robert Miller"/>
    <x v="0"/>
    <s v="robert.miller69@yahoo.com"/>
    <s v="Leather Wallet - Brown"/>
    <s v="Accessories"/>
    <s v="ACC-WLT-BRN"/>
    <n v="1"/>
    <n v="19.989999999999998"/>
    <s v="WELCOME10"/>
    <n v="2"/>
    <n v="4.99"/>
    <n v="22.98"/>
    <s v="PayPal"/>
    <x v="0"/>
    <s v="refunded"/>
    <s v="Australia"/>
    <m/>
    <s v="Not Required"/>
    <s v="Ortizview"/>
  </r>
  <r>
    <s v="#1011"/>
    <d v="2026-08-04T14:02:04"/>
    <d v="2026-08-04T14:02:04"/>
    <s v="Patricia Townsend"/>
    <x v="1"/>
    <m/>
    <s v="Yoga Mat - Extra Thick"/>
    <s v="Sports &amp; Outdoors"/>
    <s v="SP-YGM-EX"/>
    <n v="1"/>
    <n v="22.99"/>
    <m/>
    <n v="0"/>
    <n v="7.99"/>
    <n v="30.98"/>
    <s v="Shopify Payments"/>
    <x v="1"/>
    <s v="fulfilled"/>
    <s v="United States"/>
    <s v="Ohio"/>
    <s v="Valid"/>
    <s v="West Stephentown"/>
  </r>
  <r>
    <s v="#1012"/>
    <d v="2026-08-04T13:54:35"/>
    <d v="2026-08-04T13:54:35"/>
    <s v="Karen Jones"/>
    <x v="0"/>
    <s v="karen.jones287@icloud.com"/>
    <s v="Stainless Steel Water Bottle"/>
    <s v="Home &amp; Kitchen"/>
    <s v="HK-BTL-750"/>
    <n v="1"/>
    <n v="12.99"/>
    <s v="BFCM25"/>
    <n v="3.25"/>
    <n v="4.99"/>
    <s v="$14.73"/>
    <s v="Shopify Payments"/>
    <x v="0"/>
    <s v="refunded"/>
    <s v="Australia"/>
    <m/>
    <s v="Not Required"/>
    <s v="South Joseph"/>
  </r>
  <r>
    <s v="#1013"/>
    <d v="2026-08-04T14:02:41"/>
    <d v="2026-08-04T14:02:41"/>
    <s v="Anthony Patterson"/>
    <x v="0"/>
    <s v="anthony.patterson944@gmail.com"/>
    <s v="Resistance Bands Set"/>
    <s v="Sports &amp; Outdoors"/>
    <s v="SP-RBS-SET"/>
    <n v="1"/>
    <n v="13.99"/>
    <s v="SAVE20"/>
    <n v="2.8"/>
    <n v="5.99"/>
    <n v="17.18"/>
    <s v="Apple Pay"/>
    <x v="3"/>
    <s v="cancelled"/>
    <s v="Pakistan"/>
    <m/>
    <s v="Not Required"/>
    <s v="West Denisemouth"/>
  </r>
  <r>
    <s v="#1014"/>
    <d v="2026-08-04T14:02:11"/>
    <d v="2026-08-04T14:02:11"/>
    <s v="Frederick Bean"/>
    <x v="0"/>
    <s v="frederick.bean141@outlook.com"/>
    <s v="Polarized Sunglasses"/>
    <s v="Accessories"/>
    <s v="ACC-SUN-01"/>
    <n v="1"/>
    <n v="16.989999999999998"/>
    <m/>
    <n v="0"/>
    <n v="5.99"/>
    <n v="22.98"/>
    <s v="Credit Card"/>
    <x v="0"/>
    <s v="fulfilled"/>
    <s v="United States"/>
    <s v="Florida"/>
    <s v="Valid"/>
    <s v="Kimberlychester"/>
  </r>
  <r>
    <s v="#1015"/>
    <d v="2026-08-04T14:08:21"/>
    <d v="2026-08-04T14:08:21"/>
    <s v="Linda Byrd"/>
    <x v="0"/>
    <s v="linda.byrd87@outlook.com"/>
    <s v="Yoga Mat - Extra Thick"/>
    <s v="Sports &amp; Outdoors"/>
    <s v="SP-YGM-EX"/>
    <n v="1"/>
    <n v="22.99"/>
    <s v="SAVE20"/>
    <n v="4.5999999999999996"/>
    <n v="4.99"/>
    <n v="23.38"/>
    <s v="Google Pay"/>
    <x v="1"/>
    <s v="fulfilled"/>
    <s v="United States"/>
    <s v="AZ"/>
    <s v="Valid"/>
    <s v="Deanstad"/>
  </r>
  <r>
    <s v="#1016"/>
    <d v="2026-04-08T00:00:00"/>
    <s v="08/04/2026"/>
    <s v="Rachel Jimenez"/>
    <x v="0"/>
    <s v="rachel.jimenez326@outlook.com"/>
    <s v="Adjustable Dumbbell Set"/>
    <s v="Sports &amp; Outdoors"/>
    <s v="SP-DMB-ADJ"/>
    <n v="1"/>
    <n v="89.99"/>
    <m/>
    <n v="0"/>
    <n v="0"/>
    <n v="89.99"/>
    <s v="Google Pay"/>
    <x v="1"/>
    <s v="fulfilled"/>
    <s v="United States"/>
    <s v="Texas"/>
    <s v="Valid"/>
    <s v="Larsonchester"/>
  </r>
  <r>
    <s v="#1017"/>
    <d v="2026-08-04T00:00:00"/>
    <s v="2026-08-04"/>
    <s v="John Jacobs"/>
    <x v="0"/>
    <s v="john.jacobs137@yahoo.com"/>
    <s v="Hooded Sweatshirt"/>
    <s v="Apparel"/>
    <s v="APR-HOD-GRY"/>
    <n v="2"/>
    <n v="34.99"/>
    <m/>
    <n v="0"/>
    <n v="4.99"/>
    <n v="74.97"/>
    <s v="Shopify Payments"/>
    <x v="0"/>
    <s v="fulfilled"/>
    <s v="Australia"/>
    <m/>
    <s v="Not Required"/>
    <s v="South Beverlyton"/>
  </r>
  <r>
    <s v="#1018"/>
    <d v="2026-08-04T00:00:00"/>
    <s v="2026-08-04"/>
    <s v="Mary Phillips"/>
    <x v="0"/>
    <s v="mary.phillips944@yahoo.com"/>
    <s v="Wireless Bluetooth Earbuds"/>
    <s v="Electronics"/>
    <s v="ELC-WBE-01"/>
    <n v="1"/>
    <n v="29.99"/>
    <m/>
    <n v="0"/>
    <n v="7.99"/>
    <n v="37.979999999999997"/>
    <s v="PayPal"/>
    <x v="1"/>
    <s v="fulfilled"/>
    <s v="United States"/>
    <s v="AZ"/>
    <s v="Valid"/>
    <s v="Guerraton"/>
  </r>
  <r>
    <s v="#1019"/>
    <d v="2026-08-04T13:53:36"/>
    <d v="2026-08-04T13:53:36"/>
    <s v="Alison Schroeder"/>
    <x v="0"/>
    <s v="alison.schroeder943@icloud.com"/>
    <s v="Wireless Bluetooth Earbuds"/>
    <s v="Electronics"/>
    <s v="ELC-WBE-01"/>
    <n v="1"/>
    <n v="29.99"/>
    <s v="FREESHIP"/>
    <n v="0"/>
    <n v="0"/>
    <n v="29.99"/>
    <s v="PayPal"/>
    <x v="0"/>
    <s v="fulfilled"/>
    <s v="Australia"/>
    <m/>
    <s v="Not Required"/>
    <s v="West Jonathanview"/>
  </r>
  <r>
    <s v="#1020"/>
    <d v="2026-08-04T14:06:02"/>
    <d v="2026-08-04T14:06:02"/>
    <s v="John Carson"/>
    <x v="0"/>
    <s v="john.carson203@yahoo.com"/>
    <s v="Wireless Bluetooth Earbuds"/>
    <s v="Electronics"/>
    <s v="ELC-WBE-01"/>
    <n v="1"/>
    <n v="29.99"/>
    <s v="SAVE20"/>
    <n v="6"/>
    <n v="5.99"/>
    <n v="29.98"/>
    <s v="Shopify Payments"/>
    <x v="1"/>
    <s v="fulfilled"/>
    <s v="United States"/>
    <s v="Ohio"/>
    <s v="Valid"/>
    <s v="Nathanieltown"/>
  </r>
  <r>
    <s v="#1021"/>
    <d v="2026-08-04T13:55:15"/>
    <d v="2026-08-04T13:55:15"/>
    <s v="Tyler Williams"/>
    <x v="0"/>
    <s v="tyler.williams938@outlook.com"/>
    <s v="Backpack - 25L"/>
    <s v="Accessories"/>
    <s v="ACC-BPK-25L"/>
    <n v="1"/>
    <s v="$32.99"/>
    <s v="BFCM25"/>
    <n v="8.25"/>
    <n v="4.99"/>
    <n v="29.73"/>
    <s v="PayPal"/>
    <x v="3"/>
    <s v="refunded"/>
    <s v="Australia"/>
    <m/>
    <s v="Not Required"/>
    <s v="North Michellestad"/>
  </r>
  <r>
    <s v="#1022"/>
    <d v="2026-08-04T00:00:00"/>
    <s v="Aug 04, 2026"/>
    <s v="Rebecca Watts"/>
    <x v="0"/>
    <s v="rebecca.watts779@gmail.com"/>
    <s v="Running Shoes - Women's"/>
    <s v="Footwear"/>
    <s v="FTW-RUN-W"/>
    <n v="2"/>
    <n v="54.99"/>
    <m/>
    <n v="0"/>
    <n v="0"/>
    <n v="109.98"/>
    <s v="Shopify Payments"/>
    <x v="3"/>
    <s v="fulfilled"/>
    <s v="United States"/>
    <s v="Illinois"/>
    <s v="Valid"/>
    <s v="Tammystad"/>
  </r>
  <r>
    <s v="#1023"/>
    <d v="2026-08-04T13:57:14"/>
    <d v="2026-08-04T13:57:14"/>
    <s v="Angela Carr"/>
    <x v="0"/>
    <s v="angela.carr488@yahoo.com"/>
    <s v="Polarized Sunglasses"/>
    <s v="Accessories"/>
    <s v="ACC-SUN-01"/>
    <n v="1"/>
    <n v="16.989999999999998"/>
    <s v="BFCM25"/>
    <n v="4.25"/>
    <n v="7.99"/>
    <n v="20.73"/>
    <s v="Shopify Payments"/>
    <x v="1"/>
    <s v="pending"/>
    <s v="United States"/>
    <s v="Canada"/>
    <s v="Valid"/>
    <s v="Hansenberg"/>
  </r>
  <r>
    <s v="#1024"/>
    <d v="2026-08-04T14:04:07"/>
    <d v="2026-08-04T14:04:07"/>
    <s v="Michelle Bell"/>
    <x v="0"/>
    <s v="michelle.bell28@yahoo.com"/>
    <s v="Wireless Mouse"/>
    <s v="Electronics"/>
    <s v="ELC-MSE-WL"/>
    <n v="1"/>
    <n v="11.99"/>
    <m/>
    <s v="$0.00"/>
    <n v="4.99"/>
    <s v="$16.98"/>
    <s v="Google Pay"/>
    <x v="0"/>
    <s v="refunded"/>
    <s v="United States"/>
    <s v="New York"/>
    <s v="Valid"/>
    <s v="Michaelmouth"/>
  </r>
  <r>
    <s v="#1025"/>
    <d v="2026-08-04T00:00:00"/>
    <s v="04-08-2026 14:06"/>
    <s v="Amanda Robinson"/>
    <x v="0"/>
    <s v="amanda.robinson263@icloud.com"/>
    <s v="Facial Cleanser 200ml"/>
    <s v="Beauty"/>
    <s v="BTY-CLN-200"/>
    <n v="2"/>
    <n v="13.49"/>
    <s v="WELCOME10"/>
    <n v="2.7"/>
    <n v="5.99"/>
    <n v="30.27"/>
    <s v="Google Pay"/>
    <x v="2"/>
    <s v="pending"/>
    <s v="United States"/>
    <s v="Georgia"/>
    <s v="Valid"/>
    <s v="Martineztown"/>
  </r>
  <r>
    <s v="#1026"/>
    <d v="2026-08-04T14:04:49"/>
    <d v="2026-08-04T14:04:49"/>
    <s v="Amanda Rodriguez"/>
    <x v="0"/>
    <s v="amanda.rodriguez770@yahoo.com"/>
    <s v="Adjustable Dumbbell Set"/>
    <s v="Sports &amp; Outdoors"/>
    <s v="SP-DMB-ADJ"/>
    <n v="1"/>
    <n v="89.99"/>
    <m/>
    <n v="0"/>
    <n v="0"/>
    <n v="89.99"/>
    <s v="PayPal"/>
    <x v="1"/>
    <s v="fulfilled"/>
    <s v="United States"/>
    <s v="North Carolina"/>
    <s v="Valid"/>
    <s v="Port Brittneyview"/>
  </r>
  <r>
    <s v="#1028"/>
    <d v="2026-08-04T13:53:56"/>
    <d v="2026-08-04T13:53:56"/>
    <s v="Andrea Martinez"/>
    <x v="0"/>
    <s v="andrea.martinez756@yahoo.com"/>
    <s v="Scented Soy Candle - Vanilla"/>
    <s v="Home &amp; Kitchen"/>
    <s v="HK-CND-VAN"/>
    <n v="1"/>
    <s v="$9.99"/>
    <m/>
    <n v="0"/>
    <n v="7.99"/>
    <n v="17.98"/>
    <s v="Shopify Payments"/>
    <x v="1"/>
    <s v="fulfilled"/>
    <s v="Australia"/>
    <m/>
    <s v="Not Required"/>
    <s v="East Sarah"/>
  </r>
  <r>
    <s v="#1029"/>
    <d v="2026-08-04T13:54:55"/>
    <d v="2026-08-04T13:54:55"/>
    <s v="Michelle Bell"/>
    <x v="0"/>
    <s v="michelle.bell28@yahoo.com"/>
    <s v="Facial Cleanser 200ml"/>
    <s v="Beauty"/>
    <s v="BTY-CLN-200"/>
    <n v="1"/>
    <n v="13.49"/>
    <s v="FREESHIP"/>
    <n v="0"/>
    <n v="0"/>
    <n v="13.49"/>
    <s v="Credit Card"/>
    <x v="0"/>
    <s v="refunded"/>
    <s v="United States"/>
    <s v="Florida"/>
    <s v="Valid"/>
    <s v="Terrymouth"/>
  </r>
  <r>
    <s v="#1030"/>
    <d v="2026-08-04T14:03:57"/>
    <d v="2026-08-04T14:03:57"/>
    <s v="Kenneth Davis"/>
    <x v="0"/>
    <s v="kenneth.davis106@yahoo.com"/>
    <s v="Backpack - 25L"/>
    <s v="Accessories"/>
    <s v="ACC-BPK-25L"/>
    <n v="2"/>
    <n v="32.99"/>
    <m/>
    <n v="0"/>
    <n v="5.99"/>
    <n v="71.97"/>
    <s v="Shopify Payments"/>
    <x v="0"/>
    <s v="fulfilled"/>
    <s v="United States"/>
    <s v="Florida"/>
    <s v="Valid"/>
    <s v="Millerside"/>
  </r>
  <r>
    <s v="#1031"/>
    <d v="2026-08-04T00:00:00"/>
    <s v="Aug 04, 2026"/>
    <s v="Tyler Williams"/>
    <x v="0"/>
    <s v="tyler.williams938@outlook.com"/>
    <s v="Wireless Mouse"/>
    <s v="Electronics"/>
    <s v="ELC-MSE-WL"/>
    <n v="1"/>
    <n v="11.99"/>
    <s v="SAVE20"/>
    <n v="2.4"/>
    <n v="7.99"/>
    <n v="17.579999999999998"/>
    <s v="Credit Card"/>
    <x v="2"/>
    <s v="pending"/>
    <s v="Australia"/>
    <m/>
    <s v="Not Required"/>
    <s v="Donaldshire"/>
  </r>
  <r>
    <s v="#1032"/>
    <d v="2026-08-04T14:08:18"/>
    <d v="2026-08-04T14:08:18"/>
    <s v="Joe Taylor"/>
    <x v="0"/>
    <s v="joe.taylor714@yahoo.com"/>
    <s v="Throw Blanket - Fleece"/>
    <s v="Home &amp; Kitchen"/>
    <s v="HK-BLK-FLC"/>
    <n v="2"/>
    <n v="17.989999999999998"/>
    <m/>
    <n v="0"/>
    <n v="4.99"/>
    <n v="40.97"/>
    <s v="PayPal"/>
    <x v="3"/>
    <s v="fulfilled"/>
    <s v="Germany"/>
    <m/>
    <s v="Not Required"/>
    <s v="New Marciatown"/>
  </r>
  <r>
    <s v="#1033"/>
    <d v="2026-08-04T14:02:34"/>
    <d v="2026-08-04T14:02:34"/>
    <s v="Anthony Marshall"/>
    <x v="0"/>
    <s v="anthony.marshall823@yahoo.com"/>
    <s v="Vitamin C Serum 30ml"/>
    <s v="Beauty"/>
    <s v="BTY-SRM-30"/>
    <n v="1"/>
    <n v="24.99"/>
    <s v="VIP15"/>
    <n v="3.75"/>
    <n v="5.99"/>
    <n v="27.23"/>
    <s v="Google Pay"/>
    <x v="0"/>
    <s v="fulfilled"/>
    <s v="United States"/>
    <s v="Ohio"/>
    <s v="Valid"/>
    <s v="Timothyton"/>
  </r>
  <r>
    <s v="#1034"/>
    <d v="2026-08-04T13:55:46"/>
    <d v="2026-08-04T13:55:46"/>
    <s v="Amy Barnett"/>
    <x v="1"/>
    <m/>
    <s v="Resistance Bands Set"/>
    <s v="Sports &amp; Outdoors"/>
    <s v="SP-RBS-SET"/>
    <n v="2"/>
    <n v="13.99"/>
    <s v="WELCOME10"/>
    <n v="2.8"/>
    <n v="4.99"/>
    <n v="30.17"/>
    <s v="Shopify Payments"/>
    <x v="0"/>
    <s v="fulfilled"/>
    <s v="Pakistan"/>
    <m/>
    <s v="Not Required"/>
    <s v="Joshuaborough"/>
  </r>
  <r>
    <s v="#1035"/>
    <d v="2026-08-04T13:59:37"/>
    <d v="2026-08-04T13:59:37"/>
    <s v="Glenn Smith"/>
    <x v="0"/>
    <s v="glenn.smith305@gmail.com"/>
    <s v="Kids Building Blocks Set"/>
    <s v="Toys"/>
    <s v="TOY-BLK-SET"/>
    <n v="2"/>
    <n v="27.99"/>
    <m/>
    <n v="0"/>
    <n v="5.99"/>
    <n v="61.97"/>
    <s v="PayPal"/>
    <x v="0"/>
    <s v="fulfilled"/>
    <s v="Canada"/>
    <m/>
    <s v="Not Required"/>
    <s v="East Jeffreybury"/>
  </r>
  <r>
    <s v="#1036"/>
    <d v="2026-08-04T13:56:32"/>
    <d v="2026-08-04T13:56:32"/>
    <s v="Diane Campos"/>
    <x v="0"/>
    <s v="diane.campos325@gmail.com"/>
    <s v="Classic Cotton T-Shirt"/>
    <s v="Apparel"/>
    <s v="TSH-BLK-L"/>
    <n v="2"/>
    <n v="14.99"/>
    <s v="WELCOME10"/>
    <n v="3"/>
    <n v="7.99"/>
    <n v="34.97"/>
    <s v="PayPal"/>
    <x v="2"/>
    <s v="fulfilled"/>
    <s v="United States"/>
    <s v="Washington"/>
    <s v="Valid"/>
    <s v="West Patrickmouth"/>
  </r>
  <r>
    <s v="#1037"/>
    <d v="2026-04-08T00:00:00"/>
    <s v="08/04/2026"/>
    <s v="Tamara Dodson"/>
    <x v="0"/>
    <s v="tamara.dodson539@gmail.com"/>
    <s v="Backpack - 25L"/>
    <s v="Accessories"/>
    <s v="ACC-BPK-25L"/>
    <n v="2"/>
    <n v="32.99"/>
    <s v="SAVE20"/>
    <n v="13.2"/>
    <n v="5.99"/>
    <n v="58.77"/>
    <s v="Credit Card"/>
    <x v="0"/>
    <s v="cancelled"/>
    <s v="Pakistan"/>
    <m/>
    <s v="Not Required"/>
    <s v="Williamfort"/>
  </r>
  <r>
    <s v="#1038"/>
    <d v="2026-08-04T00:00:00"/>
    <s v="04-08-2026 13:58"/>
    <s v="William Houston"/>
    <x v="1"/>
    <m/>
    <s v="Stainless Steel Water Bottle"/>
    <s v="Home &amp; Kitchen"/>
    <s v="HK-BTL-750"/>
    <n v="2"/>
    <n v="12.99"/>
    <m/>
    <n v="0"/>
    <n v="4.99"/>
    <n v="30.97"/>
    <s v="Google Pay"/>
    <x v="3"/>
    <s v="fulfilled"/>
    <s v="United States"/>
    <s v="Ohio"/>
    <s v="Valid"/>
    <s v="Greenfurt"/>
  </r>
  <r>
    <s v="#1039"/>
    <d v="2026-08-04T14:02:19"/>
    <d v="2026-08-04T14:02:19"/>
    <s v="Rivera, Thomas"/>
    <x v="0"/>
    <s v="thomas.rivera720@yahoo.com"/>
    <s v="Hooded Sweatshirt"/>
    <s v="Apparel"/>
    <s v="APR-HOD-GRY"/>
    <n v="1"/>
    <n v="34.99"/>
    <s v="WELCOME10"/>
    <s v="$3.50"/>
    <n v="7.99"/>
    <n v="39.479999999999997"/>
    <s v="Google Pay"/>
    <x v="1"/>
    <s v="fulfilled"/>
    <s v="United States"/>
    <s v="Washington"/>
    <s v="Valid"/>
    <s v="Lake Tiffany"/>
  </r>
  <r>
    <s v="#1040"/>
    <d v="2026-08-04T14:03:43"/>
    <d v="2026-08-04T14:03:43"/>
    <s v="  Monica Hicks"/>
    <x v="0"/>
    <s v="monica.hicks473@yahoo.com"/>
    <s v="USB-C Fast Charger 20W"/>
    <s v="Electronics"/>
    <s v="ELC-CHG-20"/>
    <n v="1"/>
    <n v="15.49"/>
    <m/>
    <n v="0"/>
    <n v="7.99"/>
    <n v="23.48"/>
    <s v="Google Pay"/>
    <x v="3"/>
    <s v="fulfilled"/>
    <s v="United States"/>
    <s v="Georgia"/>
    <s v="Valid"/>
    <s v="West Lanceview"/>
  </r>
  <r>
    <s v="#1041"/>
    <d v="2026-08-04T14:07:23"/>
    <d v="2026-08-04T14:07:23"/>
    <s v="Dustin Griffin"/>
    <x v="0"/>
    <s v="dustin.griffin434@gmail.com"/>
    <s v="Ceramic Coffee Mug Set (4pc)"/>
    <s v="Home &amp; Kitchen"/>
    <s v="HK-MUG-4PK"/>
    <n v="1"/>
    <n v="18.989999999999998"/>
    <s v="BFCM25"/>
    <n v="4.75"/>
    <n v="7.99"/>
    <n v="22.23"/>
    <s v="Shopify Payments"/>
    <x v="0"/>
    <s v="fulfilled"/>
    <s v="United States"/>
    <s v="Florida"/>
    <s v="Valid"/>
    <s v="Mooretown"/>
  </r>
  <r>
    <s v="#1043"/>
    <d v="2026-08-04T00:00:00"/>
    <s v="Aug 04, 2026"/>
    <s v="Linda Scott"/>
    <x v="0"/>
    <s v="linda.scott2@icloud.com"/>
    <s v="Scented Soy Candle - Vanilla"/>
    <s v="Home &amp; Kitchen"/>
    <s v="HK-CND-VAN"/>
    <n v="2"/>
    <n v="9.99"/>
    <m/>
    <n v="0"/>
    <n v="5.99"/>
    <n v="25.97"/>
    <s v="PayPal"/>
    <x v="0"/>
    <s v="refunded"/>
    <s v="Canada"/>
    <m/>
    <s v="Not Required"/>
    <s v="North Tonyfurt"/>
  </r>
  <r>
    <s v="#1044"/>
    <d v="2026-08-04T13:54:21"/>
    <d v="2026-08-04T13:54:21"/>
    <s v="Angela Carr"/>
    <x v="0"/>
    <s v="angela.carr488@yahoo.com"/>
    <s v="Non-Stick Frying Pan 10in"/>
    <s v="Home &amp; Kitchen"/>
    <s v="HK-PAN-10"/>
    <n v="1"/>
    <n v="24.99"/>
    <s v="SAVE20"/>
    <n v="5"/>
    <n v="7.99"/>
    <n v="27.98"/>
    <s v="Credit Card"/>
    <x v="2"/>
    <s v="cancelled"/>
    <s v="United States"/>
    <s v="Georgia"/>
    <s v="Valid"/>
    <s v="Bakerborough"/>
  </r>
  <r>
    <s v="#1045"/>
    <d v="2026-08-04T14:08:13"/>
    <d v="2026-08-04T14:08:13"/>
    <s v="Jose Ingram"/>
    <x v="0"/>
    <s v="jose.ingram37@gmail.com"/>
    <s v="USB-C Fast Charger 20W"/>
    <s v="Electronics"/>
    <s v="ELC-CHG-20"/>
    <n v="1"/>
    <n v="15.49"/>
    <m/>
    <n v="0"/>
    <n v="5.99"/>
    <n v="21.48"/>
    <s v="Credit Card"/>
    <x v="1"/>
    <s v="fulfilled"/>
    <s v="United States"/>
    <s v="Canada"/>
    <s v="Valid"/>
    <s v="Port Rosebury"/>
  </r>
  <r>
    <s v="#1046"/>
    <d v="2026-08-04T14:03:04"/>
    <d v="2026-08-04T14:03:04"/>
    <s v="Kristen Lewis"/>
    <x v="0"/>
    <s v="kristen.lewis649@icloud.com"/>
    <s v="Running Shoes - Women's"/>
    <s v="Footwear"/>
    <s v="FTW-RUN-W"/>
    <n v="1"/>
    <n v="54.99"/>
    <s v="VIP15"/>
    <n v="8.25"/>
    <n v="7.99"/>
    <n v="54.73"/>
    <s v="Credit Card"/>
    <x v="0"/>
    <s v="fulfilled"/>
    <s v="United States"/>
    <s v="WA"/>
    <s v="Valid"/>
    <s v="North Jacqueline"/>
  </r>
  <r>
    <s v="#1047"/>
    <d v="2026-08-04T14:04:42"/>
    <d v="2026-08-04T14:04:42"/>
    <s v="Michael Jacobson"/>
    <x v="0"/>
    <s v="michael.jacobson69@outlook.com"/>
    <s v="Wireless Bluetooth Earbuds"/>
    <s v="Electronics"/>
    <s v="ELC-WBE-01"/>
    <n v="1"/>
    <n v="29.99"/>
    <s v="VIP15"/>
    <n v="4.5"/>
    <n v="7.99"/>
    <s v="$33.48"/>
    <s v="Google Pay"/>
    <x v="0"/>
    <s v="fulfilled"/>
    <s v="Germany"/>
    <m/>
    <s v="Not Required"/>
    <s v="Craigmouth"/>
  </r>
  <r>
    <s v="#1048"/>
    <d v="2026-08-04T14:07:11"/>
    <d v="2026-08-04T14:07:11"/>
    <s v="Andrew Johnson"/>
    <x v="0"/>
    <s v="andrew.johnson94@outlook.com"/>
    <s v="Vitamin C Serum 30ml"/>
    <s v="Beauty"/>
    <s v="BTY-SRM-30"/>
    <n v="1"/>
    <n v="24.99"/>
    <s v="WELCOME10"/>
    <n v="2.5"/>
    <n v="5.99"/>
    <n v="28.48"/>
    <s v="PayPal"/>
    <x v="2"/>
    <s v="fulfilled"/>
    <s v="Australia"/>
    <m/>
    <s v="Not Required"/>
    <s v="Briannahaven"/>
  </r>
  <r>
    <s v="#1049"/>
    <d v="2026-08-04T14:02:52"/>
    <d v="2026-08-04T14:02:52"/>
    <s v="Byrd, Linda"/>
    <x v="0"/>
    <s v="linda.byrd87@outlook.com"/>
    <s v="Wireless Mouse"/>
    <s v="Electronics"/>
    <s v="ELC-MSE-WL"/>
    <n v="2"/>
    <n v="11.99"/>
    <s v="WELCOME10"/>
    <n v="2.4"/>
    <n v="5.99"/>
    <n v="27.57"/>
    <s v="Google Pay"/>
    <x v="3"/>
    <s v="refunded"/>
    <s v="United States"/>
    <s v="Georgia"/>
    <s v="Valid"/>
    <s v="Robertfurt"/>
  </r>
  <r>
    <s v="#1050"/>
    <d v="2026-08-04T14:01:55"/>
    <d v="2026-08-04T14:01:55"/>
    <s v="TINA SINGH"/>
    <x v="0"/>
    <s v="tina.singh98@icloud.com"/>
    <s v="Resistance Bands Set"/>
    <s v="Sports &amp; Outdoors"/>
    <s v="SP-RBS-SET"/>
    <n v="1"/>
    <n v="13.99"/>
    <s v="BFCM25"/>
    <n v="3.5"/>
    <n v="4.99"/>
    <n v="15.48"/>
    <s v="Shopify Payments"/>
    <x v="0"/>
    <s v="fulfilled"/>
    <s v="United States"/>
    <s v="Texas"/>
    <s v="Valid"/>
    <s v="Port Angela"/>
  </r>
  <r>
    <s v="#1051"/>
    <d v="2026-08-04T13:59:15"/>
    <d v="2026-08-04T13:59:15"/>
    <s v="Paul Dillon"/>
    <x v="0"/>
    <s v="paul.dillon750@icloud.com"/>
    <s v="Phone Case - Clear"/>
    <s v="Electronics"/>
    <s v="ELC-CSE-CLR"/>
    <n v="1"/>
    <n v="8.99"/>
    <s v="BFCM25"/>
    <n v="2.25"/>
    <n v="7.99"/>
    <n v="14.73"/>
    <s v="PayPal"/>
    <x v="0"/>
    <s v="fulfilled"/>
    <s v="Australia"/>
    <m/>
    <s v="Not Required"/>
    <s v="Comptonstad"/>
  </r>
  <r>
    <s v="#1052"/>
    <d v="2026-08-04T14:03:12"/>
    <d v="2026-08-04T14:03:12"/>
    <s v="Leon Oliver"/>
    <x v="0"/>
    <s v="leon.oliver578@gmail.com"/>
    <s v="Stainless Steel Water Bottle"/>
    <s v="Home &amp; Kitchen"/>
    <s v="HK-BTL-750"/>
    <n v="3"/>
    <n v="12.99"/>
    <s v="VIP15"/>
    <n v="5.85"/>
    <n v="7.99"/>
    <n v="41.11"/>
    <s v="PayPal"/>
    <x v="2"/>
    <s v="cancelled"/>
    <s v="Canada"/>
    <m/>
    <s v="Not Required"/>
    <s v="Samuelshire"/>
  </r>
  <r>
    <s v="#1053"/>
    <d v="2026-08-04T14:08:09"/>
    <d v="2026-08-04T14:08:09"/>
    <s v="Anthony Parsons"/>
    <x v="1"/>
    <m/>
    <s v="USB-C Fast Charger 20W"/>
    <s v="Electronics"/>
    <s v="ELC-CHG-20"/>
    <n v="2"/>
    <s v="$15.49"/>
    <m/>
    <n v="0"/>
    <n v="4.99"/>
    <n v="35.97"/>
    <s v="Google Pay"/>
    <x v="2"/>
    <s v="cancelled"/>
    <s v="United States"/>
    <s v="North Carolina"/>
    <s v="Valid"/>
    <s v="Alexanderland"/>
  </r>
  <r>
    <s v="#1054"/>
    <d v="2026-08-04T13:55:11"/>
    <d v="2026-08-04T13:55:11"/>
    <s v="Stacey Johnson"/>
    <x v="0"/>
    <s v="stacey.johnson95@gmail.com"/>
    <s v="Ceramic Coffee Mug Set (4pc)"/>
    <s v="Home &amp; Kitchen"/>
    <s v="HK-MUG-4PK"/>
    <n v="1"/>
    <n v="18.989999999999998"/>
    <m/>
    <s v="$0.00"/>
    <n v="4.99"/>
    <n v="23.98"/>
    <s v="Apple Pay"/>
    <x v="0"/>
    <s v="refunded"/>
    <s v="Germany"/>
    <m/>
    <s v="Not Required"/>
    <s v="Lake Jeffrey"/>
  </r>
  <r>
    <s v="#1055"/>
    <d v="2026-08-04T14:06:30"/>
    <d v="2026-08-04T14:06:30"/>
    <s v="Anthony Mullen"/>
    <x v="0"/>
    <s v="anthony.mullen523@yahoo.com"/>
    <s v="Hooded Sweatshirt"/>
    <s v="Apparel"/>
    <s v="APR-HOD-GRY"/>
    <n v="1"/>
    <n v="34.99"/>
    <s v="SAVE20"/>
    <n v="7"/>
    <n v="7.99"/>
    <n v="35.979999999999997"/>
    <s v="Credit Card"/>
    <x v="2"/>
    <s v="pending"/>
    <s v="United States"/>
    <s v="Georgia"/>
    <s v="Valid"/>
    <s v="Geraldhaven"/>
  </r>
  <r>
    <s v="#1056"/>
    <d v="2026-08-04T14:04:40"/>
    <d v="2026-08-04T14:04:40"/>
    <s v="Lauren Nguyen"/>
    <x v="0"/>
    <s v="lauren.nguyen819@outlook.com"/>
    <s v="Ceramic Coffee Mug Set (4pc)"/>
    <s v="Home &amp; Kitchen"/>
    <s v="HK-MUG-4PK"/>
    <n v="1"/>
    <n v="18.989999999999998"/>
    <s v="SAVE20"/>
    <n v="3.8"/>
    <n v="7.99"/>
    <n v="23.18"/>
    <s v="Apple Pay"/>
    <x v="1"/>
    <s v="fulfilled"/>
    <s v="United Kingdom"/>
    <m/>
    <s v="Not Required"/>
    <s v="North Christopherview"/>
  </r>
  <r>
    <s v="#1057"/>
    <d v="2026-08-04T13:58:48"/>
    <d v="2026-08-04T13:58:48"/>
    <s v="Melissa Smith"/>
    <x v="0"/>
    <s v="melissa.smith711@gmail.com"/>
    <s v="USB-C Fast Charger 20W"/>
    <s v="Electronics"/>
    <s v="ELC-CHG-20"/>
    <n v="1"/>
    <n v="15.49"/>
    <s v="WELCOME10"/>
    <n v="1.55"/>
    <n v="5.99"/>
    <n v="19.93"/>
    <s v="Shopify Payments"/>
    <x v="0"/>
    <s v="fulfilled"/>
    <s v="Pakistan"/>
    <m/>
    <s v="Not Required"/>
    <s v="Nancymouth"/>
  </r>
  <r>
    <s v="#1058"/>
    <d v="2026-08-04T00:00:00"/>
    <s v="04-08-2026 13:54"/>
    <s v="Amanda Harris"/>
    <x v="1"/>
    <m/>
    <s v="Hooded Sweatshirt"/>
    <s v="Apparel"/>
    <s v="APR-HOD-GRY"/>
    <n v="1"/>
    <s v="$34.99"/>
    <m/>
    <n v="0"/>
    <n v="7.99"/>
    <n v="42.98"/>
    <s v="Shopify Payments"/>
    <x v="0"/>
    <s v="fulfilled"/>
    <s v="United States"/>
    <s v="Arizona"/>
    <s v="Valid"/>
    <s v="Lake Alyssa"/>
  </r>
  <r>
    <s v="#1059"/>
    <d v="2026-08-04T14:05:24"/>
    <d v="2026-08-04T14:05:24"/>
    <s v="William Houston"/>
    <x v="0"/>
    <s v="william.houston340@outlook.com"/>
    <s v="Kids Building Blocks Set"/>
    <s v="Toys"/>
    <s v="TOY-BLK-SET"/>
    <n v="1"/>
    <n v="27.99"/>
    <m/>
    <n v="0"/>
    <n v="5.99"/>
    <n v="33.979999999999997"/>
    <s v="Apple Pay"/>
    <x v="3"/>
    <s v="fulfilled"/>
    <s v="United States"/>
    <s v="TX"/>
    <s v="Valid"/>
    <s v="Mooreport"/>
  </r>
  <r>
    <s v="#1060"/>
    <d v="2026-08-04T13:57:58"/>
    <d v="2026-08-04T13:57:58"/>
    <s v="Heather Davis"/>
    <x v="0"/>
    <s v="heather.davis117@icloud.com"/>
    <s v="Hooded Sweatshirt"/>
    <s v="Apparel"/>
    <s v="APR-HOD-GRY"/>
    <n v="2"/>
    <s v="$34.99"/>
    <m/>
    <n v="0"/>
    <n v="5.99"/>
    <n v="75.97"/>
    <s v="Apple Pay"/>
    <x v="0"/>
    <s v="fulfilled"/>
    <s v="Germany"/>
    <m/>
    <s v="Not Required"/>
    <s v="East Tiffany"/>
  </r>
  <r>
    <s v="#1061"/>
    <d v="2026-08-04T14:03:34"/>
    <d v="2026-08-04T14:03:34"/>
    <s v="Stacey Johnson"/>
    <x v="0"/>
    <s v="stacey.johnson95@gmail.com"/>
    <s v="Phone Case - Clear"/>
    <s v="Electronics"/>
    <s v="ELC-CSE-CLR"/>
    <n v="2"/>
    <n v="8.99"/>
    <s v="FREESHIP"/>
    <n v="0"/>
    <n v="0"/>
    <n v="17.98"/>
    <s v="Credit Card"/>
    <x v="0"/>
    <s v="cancelled"/>
    <s v="Germany"/>
    <m/>
    <s v="Not Required"/>
    <s v="West Charles"/>
  </r>
  <r>
    <s v="#1062"/>
    <d v="2026-08-04T14:00:09"/>
    <d v="2026-08-04T14:00:09"/>
    <s v="Lisa Flowers"/>
    <x v="0"/>
    <s v="lisa.flowers14@icloud.com"/>
    <s v="Hooded Sweatshirt"/>
    <s v="Apparel"/>
    <s v="APR-HOD-GRY"/>
    <n v="1"/>
    <n v="34.99"/>
    <s v="FREESHIP"/>
    <n v="0"/>
    <n v="0"/>
    <n v="34.99"/>
    <s v="Shopify Payments"/>
    <x v="0"/>
    <s v="cancelled"/>
    <s v="Germany"/>
    <m/>
    <s v="Not Required"/>
    <s v="Port Patriciaborough"/>
  </r>
  <r>
    <s v="#1063"/>
    <d v="2026-08-04T14:06:16"/>
    <d v="2026-08-04T14:06:16"/>
    <s v="Robert Boyd"/>
    <x v="0"/>
    <s v="robert.boyd184@yahoo.com"/>
    <s v="Yoga Mat - Extra Thick"/>
    <s v="Sports &amp; Outdoors"/>
    <s v="SP-YGM-EX"/>
    <n v="2"/>
    <n v="22.99"/>
    <s v="FREESHIP"/>
    <n v="0"/>
    <n v="0"/>
    <n v="45.98"/>
    <s v="Apple Pay"/>
    <x v="0"/>
    <s v="fulfilled"/>
    <s v="Canada"/>
    <m/>
    <s v="Not Required"/>
    <s v="North Ariel"/>
  </r>
  <r>
    <s v="#1064"/>
    <d v="2026-08-04T14:08:12"/>
    <d v="2026-08-04T14:08:12"/>
    <s v="Jennifer Burke"/>
    <x v="0"/>
    <s v="jennifer.burke472@icloud.com"/>
    <s v="Running Shoes - Men's"/>
    <s v="Footwear"/>
    <s v="FTW-RUN-M"/>
    <n v="2"/>
    <s v="$54.99"/>
    <m/>
    <n v="0"/>
    <n v="0"/>
    <n v="109.98"/>
    <s v="Apple Pay"/>
    <x v="0"/>
    <s v="cancelled"/>
    <s v="Pakistan"/>
    <m/>
    <s v="Not Required"/>
    <s v="Arroyomouth"/>
  </r>
  <r>
    <s v="#1065"/>
    <d v="2026-08-04T14:02:18"/>
    <d v="2026-08-04T14:02:18"/>
    <s v="Jaime Vargas"/>
    <x v="0"/>
    <s v="jaime.vargas795@outlook.com"/>
    <s v="Adjustable Dumbbell Set"/>
    <s v="Sports &amp; Outdoors"/>
    <s v="SP-DMB-ADJ"/>
    <n v="4"/>
    <n v="89.99"/>
    <m/>
    <n v="0"/>
    <n v="0"/>
    <n v="359.96"/>
    <s v="Apple Pay"/>
    <x v="3"/>
    <s v="fulfilled"/>
    <s v="United Kingdom"/>
    <m/>
    <s v="Not Required"/>
    <s v="North Victoriamouth"/>
  </r>
  <r>
    <s v="#1066"/>
    <d v="2026-08-04T14:01:57"/>
    <d v="2026-08-04T14:01:57"/>
    <s v="Kristen Aguirre"/>
    <x v="0"/>
    <s v="kristen.aguirre898@gmail.com"/>
    <s v="Portable Power Bank 10000mAh"/>
    <s v="Electronics"/>
    <s v="ELC-PWB-10K"/>
    <n v="2"/>
    <n v="21.99"/>
    <s v="FREESHIP"/>
    <n v="0"/>
    <n v="0"/>
    <n v="43.98"/>
    <s v="Credit Card"/>
    <x v="0"/>
    <s v="fulfilled"/>
    <s v="Germany"/>
    <m/>
    <s v="Not Required"/>
    <s v="Dennisborough"/>
  </r>
  <r>
    <s v="#1067"/>
    <d v="2026-08-04T00:00:00"/>
    <s v="Aug 04, 2026"/>
    <s v="Amanda Robinson"/>
    <x v="1"/>
    <m/>
    <s v="Stainless Steel Water Bottle"/>
    <s v="Home &amp; Kitchen"/>
    <s v="HK-BTL-750"/>
    <n v="2"/>
    <n v="12.99"/>
    <s v="FREESHIP"/>
    <n v="0"/>
    <n v="0"/>
    <n v="25.98"/>
    <s v="Apple Pay"/>
    <x v="0"/>
    <s v="fulfilled"/>
    <s v="United States"/>
    <s v="Texas"/>
    <s v="Valid"/>
    <s v="Lake Josehaven"/>
  </r>
  <r>
    <s v="#1068"/>
    <d v="2026-08-04T14:04:01"/>
    <d v="2026-08-04T14:04:01"/>
    <s v="Mary Garcia"/>
    <x v="0"/>
    <s v="mary.garcia899@icloud.com"/>
    <s v="Throw Blanket - Fleece"/>
    <s v="Home &amp; Kitchen"/>
    <s v="HK-BLK-FLC"/>
    <n v="1"/>
    <n v="17.989999999999998"/>
    <s v="WELCOME10"/>
    <n v="1.8"/>
    <n v="7.99"/>
    <n v="24.18"/>
    <s v="Credit Card"/>
    <x v="0"/>
    <s v="pending"/>
    <s v="Canada"/>
    <m/>
    <s v="Not Required"/>
    <s v="Lake Rebecca"/>
  </r>
  <r>
    <s v="#1069"/>
    <d v="2026-08-04T14:00:22"/>
    <d v="2026-08-04T14:00:22"/>
    <s v="Kristina Cook"/>
    <x v="0"/>
    <s v="kristina.cook392@outlook.com"/>
    <s v="Slim Fit Denim Jeans"/>
    <s v="Apparel"/>
    <s v="JNS-BLU-32"/>
    <n v="1"/>
    <n v="39.99"/>
    <m/>
    <n v="0"/>
    <n v="4.99"/>
    <n v="44.98"/>
    <s v="Credit Card"/>
    <x v="0"/>
    <s v="refunded"/>
    <s v="United States"/>
    <s v="TX"/>
    <s v="Valid"/>
    <s v="Copelandburgh"/>
  </r>
  <r>
    <s v="#1070"/>
    <d v="2026-08-04T14:01:09"/>
    <d v="2026-08-04T14:01:09"/>
    <s v="Shelly Griffith"/>
    <x v="0"/>
    <s v="shelly.griffith342@icloud.com"/>
    <s v="Vitamin C Serum 30ml"/>
    <s v="Beauty"/>
    <s v="BTY-SRM-30"/>
    <n v="1"/>
    <n v="24.99"/>
    <s v="VIP15"/>
    <n v="3.75"/>
    <n v="4.99"/>
    <n v="26.23"/>
    <s v="PayPal"/>
    <x v="0"/>
    <s v="fulfilled"/>
    <s v="Australia"/>
    <m/>
    <s v="Not Required"/>
    <s v="Lake Michele"/>
  </r>
  <r>
    <s v="#1071"/>
    <d v="2026-08-04T13:55:13"/>
    <d v="2026-08-04T13:55:13"/>
    <s v="Kathryn Robinson"/>
    <x v="0"/>
    <s v="kathryn.robinson965@gmail.com"/>
    <s v="Scented Soy Candle - Vanilla"/>
    <s v="Home &amp; Kitchen"/>
    <s v="HK-CND-VAN"/>
    <n v="2"/>
    <n v="9.99"/>
    <s v="BFCM25 "/>
    <n v="5"/>
    <n v="5.99"/>
    <n v="20.97"/>
    <s v="Shopify Payments"/>
    <x v="3"/>
    <s v="fulfilled"/>
    <s v="United Kingdom"/>
    <m/>
    <s v="Not Required"/>
    <s v="South Katherine"/>
  </r>
  <r>
    <s v="#1072"/>
    <d v="2026-04-08T00:00:00"/>
    <s v="08/04/2026"/>
    <s v="Katie Coleman"/>
    <x v="0"/>
    <s v="katie.coleman262@outlook.com"/>
    <s v="Phone Case - Clear"/>
    <s v="Electronics"/>
    <s v="ELC-CSE-CLR"/>
    <n v="1"/>
    <n v="8.99"/>
    <m/>
    <n v="0"/>
    <n v="5.99"/>
    <n v="14.98"/>
    <s v="Apple Pay"/>
    <x v="0"/>
    <s v="refunded"/>
    <s v="Canada"/>
    <m/>
    <s v="Not Required"/>
    <s v="Kennethfurt"/>
  </r>
  <r>
    <s v="#1073"/>
    <d v="2026-08-04T14:07:13"/>
    <d v="2026-08-04T14:07:13"/>
    <s v="Brittney Thomas"/>
    <x v="0"/>
    <s v="brittney.thomas484@gmail.com"/>
    <s v="Classic Cotton T-Shirt"/>
    <s v="Apparel"/>
    <s v="TSH-BLK-L"/>
    <n v="1"/>
    <n v="14.99"/>
    <s v="WELCOME10"/>
    <n v="1.5"/>
    <n v="7.99"/>
    <n v="21.48"/>
    <s v="Shopify Payments"/>
    <x v="1"/>
    <s v="refunded"/>
    <s v="United States"/>
    <s v="Georgia"/>
    <s v="Valid"/>
    <s v="Moyerstad"/>
  </r>
  <r>
    <s v="#1074"/>
    <d v="2026-08-04T13:57:49"/>
    <d v="2026-08-04T13:57:49"/>
    <s v="Jennifer Burke"/>
    <x v="0"/>
    <s v="jennifer.burke472@icloud.com"/>
    <s v="Wireless Mouse"/>
    <s v="Electronics"/>
    <s v="ELC-MSE-WL"/>
    <n v="1"/>
    <s v="$11.99"/>
    <s v="SAVE20"/>
    <n v="2.4"/>
    <n v="7.99"/>
    <n v="17.579999999999998"/>
    <s v="Apple Pay"/>
    <x v="2"/>
    <s v="refunded"/>
    <s v="Pakistan"/>
    <m/>
    <s v="Not Required"/>
    <s v="West Loganbury"/>
  </r>
  <r>
    <s v="#1075"/>
    <d v="2026-08-04T13:53:59"/>
    <d v="2026-08-04T13:53:59"/>
    <s v="Dustin Ward"/>
    <x v="0"/>
    <s v="dustin.ward756@icloud.com"/>
    <s v="Facial Cleanser 200ml"/>
    <s v="Beauty"/>
    <s v="BTY-CLN-200"/>
    <n v="2"/>
    <n v="13.49"/>
    <s v="SAVE20"/>
    <n v="5.4"/>
    <n v="5.99"/>
    <n v="27.57"/>
    <s v="PayPal"/>
    <x v="3"/>
    <s v="fulfilled"/>
    <s v="United States"/>
    <s v="Florida"/>
    <s v="Valid"/>
    <s v="Lake Stephanieville"/>
  </r>
  <r>
    <s v="#1076"/>
    <d v="2026-08-04T13:53:44"/>
    <d v="2026-08-04T13:53:44"/>
    <s v="Chad Smith"/>
    <x v="0"/>
    <s v="chad.smith773@icloud.com"/>
    <s v="Ceramic Coffee Mug Set (4pc)"/>
    <s v="Home &amp; Kitchen"/>
    <s v="HK-MUG-4PK"/>
    <n v="1"/>
    <n v="18.989999999999998"/>
    <s v="FREESHIP"/>
    <n v="0"/>
    <n v="0"/>
    <n v="18.989999999999998"/>
    <s v="PayPal"/>
    <x v="0"/>
    <s v="refunded"/>
    <s v="Pakistan"/>
    <m/>
    <s v="Not Required"/>
    <s v="North Andreafort"/>
  </r>
  <r>
    <s v="#1077"/>
    <d v="2026-08-04T00:00:00"/>
    <s v="2026-08-04"/>
    <s v="Cody Murray"/>
    <x v="0"/>
    <s v="cody.murray456@gmail.com"/>
    <s v="Stainless Steel Water Bottle"/>
    <s v="Home &amp; Kitchen"/>
    <s v="HK-BTL-750"/>
    <n v="2"/>
    <n v="12.99"/>
    <s v="FREESHIP"/>
    <n v="0"/>
    <n v="0"/>
    <n v="25.98"/>
    <s v="Shopify Payments"/>
    <x v="1"/>
    <s v="refunded"/>
    <s v="United Kingdom"/>
    <m/>
    <s v="Not Required"/>
    <s v="Haydenport"/>
  </r>
  <r>
    <s v="#1078"/>
    <d v="2026-08-04T14:02:46"/>
    <d v="2026-08-04T14:02:46"/>
    <s v="Sandra Potter"/>
    <x v="0"/>
    <s v="sandra.potter166@yahoo.com"/>
    <s v="Phone Case - Clear"/>
    <s v="Electronics"/>
    <s v="ELC-CSE-CLR"/>
    <n v="1"/>
    <n v="8.99"/>
    <m/>
    <n v="0"/>
    <n v="4.99"/>
    <n v="13.98"/>
    <s v="Google Pay"/>
    <x v="0"/>
    <s v="cancelled"/>
    <s v="United States"/>
    <s v="North Carolina"/>
    <s v="Valid"/>
    <s v="South Moniquehaven"/>
  </r>
  <r>
    <s v="#1079"/>
    <d v="2026-08-04T14:00:06"/>
    <d v="2026-08-04T14:00:06"/>
    <s v="Nicole Taylor"/>
    <x v="0"/>
    <s v="nicole.taylor607@icloud.com"/>
    <s v="Vitamin C Serum 30ml"/>
    <s v="Beauty"/>
    <s v="BTY-SRM-30"/>
    <n v="1"/>
    <n v="24.99"/>
    <m/>
    <n v="0"/>
    <n v="5.99"/>
    <n v="30.98"/>
    <s v="Credit Card"/>
    <x v="0"/>
    <s v="fulfilled"/>
    <s v="United States"/>
    <s v="New York"/>
    <s v="Valid"/>
    <s v="Port Traviston"/>
  </r>
  <r>
    <s v="#1080"/>
    <d v="2026-08-04T13:54:54"/>
    <d v="2026-08-04T13:54:54"/>
    <s v="Andrew Jones"/>
    <x v="0"/>
    <s v="andrew.jones338@icloud.com"/>
    <s v="Ceramic Coffee Mug Set (4pc)"/>
    <s v="Home &amp; Kitchen"/>
    <s v="HK-MUG-4PK"/>
    <n v="1"/>
    <n v="18.989999999999998"/>
    <m/>
    <n v="0"/>
    <n v="4.99"/>
    <n v="23.98"/>
    <s v="Apple Pay"/>
    <x v="3"/>
    <s v="fulfilled"/>
    <s v="United Kingdom"/>
    <m/>
    <s v="Not Required"/>
    <s v="Fitzgeraldtown"/>
  </r>
  <r>
    <s v="#1081"/>
    <d v="2026-08-04T14:02:07"/>
    <d v="2026-08-04T14:02:07"/>
    <s v="Robert Boyd"/>
    <x v="0"/>
    <s v="robert.boyd184@yahoo.com"/>
    <s v="Backpack - 25L"/>
    <s v="Accessories"/>
    <s v="ACC-BPK-25L"/>
    <n v="3"/>
    <n v="32.99"/>
    <s v="FREESHIP"/>
    <s v="$0.00"/>
    <n v="0"/>
    <n v="98.97"/>
    <s v="Shopify Payments"/>
    <x v="0"/>
    <s v="cancelled"/>
    <s v="Canada"/>
    <m/>
    <s v="Not Required"/>
    <s v="Lake Franciscoton"/>
  </r>
  <r>
    <s v="#1082"/>
    <d v="2026-04-08T00:00:00"/>
    <s v="08/04/2026"/>
    <s v="Michele Davis"/>
    <x v="0"/>
    <s v="michele.davis844@gmail.com"/>
    <s v="Stainless Steel Water Bottle"/>
    <s v="Home &amp; Kitchen"/>
    <s v="HK-BTL-750"/>
    <n v="1"/>
    <n v="12.99"/>
    <s v="SAVE20"/>
    <n v="2.6"/>
    <n v="4.99"/>
    <s v="$15.38"/>
    <s v="Google Pay"/>
    <x v="0"/>
    <s v="refunded"/>
    <s v="Australia"/>
    <m/>
    <s v="Not Required"/>
    <s v="Perkinschester"/>
  </r>
  <r>
    <s v="#1084"/>
    <d v="2026-08-04T14:07:37"/>
    <d v="2026-08-04T14:07:37"/>
    <s v="Megan Herman"/>
    <x v="0"/>
    <s v="megan.herman268@yahoo.com"/>
    <s v="Ceramic Coffee Mug Set (4pc)"/>
    <s v="Home &amp; Kitchen"/>
    <s v="HK-MUG-4PK"/>
    <n v="1"/>
    <n v="18.989999999999998"/>
    <m/>
    <n v="0"/>
    <n v="4.99"/>
    <n v="23.98"/>
    <s v="Apple Pay"/>
    <x v="0"/>
    <s v="refunded"/>
    <s v="United States"/>
    <s v="Florida"/>
    <s v="Valid"/>
    <s v="Yvetteville"/>
  </r>
  <r>
    <s v="#1085"/>
    <d v="2026-08-04T14:00:47"/>
    <d v="2026-08-04T14:00:47"/>
    <s v="Amanda Harris"/>
    <x v="0"/>
    <s v="amanda.harris197@gmail.com"/>
    <s v="Classic Cotton T-Shirt"/>
    <s v="Apparel"/>
    <s v="TSH-BLK-M"/>
    <n v="1"/>
    <n v="14.99"/>
    <s v="SAVE20"/>
    <n v="3"/>
    <n v="4.99"/>
    <s v="$16.98"/>
    <s v="Google Pay"/>
    <x v="3"/>
    <s v="fulfilled"/>
    <s v="United States"/>
    <s v="California"/>
    <s v="Valid"/>
    <s v="Michaelmouth"/>
  </r>
  <r>
    <s v="#1086"/>
    <d v="2026-08-04T13:57:52"/>
    <d v="2026-08-04T13:57:52"/>
    <s v="Joshua Chavez"/>
    <x v="0"/>
    <s v="joshua.chavez332@outlook.com"/>
    <s v="Leather Wallet - Brown"/>
    <s v="Accessories"/>
    <s v="ACC-WLT-BRN"/>
    <n v="1"/>
    <s v="$19.99"/>
    <m/>
    <n v="0"/>
    <n v="4.99"/>
    <n v="24.98"/>
    <s v="PayPal"/>
    <x v="2"/>
    <s v="fulfilled"/>
    <s v="United States"/>
    <s v="California"/>
    <s v="Valid"/>
    <s v="Newmanborough"/>
  </r>
  <r>
    <s v="#1087"/>
    <d v="2026-08-04T13:53:58"/>
    <d v="2026-08-04T13:53:58"/>
    <s v="Deborah Wilson"/>
    <x v="0"/>
    <s v="deborah.wilson691@icloud.com"/>
    <s v="Leather Wallet - Brown"/>
    <s v="Accessories"/>
    <s v="ACC-WLT-BRN"/>
    <n v="2"/>
    <n v="19.989999999999998"/>
    <s v="VIP15"/>
    <n v="6"/>
    <n v="7.99"/>
    <s v="$41.97"/>
    <s v="Apple Pay"/>
    <x v="0"/>
    <s v="refunded"/>
    <s v="United Kingdom"/>
    <m/>
    <s v="Not Required"/>
    <s v="Lake Gary"/>
  </r>
  <r>
    <s v="#1088"/>
    <d v="2026-08-04T14:06:57"/>
    <d v="2026-08-04T14:06:57"/>
    <s v="Brian Ruiz"/>
    <x v="0"/>
    <s v="brian.ruiz246@gmail.com"/>
    <s v="Vitamin C Serum 30ml"/>
    <s v="Beauty"/>
    <s v="BTY-SRM-30"/>
    <n v="2"/>
    <n v="24.99"/>
    <s v="FREESHIP"/>
    <n v="0"/>
    <n v="0"/>
    <n v="49.98"/>
    <s v="Credit Card"/>
    <x v="0"/>
    <s v="fulfilled"/>
    <s v="Germany"/>
    <m/>
    <s v="Not Required"/>
    <s v="South Melissaborough"/>
  </r>
  <r>
    <s v="#1089"/>
    <d v="2026-08-04T13:55:06"/>
    <d v="2026-08-04T13:55:06"/>
    <s v="Kimberly Cordova"/>
    <x v="0"/>
    <s v="kimberly.cordova508@icloud.com"/>
    <s v="Non-Stick Frying Pan 10in"/>
    <s v="Home &amp; Kitchen"/>
    <s v="HK-PAN-10"/>
    <n v="1"/>
    <n v="24.99"/>
    <s v="BFCM25"/>
    <n v="6.25"/>
    <n v="7.99"/>
    <n v="26.73"/>
    <s v="PayPal"/>
    <x v="0"/>
    <s v="refunded"/>
    <s v="Pakistan"/>
    <m/>
    <s v="Not Required"/>
    <s v="Brendaside"/>
  </r>
  <r>
    <s v="#1090"/>
    <d v="2026-08-04T13:54:11"/>
    <d v="2026-08-04T13:54:11"/>
    <s v="Glenn Mcmahon"/>
    <x v="0"/>
    <s v="glenn.mcmahon733@yahoo.com"/>
    <s v="Adjustable Dumbbell Set"/>
    <s v="Sports &amp; Outdoors"/>
    <s v="SP-DMB-ADJ"/>
    <n v="1"/>
    <n v="89.99"/>
    <s v="WELCOME10"/>
    <n v="9"/>
    <n v="0"/>
    <n v="80.989999999999995"/>
    <s v="PayPal"/>
    <x v="0"/>
    <s v="fulfilled"/>
    <s v="United States"/>
    <s v="Illinois"/>
    <s v="Valid"/>
    <s v="West Thomaschester"/>
  </r>
  <r>
    <s v="#1091"/>
    <d v="2026-08-04T13:57:30"/>
    <d v="2026-08-04T13:57:30"/>
    <s v="Sara Sims"/>
    <x v="0"/>
    <s v="sara.sims992@icloud.com"/>
    <s v="Wireless Mouse"/>
    <s v="Electronics"/>
    <s v="ELC-MSE-WL"/>
    <n v="1"/>
    <n v="11.99"/>
    <s v="BFCM25"/>
    <n v="3"/>
    <n v="7.99"/>
    <n v="16.98"/>
    <s v="Apple Pay"/>
    <x v="2"/>
    <s v="fulfilled"/>
    <s v="Germany"/>
    <m/>
    <s v="Not Required"/>
    <s v="Powellland"/>
  </r>
  <r>
    <s v="#1092"/>
    <d v="2026-08-04T14:03:38"/>
    <d v="2026-08-04T14:03:38"/>
    <s v="Julia Atkinson"/>
    <x v="0"/>
    <s v="julia.atkinson939@gmail.com"/>
    <s v="Backpack - 25L"/>
    <s v="Accessories"/>
    <s v="ACC-BPK-25L"/>
    <n v="1"/>
    <n v="32.99"/>
    <s v="VIP15"/>
    <n v="4.95"/>
    <n v="4.99"/>
    <n v="33.03"/>
    <s v="Credit Card"/>
    <x v="3"/>
    <s v="fulfilled"/>
    <s v="Canada"/>
    <m/>
    <s v="Not Required"/>
    <s v="New Christopher"/>
  </r>
  <r>
    <s v="#1093"/>
    <d v="2026-08-04T14:02:10"/>
    <d v="2026-08-04T14:02:10"/>
    <s v="gerald li"/>
    <x v="0"/>
    <s v="gerald.li856@icloud.com"/>
    <s v="Wireless Bluetooth Earbuds"/>
    <s v="Electronics"/>
    <s v="ELC-WBE-01"/>
    <n v="1"/>
    <n v="29.99"/>
    <m/>
    <n v="0"/>
    <n v="7.99"/>
    <n v="37.979999999999997"/>
    <s v="Credit Card"/>
    <x v="2"/>
    <s v="fulfilled"/>
    <s v="United States"/>
    <s v="Ohio"/>
    <s v="Valid"/>
    <s v="Melissafurt"/>
  </r>
  <r>
    <s v="#1094"/>
    <d v="2026-08-04T14:01:37"/>
    <d v="2026-08-04T14:01:37"/>
    <s v="Angela Rose"/>
    <x v="0"/>
    <s v="angela.rose740@outlook.com"/>
    <s v="Ceramic Coffee Mug Set (4pc)"/>
    <s v="Home &amp; Kitchen"/>
    <s v="HK-MUG-4PK"/>
    <n v="1"/>
    <n v="18.989999999999998"/>
    <m/>
    <n v="0"/>
    <n v="7.99"/>
    <n v="26.98"/>
    <s v="Shopify Payments"/>
    <x v="2"/>
    <s v="cancelled"/>
    <s v="United States"/>
    <s v="Arizona"/>
    <s v="Valid"/>
    <s v="Williamsview"/>
  </r>
  <r>
    <s v="#1095"/>
    <d v="2026-08-04T13:56:16"/>
    <d v="2026-08-04T13:56:16"/>
    <s v="Nicholas Jarvis"/>
    <x v="0"/>
    <s v="nicholas.jarvis112@icloud.com"/>
    <s v="Classic Cotton T-Shirt"/>
    <s v="Apparel"/>
    <s v="TSH-BLK-M"/>
    <n v="2"/>
    <n v="14.99"/>
    <s v="VIP15"/>
    <n v="4.5"/>
    <n v="7.99"/>
    <n v="33.47"/>
    <s v="Shopify Payments"/>
    <x v="2"/>
    <s v="refunded"/>
    <s v="Canada"/>
    <m/>
    <s v="Not Required"/>
    <s v="West Brookebury"/>
  </r>
  <r>
    <s v="#1096"/>
    <d v="2026-08-04T14:08:13"/>
    <d v="2026-08-04T14:08:13"/>
    <s v="Natalie Dixon"/>
    <x v="0"/>
    <s v="natalie.dixon388@outlook.com"/>
    <s v="Stainless Steel Water Bottle"/>
    <s v="Home &amp; Kitchen"/>
    <s v="HK-BTL-750"/>
    <n v="2"/>
    <n v="12.99"/>
    <m/>
    <n v="0"/>
    <n v="4.99"/>
    <s v="$30.97"/>
    <s v="Apple Pay"/>
    <x v="2"/>
    <s v="pending"/>
    <s v="United States"/>
    <s v="NC"/>
    <s v="Valid"/>
    <s v="East Emilyfort"/>
  </r>
  <r>
    <s v="#1097"/>
    <d v="2026-08-04T14:07:14"/>
    <d v="2026-08-04T14:07:14"/>
    <s v="Christopher Harrington"/>
    <x v="0"/>
    <s v="christopher.harrington960@gmail.com"/>
    <s v="Vitamin C Serum 30ml"/>
    <s v="Beauty"/>
    <s v="BTY-SRM-30"/>
    <n v="3"/>
    <n v="24.99"/>
    <m/>
    <n v="0"/>
    <n v="4.99"/>
    <s v="$79.96"/>
    <s v="Credit Card"/>
    <x v="2"/>
    <s v="fulfilled"/>
    <s v="Australia"/>
    <m/>
    <s v="Not Required"/>
    <s v="Smithton"/>
  </r>
  <r>
    <s v="#1098"/>
    <d v="2026-08-04T00:00:00"/>
    <s v="04-08-2026 13:58"/>
    <s v="Timothy Becker"/>
    <x v="0"/>
    <s v="timothy.becker88@yahoo.com"/>
    <s v="Kids Building Blocks Set"/>
    <s v="Toys"/>
    <s v="TOY-BLK-SET"/>
    <n v="2"/>
    <n v="27.99"/>
    <m/>
    <n v="0"/>
    <n v="7.99"/>
    <n v="63.97"/>
    <s v="Google Pay"/>
    <x v="2"/>
    <s v="fulfilled"/>
    <s v="United States"/>
    <s v="California"/>
    <s v="Valid"/>
    <s v="New Richardmouth"/>
  </r>
  <r>
    <s v="#1099"/>
    <d v="2026-08-04T14:00:01"/>
    <d v="2026-08-04T14:00:01"/>
    <s v="Michael Davis"/>
    <x v="0"/>
    <s v="michael.davis313@outlook.com"/>
    <s v="Running Shoes - Women's"/>
    <s v="Footwear"/>
    <s v="FTW-RUN-W"/>
    <n v="1"/>
    <n v="54.99"/>
    <s v="BFCM25"/>
    <n v="13.75"/>
    <n v="5.99"/>
    <n v="47.23"/>
    <s v="Shopify Payments"/>
    <x v="1"/>
    <s v="fulfilled"/>
    <s v="United States"/>
    <s v="California"/>
    <s v="Valid"/>
    <s v="Sarahborough"/>
  </r>
  <r>
    <s v="#1100"/>
    <d v="2026-08-04T13:56:47"/>
    <d v="2026-08-04T13:56:47"/>
    <s v="OMAR SANDERS"/>
    <x v="0"/>
    <s v="omar.sanders208@outlook.com"/>
    <s v="Running Shoes - Women's"/>
    <s v="Footwear"/>
    <s v="FTW-RUN-W"/>
    <n v="1"/>
    <n v="54.99"/>
    <s v="WELCOME10"/>
    <n v="5.5"/>
    <n v="7.99"/>
    <s v="$57.48"/>
    <s v="Credit Card"/>
    <x v="2"/>
    <s v="fulfilled"/>
    <s v="United Kingdom"/>
    <m/>
    <s v="Not Required"/>
    <s v="Mclaughlinbury"/>
  </r>
  <r>
    <s v="#1101"/>
    <d v="2026-08-04T13:54:09"/>
    <d v="2026-08-04T13:54:09"/>
    <s v="Brian Ruiz"/>
    <x v="0"/>
    <s v="brian.ruiz246@gmail.com"/>
    <s v="Stainless Steel Water Bottle"/>
    <s v="Home &amp; Kitchen"/>
    <s v="HK-BTL-750"/>
    <n v="1"/>
    <n v="12.99"/>
    <s v="FREESHIP"/>
    <s v="$0.00"/>
    <n v="0"/>
    <n v="12.99"/>
    <s v="Shopify Payments"/>
    <x v="2"/>
    <s v="fulfilled"/>
    <s v="Germany"/>
    <m/>
    <s v="Not Required"/>
    <s v="Jerryborough"/>
  </r>
  <r>
    <s v="#1102"/>
    <d v="2026-08-04T13:57:18"/>
    <d v="2026-08-04T13:57:18"/>
    <s v="Michele Davis"/>
    <x v="0"/>
    <s v="michele.davis844@gmail.com"/>
    <s v="Portable Power Bank 10000mAh"/>
    <s v="Electronics"/>
    <s v="ELC-PWB-10K"/>
    <n v="1"/>
    <n v="21.99"/>
    <m/>
    <n v="0"/>
    <n v="5.99"/>
    <n v="27.98"/>
    <s v="PayPal"/>
    <x v="3"/>
    <s v="refunded"/>
    <s v="Australia"/>
    <m/>
    <s v="Not Required"/>
    <s v="Port Melissa"/>
  </r>
  <r>
    <s v="#1103"/>
    <d v="2026-08-04T13:57:04"/>
    <d v="2026-08-04T13:57:04"/>
    <s v="Tracy Adams"/>
    <x v="0"/>
    <s v="tracy.adams712@icloud.com"/>
    <s v="Stainless Steel Water Bottle"/>
    <s v="Home &amp; Kitchen"/>
    <s v="HK-BTL-750"/>
    <n v="1"/>
    <n v="12.99"/>
    <s v="BFCM25"/>
    <n v="3.25"/>
    <n v="4.99"/>
    <n v="14.73"/>
    <s v="Google Pay"/>
    <x v="1"/>
    <s v="fulfilled"/>
    <s v="United States"/>
    <s v="Arizona"/>
    <s v="Valid"/>
    <s v="Harrisonville"/>
  </r>
  <r>
    <s v="#1104"/>
    <d v="2026-08-04T14:04:01"/>
    <d v="2026-08-04T14:04:01"/>
    <s v="Julia Atkinson"/>
    <x v="0"/>
    <s v="julia.atkinson939@gmail.com"/>
    <s v="Polarized Sunglasses"/>
    <s v="Accessories"/>
    <s v="ACC-SUN-01"/>
    <n v="1"/>
    <n v="16.989999999999998"/>
    <m/>
    <n v="0"/>
    <n v="5.99"/>
    <n v="22.98"/>
    <s v="PayPal"/>
    <x v="2"/>
    <s v="pending"/>
    <s v="Canada"/>
    <m/>
    <s v="Not Required"/>
    <s v="Lake Williamstad"/>
  </r>
  <r>
    <s v="#1105"/>
    <d v="2026-08-04T13:56:34"/>
    <d v="2026-08-04T13:56:34"/>
    <s v="Rebecca Watts"/>
    <x v="0"/>
    <s v="rebecca.watts779@gmail.com"/>
    <s v="Backpack - 25L"/>
    <s v="Accessories"/>
    <s v="ACC-BPK-25L"/>
    <n v="1"/>
    <n v="32.99"/>
    <s v="FREESHIP"/>
    <n v="0"/>
    <n v="0"/>
    <n v="32.99"/>
    <s v="Shopify Payments"/>
    <x v="2"/>
    <s v="fulfilled"/>
    <s v="United States"/>
    <s v="New York"/>
    <s v="Valid"/>
    <s v="North Jenniferhaven"/>
  </r>
  <r>
    <s v="#1106"/>
    <d v="2026-08-04T14:04:31"/>
    <d v="2026-08-04T14:04:31"/>
    <s v="Thomas Smith"/>
    <x v="0"/>
    <s v="thomas.smith633@gmail.com"/>
    <s v="Throw Blanket - Fleece"/>
    <s v="Home &amp; Kitchen"/>
    <s v="HK-BLK-FLC"/>
    <n v="1"/>
    <n v="17.989999999999998"/>
    <s v="FREESHIP"/>
    <n v="0"/>
    <n v="0"/>
    <n v="17.989999999999998"/>
    <s v="Credit Card"/>
    <x v="3"/>
    <s v="cancelled"/>
    <s v="Germany"/>
    <m/>
    <s v="Not Required"/>
    <s v="East Seth"/>
  </r>
  <r>
    <s v="#1107"/>
    <d v="2026-04-08T00:00:00"/>
    <s v="08/04/2026"/>
    <s v="Peter Alvarez"/>
    <x v="0"/>
    <s v="peter.alvarez465@yahoo.com"/>
    <s v="Hooded Sweatshirt"/>
    <s v="Apparel"/>
    <s v="APR-HOD-GRY"/>
    <n v="2"/>
    <n v="34.99"/>
    <m/>
    <n v="0"/>
    <n v="4.99"/>
    <n v="74.97"/>
    <s v="PayPal"/>
    <x v="1"/>
    <s v="cancelled"/>
    <s v="United States"/>
    <s v="North Carolina"/>
    <s v="Valid"/>
    <s v="Angelaborough"/>
  </r>
  <r>
    <s v="#1108"/>
    <d v="2026-08-04T14:04:53"/>
    <d v="2026-08-04T14:04:53"/>
    <s v="George Gould"/>
    <x v="0"/>
    <s v="george.gould10@yahoo.com"/>
    <s v="Kids Building Blocks Set"/>
    <s v="Toys"/>
    <s v="TOY-BLK-SET"/>
    <n v="2"/>
    <n v="27.99"/>
    <s v="FREESHIP"/>
    <n v="0"/>
    <n v="0"/>
    <n v="55.98"/>
    <s v="PayPal"/>
    <x v="1"/>
    <s v="fulfilled"/>
    <s v="Canada"/>
    <m/>
    <s v="Not Required"/>
    <s v="Sierrastad"/>
  </r>
  <r>
    <s v="#1109"/>
    <d v="2026-08-04T13:57:49"/>
    <d v="2026-08-04T13:57:49"/>
    <s v="Emily Hicks"/>
    <x v="0"/>
    <s v="emily.hicks49@outlook.com"/>
    <s v="Portable Power Bank 10000mAh"/>
    <s v="Electronics"/>
    <s v="ELC-PWB-10K"/>
    <n v="2"/>
    <n v="21.99"/>
    <s v="FREESHIP"/>
    <n v="0"/>
    <n v="0"/>
    <s v="$43.98"/>
    <s v="Google Pay"/>
    <x v="0"/>
    <s v="pending"/>
    <s v="Germany"/>
    <m/>
    <s v="Not Required"/>
    <s v="Kendrafurt"/>
  </r>
  <r>
    <s v="#1110"/>
    <d v="2026-08-04T14:02:51"/>
    <d v="2026-08-04T14:02:51"/>
    <s v="Ryan Jones"/>
    <x v="0"/>
    <s v="ryan.jones314@gmail.com"/>
    <s v="USB-C Fast Charger 20W"/>
    <s v="Electronics"/>
    <s v="ELC-CHG-20"/>
    <n v="1"/>
    <n v="15.49"/>
    <s v="FREESHIP"/>
    <n v="0"/>
    <n v="0"/>
    <n v="15.49"/>
    <s v="PayPal"/>
    <x v="1"/>
    <s v="fulfilled"/>
    <s v="Australia"/>
    <m/>
    <s v="Not Required"/>
    <s v="West Jimmy"/>
  </r>
  <r>
    <s v="#1111"/>
    <d v="2026-04-08T00:00:00"/>
    <s v="08/04/2026"/>
    <s v="Robert Bryant"/>
    <x v="0"/>
    <s v="robert.bryant21@gmail.com"/>
    <s v="Classic Cotton T-Shirt"/>
    <s v="Apparel"/>
    <s v="TSH-BLK-L"/>
    <n v="1"/>
    <n v="14.99"/>
    <s v="SAVE20"/>
    <n v="3"/>
    <n v="5.99"/>
    <s v="$17.98"/>
    <s v="Apple Pay"/>
    <x v="0"/>
    <s v="cancelled"/>
    <s v="Germany"/>
    <m/>
    <s v="Not Required"/>
    <s v="Lake Adrianport"/>
  </r>
  <r>
    <s v="#1112"/>
    <d v="2026-08-04T14:07:07"/>
    <d v="2026-08-04T14:07:07"/>
    <s v="Pamela Miller"/>
    <x v="0"/>
    <s v="pamela.miller171@icloud.com"/>
    <s v="Hooded Sweatshirt"/>
    <s v="Apparel"/>
    <s v="APR-HOD-GRY"/>
    <n v="1"/>
    <n v="34.99"/>
    <m/>
    <n v="0"/>
    <n v="5.99"/>
    <n v="40.98"/>
    <s v="PayPal"/>
    <x v="1"/>
    <s v="fulfilled"/>
    <s v="United States"/>
    <s v="Texas"/>
    <s v="Valid"/>
    <s v="Reeseburgh"/>
  </r>
  <r>
    <s v="#1113"/>
    <d v="2026-08-04T14:03:08"/>
    <d v="2026-08-04T14:03:08"/>
    <s v="THOMAS ROJAS"/>
    <x v="0"/>
    <s v="thomas.rojas667@icloud.com"/>
    <s v="Hooded Sweatshirt"/>
    <s v="Apparel"/>
    <s v="APR-HOD-GRY"/>
    <n v="2"/>
    <n v="34.99"/>
    <m/>
    <n v="0"/>
    <n v="4.99"/>
    <n v="74.97"/>
    <s v="Shopify Payments"/>
    <x v="2"/>
    <s v="fulfilled"/>
    <s v="United States"/>
    <s v="Illinois"/>
    <s v="Valid"/>
    <s v="Joseton"/>
  </r>
  <r>
    <s v="#1114"/>
    <d v="2026-04-08T00:00:00"/>
    <s v="08/04/2026"/>
    <s v="Kayla Cruz"/>
    <x v="0"/>
    <s v="kayla.cruz151@outlook.com"/>
    <s v="Stainless Steel Water Bottle"/>
    <s v="Home &amp; Kitchen"/>
    <s v="HK-BTL-750"/>
    <n v="1"/>
    <n v="12.99"/>
    <s v="FREESHIP"/>
    <n v="0"/>
    <n v="0"/>
    <n v="12.99"/>
    <s v="Apple Pay"/>
    <x v="0"/>
    <s v="fulfilled"/>
    <s v="Pakistan"/>
    <m/>
    <s v="Not Required"/>
    <s v="East Samantha"/>
  </r>
  <r>
    <s v="#1115"/>
    <d v="2026-08-04T13:56:20"/>
    <d v="2026-08-04T13:56:20"/>
    <s v="Tina Crane"/>
    <x v="0"/>
    <s v="tina.crane554@gmail.com"/>
    <s v="Portable Power Bank 10000mAh"/>
    <s v="Electronics"/>
    <s v="ELC-PWB-10K"/>
    <n v="2"/>
    <s v="$21.99"/>
    <s v="FREESHIP"/>
    <n v="0"/>
    <n v="0"/>
    <n v="43.98"/>
    <s v="Google Pay"/>
    <x v="0"/>
    <s v="fulfilled"/>
    <s v="United Kingdom"/>
    <m/>
    <s v="Not Required"/>
    <s v="Elizabethhaven"/>
  </r>
  <r>
    <s v="#1116"/>
    <d v="2026-08-04T14:01:53"/>
    <d v="2026-08-04T14:01:53"/>
    <s v="Arthur Kelley"/>
    <x v="0"/>
    <s v="arthur.kelley558@gmail.com"/>
    <s v="Kids Building Blocks Set"/>
    <s v="Toys"/>
    <s v="TOY-BLK-SET"/>
    <n v="1"/>
    <n v="27.99"/>
    <s v="SAVE20"/>
    <n v="5.6"/>
    <n v="4.99"/>
    <n v="27.38"/>
    <s v="PayPal"/>
    <x v="0"/>
    <s v="pending"/>
    <s v="Australia"/>
    <m/>
    <s v="Not Required"/>
    <s v="Mooreport"/>
  </r>
  <r>
    <s v="#1117"/>
    <d v="2026-08-04T00:00:00"/>
    <s v="04-08-2026 14:06"/>
    <s v="Stacey Morales"/>
    <x v="0"/>
    <s v="stacey.morales538@yahoo.com"/>
    <s v="Adjustable Dumbbell Set"/>
    <s v="Sports &amp; Outdoors"/>
    <s v="SP-DMB-ADJ"/>
    <n v="1"/>
    <s v="$89.99"/>
    <m/>
    <n v="0"/>
    <n v="0"/>
    <n v="89.99"/>
    <s v="PayPal"/>
    <x v="3"/>
    <s v="fulfilled"/>
    <s v="Australia"/>
    <m/>
    <s v="Not Required"/>
    <s v="Morganmouth"/>
  </r>
  <r>
    <s v="#1118"/>
    <d v="2026-08-04T14:00:39"/>
    <d v="2026-08-04T14:00:39"/>
    <s v="David Torres"/>
    <x v="1"/>
    <m/>
    <s v="Non-Stick Frying Pan 10in"/>
    <s v="Home &amp; Kitchen"/>
    <s v="HK-PAN-10"/>
    <n v="1"/>
    <n v="24.99"/>
    <m/>
    <n v="0"/>
    <n v="4.99"/>
    <n v="29.98"/>
    <s v="PayPal"/>
    <x v="0"/>
    <s v="fulfilled"/>
    <s v="United States"/>
    <s v="Florida"/>
    <s v="Valid"/>
    <s v="Donaldborough"/>
  </r>
  <r>
    <s v="#1119"/>
    <d v="2026-08-04T13:53:46"/>
    <d v="2026-08-04T13:53:46"/>
    <s v="Justin Smith"/>
    <x v="0"/>
    <s v="justin.smith204@yahoo.com"/>
    <s v="Phone Case - Clear"/>
    <s v="Electronics"/>
    <s v="ELC-CSE-CLR"/>
    <n v="2"/>
    <n v="8.99"/>
    <s v="BFCM25"/>
    <n v="4.5"/>
    <n v="5.99"/>
    <n v="19.47"/>
    <s v="Apple Pay"/>
    <x v="2"/>
    <s v="fulfilled"/>
    <s v="United Kingdom"/>
    <m/>
    <s v="Not Required"/>
    <s v="Butlerhaven"/>
  </r>
  <r>
    <s v="#1120"/>
    <d v="2026-08-04T14:03:06"/>
    <d v="2026-08-04T14:03:06"/>
    <s v="Jennifer Martin"/>
    <x v="0"/>
    <s v="jennifer.martin986@outlook.com"/>
    <s v="Ceramic Coffee Mug Set (4pc)"/>
    <s v="Home &amp; Kitchen"/>
    <s v="HK-MUG-4PK"/>
    <n v="1"/>
    <n v="18.989999999999998"/>
    <m/>
    <n v="0"/>
    <n v="7.99"/>
    <s v="$26.98"/>
    <s v="Credit Card"/>
    <x v="2"/>
    <s v="fulfilled"/>
    <s v="United States"/>
    <s v="Ohio"/>
    <s v="Valid"/>
    <s v="Tamarastad"/>
  </r>
  <r>
    <s v="#1121"/>
    <d v="2026-08-04T14:07:32"/>
    <d v="2026-08-04T14:07:32"/>
    <s v="  Barbara Brown"/>
    <x v="0"/>
    <s v="barbara.brown26@gmail.com"/>
    <s v="Polarized Sunglasses"/>
    <s v="Accessories"/>
    <s v="ACC-SUN-01"/>
    <n v="1"/>
    <n v="16.989999999999998"/>
    <s v="VIP15"/>
    <n v="2.5499999999999998"/>
    <n v="7.99"/>
    <n v="22.43"/>
    <s v="PayPal"/>
    <x v="0"/>
    <s v="fulfilled"/>
    <s v="United States"/>
    <s v="Georgia"/>
    <s v="Valid"/>
    <s v="Doughertyport"/>
  </r>
  <r>
    <s v="#1122"/>
    <d v="2026-08-04T13:57:34"/>
    <d v="2026-08-04T13:57:34"/>
    <s v="Amanda Harris"/>
    <x v="0"/>
    <s v="amanda.harris197@gmail.com"/>
    <s v="Wireless Mouse"/>
    <s v="Electronics"/>
    <s v="ELC-MSE-WL"/>
    <n v="1"/>
    <n v="11.99"/>
    <m/>
    <n v="0"/>
    <n v="7.99"/>
    <n v="19.98"/>
    <s v="Credit Card"/>
    <x v="0"/>
    <s v="fulfilled"/>
    <s v="United States"/>
    <s v="New York"/>
    <s v="Valid"/>
    <s v="Knightfort"/>
  </r>
  <r>
    <s v="#1123"/>
    <d v="2026-08-04T13:55:33"/>
    <d v="2026-08-04T13:55:33"/>
    <s v="Ashley Allen"/>
    <x v="0"/>
    <s v="ashley.allen918@yahoo.com"/>
    <s v="Ceramic Coffee Mug Set (4pc)"/>
    <s v="Home &amp; Kitchen"/>
    <s v="HK-MUG-4PK"/>
    <n v="1"/>
    <n v="18.989999999999998"/>
    <s v="WELCOME10"/>
    <s v="$1.90"/>
    <n v="5.99"/>
    <n v="23.08"/>
    <s v="Credit Card"/>
    <x v="0"/>
    <s v="fulfilled"/>
    <s v="United States"/>
    <s v="NC"/>
    <s v="Valid"/>
    <s v="Hernandezstad"/>
  </r>
  <r>
    <s v="#1124"/>
    <d v="2026-08-04T14:01:22"/>
    <d v="2026-08-04T14:01:22"/>
    <s v="  Daniel Parsons"/>
    <x v="0"/>
    <s v="daniel.parsons636@gmail.com"/>
    <s v="Kids Building Blocks Set"/>
    <s v="Toys"/>
    <s v="TOY-BLK-SET"/>
    <n v="3"/>
    <n v="27.99"/>
    <s v="SAVE20"/>
    <s v="$16.79"/>
    <n v="0"/>
    <n v="67.180000000000007"/>
    <s v="Shopify Payments"/>
    <x v="2"/>
    <s v="fulfilled"/>
    <s v="United States"/>
    <s v="North Carolina"/>
    <s v="Valid"/>
    <s v="Jeffreyberg"/>
  </r>
  <r>
    <s v="#1125"/>
    <d v="2026-04-08T00:00:00"/>
    <s v="08/04/2026"/>
    <s v="James Castro"/>
    <x v="0"/>
    <s v="james.castro923@icloud.com"/>
    <s v="Non-Stick Frying Pan 10in"/>
    <s v="Home &amp; Kitchen"/>
    <s v="HK-PAN-10"/>
    <n v="1"/>
    <n v="24.99"/>
    <s v="VIP15"/>
    <n v="3.75"/>
    <n v="4.99"/>
    <n v="26.23"/>
    <s v="Apple Pay"/>
    <x v="1"/>
    <s v="pending"/>
    <s v="Pakistan"/>
    <m/>
    <s v="Not Required"/>
    <s v="West Debrabury"/>
  </r>
  <r>
    <s v="#1126"/>
    <d v="2026-08-04T13:58:13"/>
    <d v="2026-08-04T13:58:13"/>
    <s v="James Miller"/>
    <x v="0"/>
    <s v="james.miller866@yahoo.com"/>
    <s v="Wireless Mouse"/>
    <s v="Electronics"/>
    <s v="ELC-MSE-WL"/>
    <n v="1"/>
    <n v="11.99"/>
    <s v="VIP15"/>
    <n v="1.8"/>
    <n v="5.99"/>
    <n v="16.18"/>
    <s v="PayPal"/>
    <x v="2"/>
    <s v="refunded"/>
    <s v="Pakistan"/>
    <m/>
    <s v="Not Required"/>
    <s v="Adrianview"/>
  </r>
  <r>
    <s v="#1127"/>
    <d v="2026-08-04T14:03:53"/>
    <d v="2026-08-04T14:03:53"/>
    <s v="John Carson"/>
    <x v="0"/>
    <s v="john.carson203@yahoo.com"/>
    <s v="Wireless Bluetooth Earbuds"/>
    <s v="Electronics"/>
    <s v="ELC-WBE-01"/>
    <n v="1"/>
    <s v="$29.99"/>
    <m/>
    <n v="0"/>
    <n v="4.99"/>
    <n v="34.979999999999997"/>
    <s v="Shopify Payments"/>
    <x v="1"/>
    <s v="cancelled"/>
    <s v="United States"/>
    <s v="Ohio"/>
    <s v="Valid"/>
    <s v="Johnsonborough"/>
  </r>
  <r>
    <s v="#1128"/>
    <d v="2026-08-04T13:54:47"/>
    <d v="2026-08-04T13:54:47"/>
    <s v="Seth Price"/>
    <x v="0"/>
    <s v="seth.price179@gmail.com"/>
    <s v="Hooded Sweatshirt"/>
    <s v="Apparel"/>
    <s v="APR-HOD-GRY"/>
    <n v="1"/>
    <n v="34.99"/>
    <s v="BFCM25"/>
    <n v="8.75"/>
    <n v="4.99"/>
    <n v="31.23"/>
    <s v="Google Pay"/>
    <x v="1"/>
    <s v="fulfilled"/>
    <s v="United States"/>
    <s v="Texas"/>
    <s v="Valid"/>
    <s v="West Jasmine"/>
  </r>
  <r>
    <s v="#1129"/>
    <d v="2026-08-04T14:07:05"/>
    <d v="2026-08-04T14:07:05"/>
    <s v="Kari Cooke"/>
    <x v="0"/>
    <s v="kari.cooke871@gmail.com"/>
    <s v="Hooded Sweatshirt"/>
    <s v="Apparel"/>
    <s v="APR-HOD-GRY"/>
    <n v="1"/>
    <n v="34.99"/>
    <s v="WELCOME10"/>
    <n v="3.5"/>
    <n v="7.99"/>
    <n v="39.479999999999997"/>
    <s v="Google Pay"/>
    <x v="0"/>
    <s v="fulfilled"/>
    <s v="Australia"/>
    <m/>
    <s v="Not Required"/>
    <s v="Coxtown"/>
  </r>
  <r>
    <s v="#1130"/>
    <d v="2026-08-04T13:59:11"/>
    <d v="2026-08-04T13:59:11"/>
    <s v="Andrew Wheeler"/>
    <x v="0"/>
    <s v="andrew.wheeler379@yahoo.com"/>
    <s v="Running Shoes - Women's"/>
    <s v="Footwear"/>
    <s v="FTW-RUN-W"/>
    <n v="1"/>
    <n v="54.99"/>
    <s v="VIP15"/>
    <n v="8.25"/>
    <n v="4.99"/>
    <n v="51.73"/>
    <s v="PayPal"/>
    <x v="3"/>
    <s v="fulfilled"/>
    <s v="United States"/>
    <s v="Ohio"/>
    <s v="Valid"/>
    <s v="Perezville"/>
  </r>
  <r>
    <s v="#1131"/>
    <d v="2026-08-04T13:53:57"/>
    <d v="2026-08-04T13:53:57"/>
    <s v="Janet Martinez"/>
    <x v="0"/>
    <s v="janet.martinez20@yahoo.com"/>
    <s v="USB-C Fast Charger 20W"/>
    <s v="Electronics"/>
    <s v="ELC-CHG-20"/>
    <n v="1"/>
    <n v="15.49"/>
    <m/>
    <n v="0"/>
    <n v="4.99"/>
    <n v="20.48"/>
    <s v="Shopify Payments"/>
    <x v="2"/>
    <s v="fulfilled"/>
    <s v="United States"/>
    <s v="Illinois"/>
    <s v="Valid"/>
    <s v="West Brian"/>
  </r>
  <r>
    <s v="#1132"/>
    <d v="2026-04-08T00:00:00"/>
    <s v="08/04/2026"/>
    <s v="Sheryl Nguyen"/>
    <x v="0"/>
    <s v="sheryl.nguyen272@outlook.com"/>
    <s v="Ceramic Coffee Mug Set (4pc)"/>
    <s v="Home &amp; Kitchen"/>
    <s v="HK-MUG-4PK"/>
    <n v="1"/>
    <s v="$18.99"/>
    <s v="WELCOME10"/>
    <n v="1.9"/>
    <n v="5.99"/>
    <s v="$23.08"/>
    <s v="Credit Card"/>
    <x v="0"/>
    <s v="pending"/>
    <s v="United States"/>
    <s v="Ohio"/>
    <s v="Valid"/>
    <s v="North Zacharymouth"/>
  </r>
  <r>
    <s v="#1133"/>
    <d v="2026-08-04T14:02:55"/>
    <d v="2026-08-04T14:02:55"/>
    <s v="Christopher Hayes"/>
    <x v="0"/>
    <s v="christopher.hayes809@icloud.com"/>
    <s v="USB-C Fast Charger 20W"/>
    <s v="Electronics"/>
    <s v="ELC-CHG-20"/>
    <n v="3"/>
    <n v="15.49"/>
    <m/>
    <s v="$0.00"/>
    <n v="5.99"/>
    <n v="52.46"/>
    <s v="PayPal"/>
    <x v="0"/>
    <s v="fulfilled"/>
    <s v="United States"/>
    <s v="Ohio"/>
    <s v="Valid"/>
    <s v="Seanport"/>
  </r>
  <r>
    <s v="#1134"/>
    <d v="2026-08-04T14:02:35"/>
    <d v="2026-08-04T14:02:35"/>
    <s v="Frank Diaz"/>
    <x v="0"/>
    <s v="frank.diaz795@gmail.com"/>
    <s v="USB-C Fast Charger 20W"/>
    <s v="Electronics"/>
    <s v="ELC-CHG-20"/>
    <n v="1"/>
    <n v="15.49"/>
    <s v="SAVE20"/>
    <n v="3.1"/>
    <n v="5.99"/>
    <n v="18.38"/>
    <s v="Shopify Payments"/>
    <x v="0"/>
    <s v="fulfilled"/>
    <s v="United States"/>
    <s v="Georgia"/>
    <s v="Valid"/>
    <s v="Tannerbury"/>
  </r>
  <r>
    <s v="#1135"/>
    <d v="2026-08-04T14:03:53"/>
    <d v="2026-08-04T14:03:53"/>
    <s v="Christopher Martin"/>
    <x v="0"/>
    <s v="christopher.martin10@gmail.com"/>
    <s v="Wireless Bluetooth Earbuds"/>
    <s v="Electronics"/>
    <s v="ELC-WBE-01"/>
    <n v="1"/>
    <n v="29.99"/>
    <m/>
    <n v="0"/>
    <n v="5.99"/>
    <n v="35.979999999999997"/>
    <s v="PayPal"/>
    <x v="1"/>
    <s v="fulfilled"/>
    <s v="United States"/>
    <s v="New York"/>
    <s v="Valid"/>
    <s v="Lake Teresa"/>
  </r>
  <r>
    <s v="#1136"/>
    <d v="2026-08-04T13:58:58"/>
    <d v="2026-08-04T13:58:58"/>
    <s v="Lori Davis"/>
    <x v="0"/>
    <s v="lori.davis757@yahoo.com"/>
    <s v="Kids Building Blocks Set"/>
    <s v="Toys"/>
    <s v="TOY-BLK-SET"/>
    <n v="1"/>
    <n v="27.99"/>
    <m/>
    <n v="0"/>
    <n v="7.99"/>
    <n v="35.979999999999997"/>
    <s v="Shopify Payments"/>
    <x v="0"/>
    <s v="cancelled"/>
    <s v="Germany"/>
    <m/>
    <s v="Not Required"/>
    <s v="Harveymouth"/>
  </r>
  <r>
    <s v="#1137"/>
    <d v="2026-08-04T13:58:52"/>
    <d v="2026-08-04T13:58:52"/>
    <s v="sheryl nguyen"/>
    <x v="0"/>
    <s v="sheryl.nguyen272@outlook.com"/>
    <s v="Backpack - 25L"/>
    <s v="Accessories"/>
    <s v="ACC-BPK-25L"/>
    <n v="1"/>
    <n v="32.99"/>
    <s v="FREESHIP"/>
    <n v="0"/>
    <n v="0"/>
    <n v="32.99"/>
    <s v="Credit Card"/>
    <x v="3"/>
    <s v="refunded"/>
    <s v="United States"/>
    <s v="Arizona"/>
    <s v="Valid"/>
    <s v="Angelaton"/>
  </r>
  <r>
    <s v="#1138"/>
    <d v="2026-04-08T00:00:00"/>
    <s v="08/04/2026"/>
    <s v="Samuel Padilla"/>
    <x v="0"/>
    <s v="samuel.padilla79@gmail.com"/>
    <s v="Throw Blanket - Fleece"/>
    <s v="Home &amp; Kitchen"/>
    <s v="HK-BLK-FLC"/>
    <n v="1"/>
    <n v="17.989999999999998"/>
    <m/>
    <n v="0"/>
    <n v="4.99"/>
    <n v="22.98"/>
    <s v="Google Pay"/>
    <x v="2"/>
    <s v="fulfilled"/>
    <s v="United States"/>
    <s v="Georgia"/>
    <s v="Valid"/>
    <s v="Port Lisamouth"/>
  </r>
  <r>
    <s v="#1139"/>
    <d v="2026-04-08T00:00:00"/>
    <s v="08/04/2026"/>
    <s v="Rose Campos"/>
    <x v="0"/>
    <s v="rose.campos542@gmail.com"/>
    <s v="Resistance Bands Set"/>
    <s v="Sports &amp; Outdoors"/>
    <s v="SP-RBS-SET"/>
    <n v="1"/>
    <n v="13.99"/>
    <s v="BFCM25"/>
    <n v="3.5"/>
    <n v="5.99"/>
    <n v="16.48"/>
    <s v="PayPal"/>
    <x v="0"/>
    <s v="fulfilled"/>
    <s v="Canada"/>
    <m/>
    <s v="Not Required"/>
    <s v="Williamside"/>
  </r>
  <r>
    <s v="#1140"/>
    <d v="2026-08-04T14:01:46"/>
    <d v="2026-08-04T14:01:46"/>
    <s v="DOMINIQUE HUERTA"/>
    <x v="0"/>
    <s v="dominique.huerta708@outlook.com"/>
    <s v="Classic Cotton T-Shirt"/>
    <s v="Apparel"/>
    <s v="TSH-BLK-L"/>
    <n v="1"/>
    <n v="14.99"/>
    <m/>
    <n v="0"/>
    <n v="4.99"/>
    <n v="19.98"/>
    <s v="Apple Pay"/>
    <x v="1"/>
    <s v="refunded"/>
    <s v="United Kingdom"/>
    <m/>
    <s v="Not Required"/>
    <s v="East Katie"/>
  </r>
  <r>
    <s v="#1141"/>
    <d v="2026-08-04T14:07:54"/>
    <d v="2026-08-04T14:07:54"/>
    <s v="James Andrade"/>
    <x v="0"/>
    <s v="james.andrade258@icloud.com"/>
    <s v="Ceramic Coffee Mug Set (4pc)"/>
    <s v="Home &amp; Kitchen"/>
    <s v="HK-MUG-4PK"/>
    <n v="1"/>
    <n v="18.989999999999998"/>
    <m/>
    <n v="0"/>
    <n v="7.99"/>
    <n v="26.98"/>
    <s v="Apple Pay"/>
    <x v="3"/>
    <s v="refunded"/>
    <s v="Germany"/>
    <m/>
    <s v="Not Required"/>
    <s v="New Dawn"/>
  </r>
  <r>
    <s v="#1142"/>
    <d v="2026-08-04T14:00:03"/>
    <d v="2026-08-04T14:00:03"/>
    <m/>
    <x v="0"/>
    <s v="karen.bautista779@icloud.com"/>
    <s v="Resistance Bands Set"/>
    <s v="Sports &amp; Outdoors"/>
    <s v="SP-RBS-SET"/>
    <n v="2"/>
    <n v="13.99"/>
    <s v="FREESHIP"/>
    <n v="0"/>
    <n v="0"/>
    <n v="27.98"/>
    <s v="Credit Card"/>
    <x v="1"/>
    <s v="fulfilled"/>
    <s v="United States"/>
    <s v="TX"/>
    <s v="Valid"/>
    <s v="Lake Katherine"/>
  </r>
  <r>
    <s v="#1143"/>
    <d v="2026-08-04T14:06:32"/>
    <d v="2026-08-04T14:06:32"/>
    <s v="Donald Davis"/>
    <x v="0"/>
    <s v="donald.davis404@icloud.com"/>
    <s v="Leather Wallet - Brown"/>
    <s v="Accessories"/>
    <s v="ACC-WLT-BRN"/>
    <n v="3"/>
    <n v="19.989999999999998"/>
    <s v="SAVE20"/>
    <n v="11.99"/>
    <n v="5.99"/>
    <n v="53.97"/>
    <s v="Shopify Payments"/>
    <x v="0"/>
    <s v="fulfilled"/>
    <s v="Canada"/>
    <m/>
    <s v="Not Required"/>
    <s v="Lake David"/>
  </r>
  <r>
    <s v="#1144"/>
    <d v="2026-08-04T14:07:24"/>
    <d v="2026-08-04T14:07:24"/>
    <s v="Gerald Li"/>
    <x v="0"/>
    <s v="gerald.li856@icloud.com"/>
    <s v="Ceramic Coffee Mug Set (4pc)"/>
    <s v="Home &amp; Kitchen"/>
    <s v="HK-MUG-4PK"/>
    <n v="1"/>
    <n v="18.989999999999998"/>
    <m/>
    <n v="0"/>
    <n v="4.99"/>
    <n v="23.98"/>
    <s v="Shopify Payments"/>
    <x v="0"/>
    <s v="pending"/>
    <s v="United States"/>
    <s v="TX"/>
    <s v="Valid"/>
    <s v="New Bonnie"/>
  </r>
  <r>
    <s v="#1145"/>
    <d v="2026-08-04T00:00:00"/>
    <s v="2026-08-04"/>
    <s v="Jose Ingram"/>
    <x v="0"/>
    <s v="jose.ingram37@gmail.com"/>
    <s v="Resistance Bands Set"/>
    <s v="Sports &amp; Outdoors"/>
    <s v="SP-RBS-SET"/>
    <n v="1"/>
    <n v="13.99"/>
    <s v="SAVE20"/>
    <n v="2.8"/>
    <n v="7.99"/>
    <n v="19.18"/>
    <s v="Apple Pay"/>
    <x v="3"/>
    <s v="fulfilled"/>
    <s v="United States"/>
    <s v="California"/>
    <s v="Valid"/>
    <s v="Sandersstad"/>
  </r>
  <r>
    <s v="#1146"/>
    <d v="2026-08-04T13:56:01"/>
    <d v="2026-08-04T13:56:01"/>
    <s v="Jaime Vargas"/>
    <x v="0"/>
    <s v="jaime.vargas795@outlook.com"/>
    <s v="Adjustable Dumbbell Set"/>
    <s v="Sports &amp; Outdoors"/>
    <s v="SP-DMB-ADJ"/>
    <n v="1"/>
    <n v="89.99"/>
    <s v="WELCOME10"/>
    <n v="9"/>
    <n v="0"/>
    <n v="80.989999999999995"/>
    <s v="Credit Card"/>
    <x v="1"/>
    <s v="fulfilled"/>
    <s v="United Kingdom"/>
    <m/>
    <s v="Not Required"/>
    <s v="Lake Rickyland"/>
  </r>
  <r>
    <s v="#1147"/>
    <d v="2026-08-04T14:00:13"/>
    <d v="2026-08-04T14:00:13"/>
    <s v="Donald Davis"/>
    <x v="0"/>
    <s v="donald.davis404@icloud.com"/>
    <s v="Running Shoes - Men's"/>
    <s v="Footwear"/>
    <s v="FTW-RUN-M"/>
    <n v="1"/>
    <n v="54.99"/>
    <m/>
    <n v="0"/>
    <n v="7.99"/>
    <n v="62.98"/>
    <s v="PayPal"/>
    <x v="1"/>
    <s v="fulfilled"/>
    <s v="Canada"/>
    <m/>
    <s v="Not Required"/>
    <s v="South Joelstad"/>
  </r>
  <r>
    <s v="#1148"/>
    <d v="2026-08-04T14:01:58"/>
    <d v="2026-08-04T14:01:58"/>
    <s v="Johnathan Everett"/>
    <x v="0"/>
    <s v="johnathan.everett6@outlook.com"/>
    <s v="Running Shoes - Women's"/>
    <s v="Footwear"/>
    <s v="FTW-RUN-W"/>
    <n v="1"/>
    <n v="54.99"/>
    <s v="WELCOME10"/>
    <n v="5.5"/>
    <n v="5.99"/>
    <n v="55.48"/>
    <s v="Shopify Payments"/>
    <x v="2"/>
    <s v="fulfilled"/>
    <s v="United States"/>
    <s v="WA"/>
    <s v="Valid"/>
    <s v="Davischester"/>
  </r>
  <r>
    <s v="#1149"/>
    <d v="2026-08-04T13:53:50"/>
    <d v="2026-08-04T13:53:50"/>
    <s v="Brittney Conway"/>
    <x v="0"/>
    <s v="brittney.conway383@outlook.com"/>
    <s v="Classic Cotton T-Shirt"/>
    <s v="Apparel"/>
    <s v="TSH-BLK-L"/>
    <n v="1"/>
    <n v="14.99"/>
    <s v="BFCM25"/>
    <n v="3.75"/>
    <n v="5.99"/>
    <n v="17.23"/>
    <s v="Apple Pay"/>
    <x v="1"/>
    <s v="fulfilled"/>
    <s v="United States"/>
    <s v="Illinois"/>
    <s v="Valid"/>
    <s v="Scottmouth"/>
  </r>
  <r>
    <s v="#1150"/>
    <d v="2026-08-04T14:01:59"/>
    <d v="2026-08-04T14:01:59"/>
    <s v="Jaime Vargas"/>
    <x v="0"/>
    <s v="jaime.vargas795@outlook.com"/>
    <s v="Running Shoes - Women's"/>
    <s v="Footwear"/>
    <s v="FTW-RUN-W"/>
    <n v="1"/>
    <n v="54.99"/>
    <s v="BFCM25"/>
    <n v="13.75"/>
    <n v="7.99"/>
    <n v="49.23"/>
    <s v="Credit Card"/>
    <x v="0"/>
    <s v="refunded"/>
    <s v="United Kingdom"/>
    <m/>
    <s v="Not Required"/>
    <s v="Perryberg"/>
  </r>
  <r>
    <s v="#1151"/>
    <d v="2026-08-04T13:59:32"/>
    <d v="2026-08-04T13:59:32"/>
    <s v="Amanda Robinson"/>
    <x v="0"/>
    <s v="amanda.robinson263@icloud.com"/>
    <s v="Leather Wallet - Brown"/>
    <s v="Accessories"/>
    <s v="ACC-WLT-BRN"/>
    <n v="1"/>
    <n v="19.989999999999998"/>
    <s v="FREESHIP"/>
    <n v="0"/>
    <n v="0"/>
    <n v="19.989999999999998"/>
    <s v="PayPal"/>
    <x v="0"/>
    <s v="cancelled"/>
    <s v="United States"/>
    <s v="Washington"/>
    <s v="Valid"/>
    <s v="Manuelview"/>
  </r>
  <r>
    <s v="#1152"/>
    <d v="2026-08-04T14:06:08"/>
    <d v="2026-08-04T14:06:08"/>
    <s v="Trevor Carter"/>
    <x v="0"/>
    <s v="trevor.carter617@icloud.com"/>
    <s v="Throw Blanket - Fleece"/>
    <s v="Home &amp; Kitchen"/>
    <s v="HK-BLK-FLC"/>
    <n v="1"/>
    <s v="$17.99"/>
    <s v="WELCOME10"/>
    <n v="1.8"/>
    <n v="4.99"/>
    <n v="21.18"/>
    <s v="Credit Card"/>
    <x v="2"/>
    <s v="refunded"/>
    <s v="United States"/>
    <s v="North Carolina"/>
    <s v="Valid"/>
    <s v="South Richardville"/>
  </r>
  <r>
    <s v="#1153"/>
    <d v="2026-08-04T14:03:38"/>
    <d v="2026-08-04T14:03:38"/>
    <s v="Kayla Cruz"/>
    <x v="0"/>
    <s v="kayla.cruz151@outlook.com"/>
    <s v="Slim Fit Denim Jeans"/>
    <s v="Apparel"/>
    <s v="JNS-BLU-32"/>
    <n v="1"/>
    <n v="39.99"/>
    <s v="VIP15"/>
    <n v="6"/>
    <n v="7.99"/>
    <n v="41.98"/>
    <s v="Shopify Payments"/>
    <x v="0"/>
    <s v="cancelled"/>
    <s v="Pakistan"/>
    <m/>
    <s v="Not Required"/>
    <s v="Juanshire"/>
  </r>
  <r>
    <s v="#1154"/>
    <d v="2026-08-04T13:55:21"/>
    <d v="2026-08-04T13:55:21"/>
    <s v="Megan Dickson"/>
    <x v="0"/>
    <s v="megan.dickson508@gmail.com"/>
    <s v="Throw Blanket - Fleece"/>
    <s v="Home &amp; Kitchen"/>
    <s v="HK-BLK-FLC"/>
    <n v="1"/>
    <n v="17.989999999999998"/>
    <s v="SAVE20"/>
    <s v="$3.60"/>
    <n v="5.99"/>
    <n v="20.38"/>
    <s v="Google Pay"/>
    <x v="3"/>
    <s v="pending"/>
    <s v="United Kingdom"/>
    <m/>
    <s v="Not Required"/>
    <s v="West Joseph"/>
  </r>
  <r>
    <s v="#1155"/>
    <d v="2026-08-04T14:00:47"/>
    <d v="2026-08-04T14:00:47"/>
    <s v="Monique Bowman"/>
    <x v="0"/>
    <s v="monique.bowman430@gmail.com"/>
    <s v="Classic Cotton T-Shirt"/>
    <s v="Apparel"/>
    <s v="TSH-BLK-L"/>
    <n v="2"/>
    <n v="14.99"/>
    <m/>
    <n v="0"/>
    <n v="4.99"/>
    <n v="34.97"/>
    <s v="PayPal"/>
    <x v="2"/>
    <s v="fulfilled"/>
    <s v="United States"/>
    <s v="North Carolina"/>
    <s v="Valid"/>
    <s v="West Anna"/>
  </r>
  <r>
    <s v="#1156"/>
    <d v="2026-08-04T00:00:00"/>
    <s v="04-08-2026 14:00"/>
    <s v="  Barbara Case"/>
    <x v="0"/>
    <s v="barbara.case365@yahoo.com"/>
    <s v="Wireless Mouse"/>
    <s v="Electronics"/>
    <s v="ELC-MSE-WL"/>
    <n v="1"/>
    <n v="11.99"/>
    <m/>
    <n v="0"/>
    <n v="5.99"/>
    <n v="17.98"/>
    <s v="Google Pay"/>
    <x v="1"/>
    <s v="fulfilled"/>
    <s v="United States"/>
    <s v="Arizona"/>
    <s v="Valid"/>
    <s v="Port Matthewfurt"/>
  </r>
  <r>
    <s v="#1157"/>
    <d v="2026-08-04T14:07:34"/>
    <d v="2026-08-04T14:07:34"/>
    <s v="Christopher Martin"/>
    <x v="0"/>
    <s v="christopher.martin10@gmail.com"/>
    <s v="Wireless Mouse"/>
    <s v="Electronics"/>
    <s v="ELC-MSE-WL"/>
    <n v="1"/>
    <s v="$11.99"/>
    <m/>
    <n v="0"/>
    <n v="5.99"/>
    <n v="17.98"/>
    <s v="Apple Pay"/>
    <x v="0"/>
    <s v="cancelled"/>
    <s v="United States"/>
    <s v="New York"/>
    <s v="Valid"/>
    <s v="West Danny"/>
  </r>
  <r>
    <s v="#1158"/>
    <d v="2026-08-04T14:00:28"/>
    <d v="2026-08-04T14:00:28"/>
    <s v="Samuel Padilla"/>
    <x v="1"/>
    <m/>
    <s v="Running Shoes - Men's"/>
    <s v="Footwear"/>
    <s v="FTW-RUN-M"/>
    <n v="1"/>
    <n v="54.99"/>
    <m/>
    <n v="0"/>
    <n v="7.99"/>
    <n v="62.98"/>
    <s v="Credit Card"/>
    <x v="0"/>
    <s v="fulfilled"/>
    <s v="United States"/>
    <s v="Illinois"/>
    <s v="Valid"/>
    <s v="South Rebecca"/>
  </r>
  <r>
    <s v="#1159"/>
    <d v="2026-08-04T13:55:10"/>
    <d v="2026-08-04T13:55:10"/>
    <s v="Christopher Martin"/>
    <x v="0"/>
    <s v="christopher.martin10@gmail.com"/>
    <s v="Adjustable Dumbbell Set"/>
    <s v="Sports &amp; Outdoors"/>
    <s v="SP-DMB-ADJ"/>
    <n v="1"/>
    <n v="89.99"/>
    <m/>
    <n v="0"/>
    <n v="0"/>
    <n v="89.99"/>
    <s v="PayPal"/>
    <x v="1"/>
    <s v="fulfilled"/>
    <s v="United States"/>
    <s v="Ohio"/>
    <s v="Valid"/>
    <s v="Sarahfort"/>
  </r>
  <r>
    <s v="#1160"/>
    <d v="2026-08-04T13:59:47"/>
    <d v="2026-08-04T13:59:47"/>
    <s v="Sean Frank"/>
    <x v="0"/>
    <s v="sean.frank587@icloud.com"/>
    <s v="Hooded Sweatshirt"/>
    <s v="Apparel"/>
    <s v="APR-HOD-GRY"/>
    <n v="2"/>
    <n v="34.99"/>
    <m/>
    <n v="0"/>
    <n v="5.99"/>
    <n v="75.97"/>
    <s v="Google Pay"/>
    <x v="0"/>
    <s v="fulfilled"/>
    <s v="Australia"/>
    <m/>
    <s v="Not Required"/>
    <s v="Willisview"/>
  </r>
  <r>
    <s v="#1161"/>
    <d v="2026-08-04T14:00:30"/>
    <d v="2026-08-04T14:00:30"/>
    <s v="Omar Sanders"/>
    <x v="0"/>
    <s v="omar.sanders208@outlook.com"/>
    <s v="Running Shoes - Men's"/>
    <s v="Footwear"/>
    <s v="FTW-RUN-M"/>
    <n v="1"/>
    <n v="54.99"/>
    <s v="WELCOME10"/>
    <n v="5.5"/>
    <n v="5.99"/>
    <n v="55.48"/>
    <s v="Apple Pay"/>
    <x v="3"/>
    <s v="fulfilled"/>
    <s v="United Kingdom"/>
    <m/>
    <s v="Not Required"/>
    <s v="Port Sonya"/>
  </r>
  <r>
    <s v="#1162"/>
    <d v="2026-04-08T00:00:00"/>
    <s v="08/04/2026"/>
    <s v="Cynthia Williams"/>
    <x v="0"/>
    <s v="cynthia.williams720@yahoo.com"/>
    <s v="USB-C Fast Charger 20W"/>
    <s v="Electronics"/>
    <s v="ELC-CHG-20"/>
    <n v="1"/>
    <n v="15.49"/>
    <m/>
    <n v="0"/>
    <n v="7.99"/>
    <n v="23.48"/>
    <s v="Google Pay"/>
    <x v="0"/>
    <s v="cancelled"/>
    <s v="Australia"/>
    <m/>
    <s v="Not Required"/>
    <s v="Jordanmouth"/>
  </r>
  <r>
    <s v="#1163"/>
    <d v="2026-08-04T13:56:40"/>
    <d v="2026-08-04T13:56:40"/>
    <s v="nancy nichols"/>
    <x v="0"/>
    <s v="nancy.nichols189@yahoo.com"/>
    <s v="Phone Case - Clear"/>
    <s v="Electronics"/>
    <s v="ELC-CSE-CLR"/>
    <n v="1"/>
    <n v="8.99"/>
    <m/>
    <n v="0"/>
    <n v="7.99"/>
    <n v="16.98"/>
    <s v="Shopify Payments"/>
    <x v="2"/>
    <s v="fulfilled"/>
    <s v="United States"/>
    <s v="Georgia"/>
    <s v="Valid"/>
    <s v="Shafferchester"/>
  </r>
  <r>
    <s v="#1164"/>
    <d v="2026-08-04T14:05:00"/>
    <d v="2026-08-04T14:05:00"/>
    <s v="Timothy Hodges"/>
    <x v="0"/>
    <s v="timothy.hodges687@icloud.com"/>
    <s v="Kids Building Blocks Set"/>
    <s v="Toys"/>
    <s v="TOY-BLK-SET"/>
    <n v="1"/>
    <n v="27.99"/>
    <s v="WELCOME10"/>
    <n v="2.8"/>
    <n v="5.99"/>
    <n v="31.18"/>
    <s v="PayPal"/>
    <x v="3"/>
    <s v="cancelled"/>
    <s v="Australia"/>
    <m/>
    <s v="Not Required"/>
    <s v="New Steveberg"/>
  </r>
  <r>
    <s v="#1165"/>
    <d v="2026-08-04T14:02:59"/>
    <d v="2026-08-04T14:02:59"/>
    <s v="Stacey Johnson"/>
    <x v="0"/>
    <s v="stacey.johnson95@gmail.com"/>
    <s v="Polarized Sunglasses"/>
    <s v="Accessories"/>
    <s v="ACC-SUN-01"/>
    <n v="2"/>
    <n v="16.989999999999998"/>
    <m/>
    <n v="0"/>
    <n v="7.99"/>
    <n v="41.97"/>
    <s v="Google Pay"/>
    <x v="3"/>
    <s v="fulfilled"/>
    <s v="Germany"/>
    <m/>
    <s v="Not Required"/>
    <s v="Traceyberg"/>
  </r>
  <r>
    <s v="#1166"/>
    <d v="2026-04-08T00:00:00"/>
    <s v="08/04/2026"/>
    <s v="Mary Garcia"/>
    <x v="1"/>
    <m/>
    <s v="Portable Power Bank 10000mAh"/>
    <s v="Electronics"/>
    <s v="ELC-PWB-10K"/>
    <n v="1"/>
    <s v="$21.99"/>
    <s v="SAVE20"/>
    <n v="4.4000000000000004"/>
    <n v="7.99"/>
    <n v="25.58"/>
    <s v="Shopify Payments"/>
    <x v="0"/>
    <s v="refunded"/>
    <s v="Canada"/>
    <m/>
    <s v="Not Required"/>
    <s v="Hawkinsborough"/>
  </r>
  <r>
    <s v="#1167"/>
    <d v="2026-08-04T14:01:50"/>
    <d v="2026-08-04T14:01:50"/>
    <s v="Anthony Hunt"/>
    <x v="0"/>
    <s v="anthony.hunt521@outlook.com"/>
    <s v="Running Shoes - Men's"/>
    <s v="Footwear"/>
    <s v="FTW-RUN-M"/>
    <n v="1"/>
    <s v="$54.99"/>
    <s v="BFCM25"/>
    <n v="13.75"/>
    <n v="4.99"/>
    <n v="46.23"/>
    <s v="Credit Card"/>
    <x v="0"/>
    <s v="fulfilled"/>
    <s v="United States"/>
    <s v="Arizona"/>
    <s v="Valid"/>
    <s v="Evansburgh"/>
  </r>
  <r>
    <s v="#1168"/>
    <d v="2026-08-04T13:53:50"/>
    <d v="2026-08-04T13:53:50"/>
    <s v="Lisa Williams"/>
    <x v="0"/>
    <s v="lisa.williams715@yahoo.com"/>
    <s v="Running Shoes - Men's"/>
    <s v="Footwear"/>
    <s v="FTW-RUN-M"/>
    <n v="1"/>
    <n v="54.99"/>
    <s v="VIP15"/>
    <n v="8.25"/>
    <n v="7.99"/>
    <n v="54.73"/>
    <s v="Shopify Payments"/>
    <x v="2"/>
    <s v="fulfilled"/>
    <s v="United States"/>
    <s v="North Carolina"/>
    <s v="Valid"/>
    <s v="Jacksonborough"/>
  </r>
  <r>
    <s v="#1169"/>
    <d v="2026-08-04T14:07:06"/>
    <d v="2026-08-04T14:07:06"/>
    <s v="Jesus Mason"/>
    <x v="0"/>
    <s v="jesus.mason798@icloud.com"/>
    <s v="Yoga Mat - Extra Thick"/>
    <s v="Sports &amp; Outdoors"/>
    <s v="SP-YGM-EX"/>
    <n v="1"/>
    <n v="22.99"/>
    <s v="BFCM25"/>
    <n v="5.75"/>
    <n v="5.99"/>
    <n v="23.23"/>
    <s v="Google Pay"/>
    <x v="2"/>
    <s v="fulfilled"/>
    <s v="United States"/>
    <s v="NY"/>
    <s v="Valid"/>
    <s v="Williamschester"/>
  </r>
  <r>
    <s v="#1170"/>
    <d v="2026-04-08T00:00:00"/>
    <s v="08/04/2026"/>
    <s v="Philip Stevens"/>
    <x v="0"/>
    <s v="philip.stevens908@outlook.com"/>
    <s v="Portable Power Bank 10000mAh"/>
    <s v="Electronics"/>
    <s v="ELC-PWB-10K"/>
    <n v="3"/>
    <n v="21.99"/>
    <m/>
    <n v="0"/>
    <n v="7.99"/>
    <n v="73.959999999999994"/>
    <s v="Shopify Payments"/>
    <x v="1"/>
    <s v="fulfilled"/>
    <s v="United States"/>
    <s v="Georgia"/>
    <s v="Valid"/>
    <s v="Jessicaville"/>
  </r>
  <r>
    <s v="#1171"/>
    <d v="2026-08-04T14:07:11"/>
    <d v="2026-08-04T14:07:11"/>
    <s v="Lori Davis"/>
    <x v="0"/>
    <s v="lori.davis757@yahoo.com"/>
    <s v="Resistance Bands Set"/>
    <s v="Sports &amp; Outdoors"/>
    <s v="SP-RBS-SET"/>
    <n v="1"/>
    <n v="13.99"/>
    <m/>
    <n v="0"/>
    <n v="5.99"/>
    <n v="19.98"/>
    <s v="Google Pay"/>
    <x v="2"/>
    <s v="fulfilled"/>
    <s v="Germany"/>
    <m/>
    <s v="Not Required"/>
    <s v="Amyburgh"/>
  </r>
  <r>
    <s v="#1173"/>
    <d v="2026-08-04T14:07:30"/>
    <d v="2026-08-04T14:07:30"/>
    <s v="Samuel Lee"/>
    <x v="0"/>
    <s v="samuel.lee63@icloud.com"/>
    <s v="Running Shoes - Women's"/>
    <s v="Footwear"/>
    <s v="FTW-RUN-W"/>
    <n v="1"/>
    <n v="54.99"/>
    <m/>
    <n v="0"/>
    <n v="4.99"/>
    <n v="59.98"/>
    <s v="Credit Card"/>
    <x v="0"/>
    <s v="fulfilled"/>
    <s v="Australia"/>
    <m/>
    <s v="Not Required"/>
    <s v="South Ericburgh"/>
  </r>
  <r>
    <s v="#1174"/>
    <d v="2026-08-04T13:57:27"/>
    <d v="2026-08-04T13:57:27"/>
    <s v="Mary Phillips"/>
    <x v="0"/>
    <s v="mary.phillips944@yahoo.com"/>
    <s v="Facial Cleanser 200ml"/>
    <s v="Beauty"/>
    <s v="BTY-CLN-200"/>
    <n v="1"/>
    <n v="13.49"/>
    <m/>
    <n v="0"/>
    <n v="5.99"/>
    <n v="19.48"/>
    <s v="Credit Card"/>
    <x v="0"/>
    <s v="cancelled"/>
    <s v="United States"/>
    <s v="Illinois"/>
    <s v="Valid"/>
    <s v="South John"/>
  </r>
  <r>
    <s v="#1175"/>
    <d v="2026-08-04T13:54:13"/>
    <d v="2026-08-04T13:54:13"/>
    <s v="Tyler Williams"/>
    <x v="0"/>
    <s v="tyler.williams938@outlook.com"/>
    <s v="Ceramic Coffee Mug Set (4pc)"/>
    <s v="Home &amp; Kitchen"/>
    <s v="HK-MUG-4PK"/>
    <n v="2"/>
    <n v="18.989999999999998"/>
    <s v="FREESHIP"/>
    <n v="0"/>
    <n v="0"/>
    <n v="37.979999999999997"/>
    <s v="PayPal"/>
    <x v="0"/>
    <s v="fulfilled"/>
    <s v="Australia"/>
    <m/>
    <s v="Not Required"/>
    <s v="Lawrencestad"/>
  </r>
  <r>
    <s v="#1176"/>
    <d v="2026-08-04T14:02:46"/>
    <d v="2026-08-04T14:02:46"/>
    <s v="Julia Atkinson"/>
    <x v="0"/>
    <s v="julia.atkinson939@gmail.com"/>
    <s v="Vitamin C Serum 30ml"/>
    <s v="Beauty"/>
    <s v="BTY-SRM-30"/>
    <n v="2"/>
    <n v="24.99"/>
    <m/>
    <n v="0"/>
    <n v="5.99"/>
    <n v="55.97"/>
    <s v="PayPal"/>
    <x v="0"/>
    <s v="fulfilled"/>
    <s v="Canada"/>
    <m/>
    <s v="Not Required"/>
    <s v="Kristiburgh"/>
  </r>
  <r>
    <s v="#1177"/>
    <d v="2026-08-04T14:00:31"/>
    <d v="2026-08-04T14:00:31"/>
    <s v="Nicole Taylor"/>
    <x v="0"/>
    <s v="nicole.taylor607@icloud.com"/>
    <s v="Running Shoes - Women's"/>
    <s v="Footwear"/>
    <s v="FTW-RUN-W"/>
    <n v="1"/>
    <n v="54.99"/>
    <s v="BFCM25"/>
    <n v="13.75"/>
    <n v="5.99"/>
    <n v="47.23"/>
    <s v="PayPal"/>
    <x v="2"/>
    <s v="fulfilled"/>
    <s v="United States"/>
    <s v="Texas"/>
    <s v="Valid"/>
    <s v="Mcphersonmouth"/>
  </r>
  <r>
    <s v="#1178"/>
    <d v="2026-08-04T13:57:58"/>
    <d v="2026-08-04T13:57:58"/>
    <s v="Lisa Zuniga"/>
    <x v="0"/>
    <s v="lisa.zuniga825@outlook.com"/>
    <s v="Throw Blanket - Fleece"/>
    <s v="Home &amp; Kitchen"/>
    <s v="HK-BLK-FLC"/>
    <n v="2"/>
    <n v="17.989999999999998"/>
    <s v="FREESHIP"/>
    <n v="0"/>
    <n v="0"/>
    <s v="$35.98"/>
    <s v="Apple Pay"/>
    <x v="3"/>
    <s v="fulfilled"/>
    <s v="Germany"/>
    <m/>
    <s v="Not Required"/>
    <s v="Griffithville"/>
  </r>
  <r>
    <s v="#1179"/>
    <d v="2026-08-04T14:01:28"/>
    <d v="2026-08-04T14:01:28"/>
    <s v="Cody Murray"/>
    <x v="0"/>
    <s v="cody.murray456@gmail.com"/>
    <s v="Portable Power Bank 10000mAh"/>
    <s v="Electronics"/>
    <s v="ELC-PWB-10K"/>
    <n v="1"/>
    <n v="21.99"/>
    <m/>
    <n v="0"/>
    <n v="4.99"/>
    <n v="26.98"/>
    <s v="Apple Pay"/>
    <x v="3"/>
    <s v="fulfilled"/>
    <s v="United Kingdom"/>
    <m/>
    <s v="Not Required"/>
    <s v="Bellfurt"/>
  </r>
  <r>
    <s v="#1180"/>
    <d v="2026-04-08T00:00:00"/>
    <s v="08/04/2026"/>
    <s v="Lindsay Shaw"/>
    <x v="0"/>
    <s v="lindsay.shaw178@icloud.com"/>
    <s v="Stainless Steel Water Bottle"/>
    <s v="Home &amp; Kitchen"/>
    <s v="HK-BTL-750"/>
    <n v="2"/>
    <n v="12.99"/>
    <s v="VIP15"/>
    <n v="3.9"/>
    <n v="7.99"/>
    <n v="30.07"/>
    <s v="Google Pay"/>
    <x v="1"/>
    <s v="fulfilled"/>
    <s v="United Kingdom"/>
    <m/>
    <s v="Not Required"/>
    <s v="Riverafort"/>
  </r>
  <r>
    <s v="#1181"/>
    <d v="2026-04-08T00:00:00"/>
    <s v="08/04/2026"/>
    <s v="Brian Ruiz"/>
    <x v="0"/>
    <s v="brian.ruiz246@gmail.com"/>
    <s v="Classic Cotton T-Shirt"/>
    <s v="Apparel"/>
    <s v="TSH-BLK-L"/>
    <n v="1"/>
    <n v="14.99"/>
    <m/>
    <n v="0"/>
    <n v="5.99"/>
    <n v="20.98"/>
    <s v="Credit Card"/>
    <x v="2"/>
    <s v="fulfilled"/>
    <s v="Germany"/>
    <m/>
    <s v="Not Required"/>
    <s v="Hernandezberg"/>
  </r>
  <r>
    <s v="#1182"/>
    <d v="2026-08-04T13:58:34"/>
    <d v="2026-08-04T13:58:34"/>
    <s v="Joshua Chavez"/>
    <x v="0"/>
    <s v="joshua.chavez332@outlook.com"/>
    <s v="Yoga Mat - Extra Thick"/>
    <s v="Sports &amp; Outdoors"/>
    <s v="SP-YGM-EX"/>
    <n v="1"/>
    <n v="22.99"/>
    <s v="BFCM25"/>
    <n v="5.75"/>
    <n v="7.99"/>
    <n v="25.23"/>
    <s v="Credit Card"/>
    <x v="0"/>
    <s v="cancelled"/>
    <s v="United States"/>
    <s v="Georgia"/>
    <s v="Valid"/>
    <s v="Lake Rebeccaberg"/>
  </r>
  <r>
    <s v="#1183"/>
    <d v="2026-08-04T00:00:00"/>
    <s v="Aug 04, 2026"/>
    <s v="Benjamin Collins"/>
    <x v="0"/>
    <s v="benjamin.collins953@icloud.com"/>
    <s v="Adjustable Dumbbell Set"/>
    <s v="Sports &amp; Outdoors"/>
    <s v="SP-DMB-ADJ"/>
    <n v="1"/>
    <n v="89.99"/>
    <s v="SAVE20"/>
    <n v="18"/>
    <n v="0"/>
    <n v="71.989999999999995"/>
    <s v="Google Pay"/>
    <x v="3"/>
    <s v="fulfilled"/>
    <s v="Pakistan"/>
    <m/>
    <s v="Not Required"/>
    <s v="Lake Patriciaview"/>
  </r>
  <r>
    <s v="#1184"/>
    <d v="2026-08-04T14:03:39"/>
    <d v="2026-08-04T14:03:39"/>
    <s v="Amanda Robinson"/>
    <x v="0"/>
    <s v="amanda.robinson263@icloud.com"/>
    <s v="Hooded Sweatshirt"/>
    <s v="Apparel"/>
    <s v="APR-HOD-GRY"/>
    <n v="1"/>
    <n v="34.99"/>
    <s v="VIP15"/>
    <s v="$5.25"/>
    <n v="7.99"/>
    <s v="$37.73"/>
    <s v="PayPal"/>
    <x v="0"/>
    <s v="fulfilled"/>
    <s v="United States"/>
    <s v="TX"/>
    <s v="Valid"/>
    <s v="Cummingsbury"/>
  </r>
  <r>
    <s v="#1185"/>
    <d v="2026-04-08T00:00:00"/>
    <s v="08/04/2026"/>
    <s v="Philip Stevens"/>
    <x v="0"/>
    <s v="philip.stevens908@outlook.com"/>
    <s v="Throw Blanket - Fleece"/>
    <s v="Home &amp; Kitchen"/>
    <s v="HK-BLK-FLC"/>
    <n v="1"/>
    <n v="17.989999999999998"/>
    <m/>
    <n v="0"/>
    <n v="7.99"/>
    <n v="25.98"/>
    <s v="Google Pay"/>
    <x v="0"/>
    <s v="fulfilled"/>
    <s v="United States"/>
    <s v="Georgia"/>
    <s v="Valid"/>
    <s v="North Garyfurt"/>
  </r>
  <r>
    <s v="#1186"/>
    <d v="2026-08-04T14:06:44"/>
    <d v="2026-08-04T14:06:44"/>
    <s v="Patrick Richardson"/>
    <x v="0"/>
    <s v="patrick.richardson270@icloud.com"/>
    <s v="Portable Power Bank 10000mAh"/>
    <s v="Electronics"/>
    <s v="ELC-PWB-10K"/>
    <n v="1"/>
    <n v="21.99"/>
    <m/>
    <n v="0"/>
    <n v="4.99"/>
    <n v="26.98"/>
    <s v="Shopify Payments"/>
    <x v="0"/>
    <s v="refunded"/>
    <s v="United States"/>
    <s v="Illinois"/>
    <s v="Valid"/>
    <s v="Timothyhaven"/>
  </r>
  <r>
    <s v="#1187"/>
    <d v="2026-08-04T14:01:55"/>
    <d v="2026-08-04T14:01:55"/>
    <s v="Ronald Stanley"/>
    <x v="0"/>
    <s v="ronald.stanley7@yahoo.com"/>
    <s v="Hooded Sweatshirt"/>
    <s v="Apparel"/>
    <s v="APR-HOD-GRY"/>
    <n v="2"/>
    <n v="34.99"/>
    <s v="VIP15"/>
    <n v="10.5"/>
    <n v="5.99"/>
    <n v="65.47"/>
    <s v="Shopify Payments"/>
    <x v="1"/>
    <s v="fulfilled"/>
    <s v="United States"/>
    <s v="Georgia"/>
    <s v="Valid"/>
    <s v="North Briannahaven"/>
  </r>
  <r>
    <s v="#1188"/>
    <d v="2026-08-04T13:53:45"/>
    <d v="2026-08-04T13:53:45"/>
    <s v="Kristen Lewis"/>
    <x v="0"/>
    <s v="kristen.lewis649@icloud.com"/>
    <s v="Classic Cotton T-Shirt"/>
    <s v="Apparel"/>
    <s v="TSH-BLK-M"/>
    <n v="2"/>
    <n v="14.99"/>
    <s v="SAVE20"/>
    <n v="6"/>
    <n v="4.99"/>
    <n v="28.97"/>
    <s v="PayPal"/>
    <x v="0"/>
    <s v="fulfilled"/>
    <s v="United States"/>
    <s v="Texas"/>
    <s v="Valid"/>
    <s v="North Christina"/>
  </r>
  <r>
    <s v="#1189"/>
    <d v="2026-08-04T14:01:03"/>
    <d v="2026-08-04T14:01:03"/>
    <s v="Dustin Mccoy"/>
    <x v="0"/>
    <s v="dustin.mccoy570@gmail.com"/>
    <s v="Stainless Steel Water Bottle"/>
    <s v="Home &amp; Kitchen"/>
    <s v="HK-BTL-750"/>
    <n v="3"/>
    <n v="12.99"/>
    <s v="SAVE20"/>
    <n v="7.79"/>
    <n v="4.99"/>
    <n v="36.17"/>
    <s v="Credit Card"/>
    <x v="0"/>
    <s v="fulfilled"/>
    <s v="Canada"/>
    <m/>
    <s v="Not Required"/>
    <s v="South Ryan"/>
  </r>
  <r>
    <s v="#1190"/>
    <d v="2026-04-08T00:00:00"/>
    <s v="08/04/2026"/>
    <s v="John Hoffman"/>
    <x v="0"/>
    <s v="john.hoffman175@gmail.com"/>
    <s v="Portable Power Bank 10000mAh"/>
    <s v="Electronics"/>
    <s v="ELC-PWB-10K"/>
    <n v="1"/>
    <n v="21.99"/>
    <s v="WELCOME10"/>
    <n v="2.2000000000000002"/>
    <n v="7.99"/>
    <n v="27.78"/>
    <s v="Credit Card"/>
    <x v="3"/>
    <s v="fulfilled"/>
    <s v="United States"/>
    <s v="California"/>
    <s v="Valid"/>
    <s v="West Jenniferfurt"/>
  </r>
  <r>
    <s v="#1191"/>
    <d v="2026-08-04T13:54:25"/>
    <d v="2026-08-04T13:54:25"/>
    <s v="Brittney Thomas"/>
    <x v="0"/>
    <s v="brittney.thomas484@gmail.com"/>
    <s v="Scented Soy Candle - Vanilla"/>
    <s v="Home &amp; Kitchen"/>
    <s v="HK-CND-VAN"/>
    <n v="1"/>
    <n v="9.99"/>
    <m/>
    <n v="0"/>
    <n v="5.99"/>
    <n v="15.98"/>
    <s v="Credit Card"/>
    <x v="2"/>
    <s v="fulfilled"/>
    <s v="United States"/>
    <s v="Texas"/>
    <s v="Valid"/>
    <s v="North Lance"/>
  </r>
  <r>
    <s v="#1192"/>
    <d v="2026-08-04T14:01:10"/>
    <d v="2026-08-04T14:01:10"/>
    <s v="Jennifer Burke"/>
    <x v="0"/>
    <s v="jennifer.burke472@icloud.com"/>
    <s v="Scented Soy Candle - Vanilla"/>
    <s v="Home &amp; Kitchen"/>
    <s v="HK-CND-VAN"/>
    <n v="1"/>
    <n v="9.99"/>
    <s v="WELCOME10"/>
    <n v="1"/>
    <n v="4.99"/>
    <n v="13.98"/>
    <s v="Google Pay"/>
    <x v="2"/>
    <s v="fulfilled"/>
    <s v="Pakistan"/>
    <m/>
    <s v="Not Required"/>
    <s v="Lake Susan"/>
  </r>
  <r>
    <s v="#1193"/>
    <d v="2026-08-04T13:59:21"/>
    <d v="2026-08-04T13:59:21"/>
    <s v="Joe Taylor"/>
    <x v="0"/>
    <s v="joe.taylor714@yahoo.com"/>
    <s v="Facial Cleanser 200ml"/>
    <s v="Beauty"/>
    <s v="BTY-CLN-200"/>
    <n v="1"/>
    <n v="13.49"/>
    <m/>
    <n v="0"/>
    <n v="7.99"/>
    <n v="21.48"/>
    <s v="PayPal"/>
    <x v="0"/>
    <s v="refunded"/>
    <s v="Germany"/>
    <m/>
    <s v="Not Required"/>
    <s v="Anthonyhaven"/>
  </r>
  <r>
    <s v="#1194"/>
    <d v="2026-04-08T00:00:00"/>
    <s v="08/04/2026"/>
    <s v="James Castro"/>
    <x v="0"/>
    <s v="james.castro923@icloud.com"/>
    <s v="Wireless Bluetooth Earbuds"/>
    <s v="Electronics"/>
    <s v="ELC-WBE-01"/>
    <n v="2"/>
    <n v="29.99"/>
    <s v="BFCM25"/>
    <n v="14.99"/>
    <n v="5.99"/>
    <n v="50.98"/>
    <s v="Google Pay"/>
    <x v="2"/>
    <s v="fulfilled"/>
    <s v="Pakistan"/>
    <m/>
    <s v="Not Required"/>
    <s v="West Deanna"/>
  </r>
  <r>
    <s v="#1195"/>
    <d v="2026-08-04T13:56:06"/>
    <d v="2026-08-04T13:56:06"/>
    <s v="Justin Chavez"/>
    <x v="0"/>
    <s v="justin.chavez556@gmail.com"/>
    <s v="Stainless Steel Water Bottle"/>
    <s v="Home &amp; Kitchen"/>
    <s v="HK-BTL-750"/>
    <n v="1"/>
    <n v="12.99"/>
    <m/>
    <n v="0"/>
    <n v="5.99"/>
    <n v="18.98"/>
    <s v="Google Pay"/>
    <x v="0"/>
    <s v="fulfilled"/>
    <s v="United States"/>
    <s v="New York"/>
    <s v="Valid"/>
    <s v="South Andrea"/>
  </r>
  <r>
    <s v="#1196"/>
    <d v="2026-08-04T13:59:55"/>
    <d v="2026-08-04T13:59:55"/>
    <s v="Carrie Boyd"/>
    <x v="0"/>
    <s v="carrie.boyd968@gmail.com"/>
    <s v="Non-Stick Frying Pan 10in"/>
    <s v="Home &amp; Kitchen"/>
    <s v="HK-PAN-10"/>
    <n v="1"/>
    <n v="24.99"/>
    <m/>
    <s v="$0.00"/>
    <n v="7.99"/>
    <n v="32.979999999999997"/>
    <s v="Shopify Payments"/>
    <x v="0"/>
    <s v="fulfilled"/>
    <s v="United States"/>
    <s v="California"/>
    <s v="Valid"/>
    <s v="Nathanberg"/>
  </r>
  <r>
    <s v="#1197"/>
    <d v="2026-08-04T14:00:50"/>
    <d v="2026-08-04T14:00:50"/>
    <s v="Carly Johnson"/>
    <x v="0"/>
    <s v="carly.johnson664@gmail.com"/>
    <s v="Adjustable Dumbbell Set"/>
    <s v="Sports &amp; Outdoors"/>
    <s v="SP-DMB-ADJ"/>
    <n v="1"/>
    <n v="89.99"/>
    <s v="SAVE20"/>
    <n v="18"/>
    <n v="0"/>
    <n v="71.989999999999995"/>
    <s v="Google Pay"/>
    <x v="0"/>
    <s v="pending"/>
    <s v="Germany"/>
    <m/>
    <s v="Not Required"/>
    <s v="Thomasfurt"/>
  </r>
  <r>
    <s v="#1198"/>
    <d v="2026-08-04T14:02:39"/>
    <d v="2026-08-04T14:02:39"/>
    <s v="Michael Hays"/>
    <x v="0"/>
    <s v="michael.hays590@gmail.com"/>
    <s v="Hooded Sweatshirt"/>
    <s v="Apparel"/>
    <s v="APR-HOD-GRY"/>
    <n v="2"/>
    <n v="34.99"/>
    <s v="FREESHIP"/>
    <n v="0"/>
    <n v="0"/>
    <s v="$69.98"/>
    <s v="Apple Pay"/>
    <x v="0"/>
    <s v="fulfilled"/>
    <s v="United States"/>
    <s v="Arizona"/>
    <s v="Valid"/>
    <s v="East Juliafort"/>
  </r>
  <r>
    <s v="#1199"/>
    <d v="2026-08-04T13:54:45"/>
    <d v="2026-08-04T13:54:45"/>
    <s v="Andrew Johnson"/>
    <x v="0"/>
    <s v="andrew.johnson94@outlook.com"/>
    <s v="Hooded Sweatshirt"/>
    <s v="Apparel"/>
    <s v="APR-HOD-GRY"/>
    <n v="1"/>
    <n v="34.99"/>
    <s v="BFCM25"/>
    <n v="8.75"/>
    <n v="7.99"/>
    <n v="34.229999999999997"/>
    <s v="PayPal"/>
    <x v="2"/>
    <s v="cancelled"/>
    <s v="Australia"/>
    <m/>
    <s v="Not Required"/>
    <s v="East Andrew"/>
  </r>
  <r>
    <s v="#1200"/>
    <d v="2026-08-04T13:59:51"/>
    <d v="2026-08-04T13:59:51"/>
    <s v="Victor Herrera"/>
    <x v="0"/>
    <s v="victor.herrera394@outlook.com"/>
    <s v="Ceramic Coffee Mug Set (4pc)"/>
    <s v="Home &amp; Kitchen"/>
    <s v="HK-MUG-4PK"/>
    <n v="4"/>
    <n v="18.989999999999998"/>
    <s v="BFCM25"/>
    <n v="18.989999999999998"/>
    <n v="0"/>
    <n v="56.97"/>
    <s v="PayPal"/>
    <x v="0"/>
    <s v="fulfilled"/>
    <s v="Pakistan"/>
    <m/>
    <s v="Not Required"/>
    <s v="Danielborough"/>
  </r>
  <r>
    <s v="#1201"/>
    <d v="2026-08-04T14:04:30"/>
    <d v="2026-08-04T14:04:30"/>
    <s v="Johnathan Sloan"/>
    <x v="0"/>
    <s v="johnathan.sloan721@outlook.com"/>
    <s v="Classic Cotton T-Shirt"/>
    <s v="Apparel"/>
    <s v="TSH-BLK-L"/>
    <n v="1"/>
    <n v="14.99"/>
    <s v="BFCM25"/>
    <n v="3.75"/>
    <n v="5.99"/>
    <n v="17.23"/>
    <s v="Google Pay"/>
    <x v="0"/>
    <s v="pending"/>
    <s v="Pakistan"/>
    <m/>
    <s v="Not Required"/>
    <s v="Kimberlymouth"/>
  </r>
  <r>
    <s v="#1202"/>
    <d v="2026-08-04T13:56:55"/>
    <d v="2026-08-04T13:56:55"/>
    <s v="Alexandria Miller"/>
    <x v="0"/>
    <s v="alexandria.miller414@outlook.com"/>
    <s v="Stainless Steel Water Bottle"/>
    <s v="Home &amp; Kitchen"/>
    <s v="HK-BTL-750"/>
    <n v="1"/>
    <n v="12.99"/>
    <m/>
    <n v="0"/>
    <n v="4.99"/>
    <n v="17.98"/>
    <s v="Credit Card"/>
    <x v="0"/>
    <s v="fulfilled"/>
    <s v="Australia"/>
    <m/>
    <s v="Not Required"/>
    <s v="East Anthonyton"/>
  </r>
  <r>
    <s v="#1203"/>
    <d v="2026-04-08T00:00:00"/>
    <s v="08/04/2026"/>
    <s v="michael hays"/>
    <x v="0"/>
    <s v="michael.hays590@gmail.com"/>
    <s v="Wireless Bluetooth Earbuds"/>
    <s v="Electronics"/>
    <s v="ELC-WBE-01"/>
    <n v="1"/>
    <n v="29.99"/>
    <s v="BFCM25"/>
    <n v="7.5"/>
    <n v="4.99"/>
    <n v="27.48"/>
    <s v="PayPal"/>
    <x v="2"/>
    <s v="fulfilled"/>
    <s v="United States"/>
    <s v="Washington"/>
    <s v="Valid"/>
    <s v="Gallegosmouth"/>
  </r>
  <r>
    <s v="#1204"/>
    <d v="2026-08-04T14:05:31"/>
    <d v="2026-08-04T14:05:31"/>
    <s v="Chad Smith"/>
    <x v="0"/>
    <s v="chad.smith773@icloud.com"/>
    <s v="Non-Stick Frying Pan 10in"/>
    <s v="Home &amp; Kitchen"/>
    <s v="HK-PAN-10"/>
    <n v="2"/>
    <n v="24.99"/>
    <m/>
    <s v="$0.00"/>
    <n v="4.99"/>
    <n v="54.97"/>
    <s v="Credit Card"/>
    <x v="0"/>
    <s v="cancelled"/>
    <s v="Pakistan"/>
    <m/>
    <s v="Not Required"/>
    <s v="Padillamouth"/>
  </r>
  <r>
    <s v="#1205"/>
    <d v="2026-08-04T13:58:18"/>
    <d v="2026-08-04T13:58:18"/>
    <s v="James Miller"/>
    <x v="0"/>
    <s v="james.miller866@yahoo.com"/>
    <s v="Running Shoes - Men's"/>
    <s v="Footwear"/>
    <s v="FTW-RUN-M"/>
    <n v="1"/>
    <n v="54.99"/>
    <m/>
    <n v="0"/>
    <n v="5.99"/>
    <n v="60.98"/>
    <s v="Credit Card"/>
    <x v="0"/>
    <s v="pending"/>
    <s v="Pakistan"/>
    <m/>
    <s v="Not Required"/>
    <s v="Gibsontown"/>
  </r>
  <r>
    <s v="#1206"/>
    <d v="2026-08-04T14:02:41"/>
    <d v="2026-08-04T14:02:41"/>
    <s v="Jacqueline Miller"/>
    <x v="0"/>
    <s v="jacqueline.miller687@yahoo.com"/>
    <s v="Classic Cotton T-Shirt"/>
    <s v="Apparel"/>
    <s v="TSH-BLK-L"/>
    <n v="1"/>
    <n v="14.99"/>
    <m/>
    <n v="0"/>
    <n v="5.99"/>
    <n v="20.98"/>
    <s v="Google Pay"/>
    <x v="2"/>
    <s v="cancelled"/>
    <s v="Canada"/>
    <m/>
    <s v="Not Required"/>
    <s v="East Antonio"/>
  </r>
  <r>
    <s v="#1207"/>
    <d v="2026-08-04T14:01:29"/>
    <d v="2026-08-04T14:01:29"/>
    <s v="Natalie Roberts"/>
    <x v="0"/>
    <s v="natalie.roberts628@yahoo.com"/>
    <s v="Scented Soy Candle - Vanilla"/>
    <s v="Home &amp; Kitchen"/>
    <s v="HK-CND-VAN"/>
    <n v="1"/>
    <s v="$9.99"/>
    <s v="VIP15"/>
    <n v="1.5"/>
    <n v="5.99"/>
    <n v="14.48"/>
    <s v="Apple Pay"/>
    <x v="2"/>
    <s v="fulfilled"/>
    <s v="United States"/>
    <s v="New York"/>
    <s v="Valid"/>
    <s v="West Misty"/>
  </r>
  <r>
    <s v="#1208"/>
    <d v="2026-08-04T14:02:16"/>
    <d v="2026-08-04T14:02:16"/>
    <s v="Cody Murray"/>
    <x v="0"/>
    <s v="cody.murray456@gmail.com"/>
    <s v="Phone Case - Clear"/>
    <s v="Electronics"/>
    <s v="ELC-CSE-CLR"/>
    <n v="1"/>
    <n v="8.99"/>
    <s v="SAVE20"/>
    <n v="1.8"/>
    <n v="5.99"/>
    <n v="13.18"/>
    <s v="Apple Pay"/>
    <x v="2"/>
    <s v="refunded"/>
    <s v="United Kingdom"/>
    <m/>
    <s v="Not Required"/>
    <s v="West Codyberg"/>
  </r>
  <r>
    <s v="#1209"/>
    <d v="2026-08-04T13:54:35"/>
    <d v="2026-08-04T13:54:35"/>
    <s v="Donald Davis"/>
    <x v="0"/>
    <s v="donald.davis404@icloud.com"/>
    <s v="Backpack - 25L"/>
    <s v="Accessories"/>
    <s v="ACC-BPK-25L"/>
    <n v="1"/>
    <n v="32.99"/>
    <s v="WELCOME10"/>
    <n v="3.3"/>
    <n v="5.99"/>
    <n v="35.68"/>
    <s v="Google Pay"/>
    <x v="0"/>
    <s v="pending"/>
    <s v="Canada"/>
    <m/>
    <s v="Not Required"/>
    <s v="West Amyport"/>
  </r>
  <r>
    <s v="#1210"/>
    <d v="2026-08-04T13:59:45"/>
    <d v="2026-08-04T13:59:45"/>
    <s v="Stacey Johnson"/>
    <x v="0"/>
    <s v="stacey.johnson95@gmail.com"/>
    <s v="Scented Soy Candle - Vanilla"/>
    <s v="Home &amp; Kitchen"/>
    <s v="HK-CND-VAN"/>
    <n v="1"/>
    <s v="$9.99"/>
    <s v="BFCM25"/>
    <n v="2.5"/>
    <n v="7.99"/>
    <n v="15.48"/>
    <s v="Shopify Payments"/>
    <x v="1"/>
    <s v="fulfilled"/>
    <s v="Germany"/>
    <m/>
    <s v="Not Required"/>
    <s v="Port Josephmouth"/>
  </r>
  <r>
    <s v="#1211"/>
    <d v="2026-08-04T14:01:55"/>
    <d v="2026-08-04T14:01:55"/>
    <s v="  Angela Gonzalez"/>
    <x v="0"/>
    <s v="angela.gonzalez50@icloud.com"/>
    <s v="Wireless Bluetooth Earbuds"/>
    <s v="Electronics"/>
    <s v="ELC-WBE-01"/>
    <n v="1"/>
    <n v="29.99"/>
    <s v="VIP15"/>
    <n v="4.5"/>
    <n v="7.99"/>
    <n v="33.479999999999997"/>
    <s v="Shopify Payments"/>
    <x v="0"/>
    <s v="pending"/>
    <s v="Canada"/>
    <m/>
    <s v="Not Required"/>
    <s v="West Miranda"/>
  </r>
  <r>
    <s v="#1212"/>
    <d v="2026-08-04T13:54:32"/>
    <d v="2026-08-04T13:54:32"/>
    <s v="Aimee Smith"/>
    <x v="0"/>
    <s v="aimee.smith857@icloud.com"/>
    <s v="Backpack - 25L"/>
    <s v="Accessories"/>
    <s v="ACC-BPK-25L"/>
    <n v="1"/>
    <n v="32.99"/>
    <m/>
    <n v="0"/>
    <n v="5.99"/>
    <n v="38.979999999999997"/>
    <s v="Google Pay"/>
    <x v="2"/>
    <s v="refunded"/>
    <s v="United Kingdom"/>
    <m/>
    <s v="Not Required"/>
    <s v="Hollyville"/>
  </r>
  <r>
    <s v="#1213"/>
    <d v="2026-08-04T00:00:00"/>
    <s v="Aug 04, 2026"/>
    <s v="Jon Lambert"/>
    <x v="0"/>
    <s v="jon.lambert231@icloud.com"/>
    <s v="Classic Cotton T-Shirt"/>
    <s v="Apparel"/>
    <s v="TSH-BLK-L"/>
    <n v="1"/>
    <n v="14.99"/>
    <s v="FREESHIP"/>
    <n v="0"/>
    <n v="0"/>
    <n v="14.99"/>
    <s v="Apple Pay"/>
    <x v="1"/>
    <s v="pending"/>
    <s v="United States"/>
    <s v="Washington"/>
    <s v="Valid"/>
    <s v="New Jordan"/>
  </r>
  <r>
    <s v="#1214"/>
    <d v="2026-08-04T14:06:27"/>
    <d v="2026-08-04T14:06:27"/>
    <s v="Lauren Nguyen"/>
    <x v="0"/>
    <s v="lauren.nguyen819@outlook.com"/>
    <s v="Kids Building Blocks Set"/>
    <s v="Toys"/>
    <s v="TOY-BLK-SET"/>
    <n v="2"/>
    <n v="27.99"/>
    <s v="FREESHIP"/>
    <n v="0"/>
    <n v="0"/>
    <n v="55.98"/>
    <s v="PayPal"/>
    <x v="3"/>
    <s v="pending"/>
    <s v="United Kingdom"/>
    <m/>
    <s v="Not Required"/>
    <s v="Lake Sarahfurt"/>
  </r>
  <r>
    <s v="#1215"/>
    <d v="2026-08-04T14:02:52"/>
    <d v="2026-08-04T14:02:52"/>
    <s v="Tracy Dominguez"/>
    <x v="0"/>
    <s v="tracy.dominguez23@gmail.com"/>
    <s v="Throw Blanket - Fleece"/>
    <s v="Home &amp; Kitchen"/>
    <s v="HK-BLK-FLC"/>
    <n v="1"/>
    <n v="17.989999999999998"/>
    <s v="WELCOME10"/>
    <n v="1.8"/>
    <n v="7.99"/>
    <n v="24.18"/>
    <s v="PayPal"/>
    <x v="1"/>
    <s v="refunded"/>
    <s v="United States"/>
    <s v="Arizona"/>
    <s v="Valid"/>
    <s v="Lake Anitaview"/>
  </r>
  <r>
    <s v="#1216"/>
    <d v="2026-08-04T14:04:35"/>
    <d v="2026-08-04T14:04:35"/>
    <s v="Kayla Cruz"/>
    <x v="0"/>
    <s v="kayla.cruz151@outlook.com"/>
    <s v="Polarized Sunglasses"/>
    <s v="Accessories"/>
    <s v="ACC-SUN-01"/>
    <n v="2"/>
    <n v="16.989999999999998"/>
    <s v="SAVE20"/>
    <n v="6.8"/>
    <n v="7.99"/>
    <n v="35.17"/>
    <s v="Credit Card"/>
    <x v="3"/>
    <s v="refunded"/>
    <s v="Pakistan"/>
    <m/>
    <s v="Not Required"/>
    <s v="Port Natalieview"/>
  </r>
  <r>
    <s v="#1217"/>
    <d v="2026-08-04T14:03:17"/>
    <d v="2026-08-04T14:03:17"/>
    <s v="Brown, Barbara"/>
    <x v="0"/>
    <s v="barbara.brown26@gmail.com"/>
    <s v="Wireless Mouse"/>
    <s v="Electronics"/>
    <s v="ELC-MSE-WL"/>
    <n v="2"/>
    <n v="11.99"/>
    <s v="BFCM25"/>
    <n v="6"/>
    <n v="4.99"/>
    <n v="22.97"/>
    <s v="Google Pay"/>
    <x v="2"/>
    <s v="cancelled"/>
    <s v="United States"/>
    <s v="Ohio"/>
    <s v="Valid"/>
    <s v="East Patricialand"/>
  </r>
  <r>
    <s v="#1218"/>
    <d v="2026-08-04T13:56:07"/>
    <d v="2026-08-04T13:56:07"/>
    <s v="Zachary Hanson"/>
    <x v="0"/>
    <s v="zachary.hanson261@outlook.com"/>
    <s v="Scented Soy Candle - Vanilla"/>
    <s v="Home &amp; Kitchen"/>
    <s v="HK-CND-VAN"/>
    <n v="1"/>
    <n v="9.99"/>
    <m/>
    <n v="0"/>
    <n v="4.99"/>
    <n v="14.98"/>
    <s v="Shopify Payments"/>
    <x v="3"/>
    <s v="fulfilled"/>
    <s v="United States"/>
    <s v="TX"/>
    <s v="Valid"/>
    <s v="Santosburgh"/>
  </r>
  <r>
    <s v="#1219"/>
    <d v="2026-08-04T13:54:00"/>
    <d v="2026-08-04T13:54:00"/>
    <s v="Veronica Price"/>
    <x v="1"/>
    <m/>
    <s v="Polarized Sunglasses"/>
    <s v="Accessories"/>
    <s v="ACC-SUN-01"/>
    <n v="1"/>
    <n v="16.989999999999998"/>
    <m/>
    <n v="0"/>
    <n v="4.99"/>
    <n v="21.98"/>
    <s v="Shopify Payments"/>
    <x v="2"/>
    <s v="fulfilled"/>
    <s v="Canada"/>
    <m/>
    <s v="Not Required"/>
    <s v="North Matthewstad"/>
  </r>
  <r>
    <s v="#1220"/>
    <d v="2026-08-04T00:00:00"/>
    <s v="04-08-2026 13:53"/>
    <s v="  Megan Dickson"/>
    <x v="0"/>
    <s v="megan.dickson508@gmail.com"/>
    <s v="Running Shoes - Womens"/>
    <s v="Footwear"/>
    <s v="FTW-RUN-W"/>
    <n v="1"/>
    <n v="54.99"/>
    <s v="BFCM25"/>
    <n v="13.75"/>
    <n v="7.99"/>
    <n v="49.23"/>
    <s v="Google Pay"/>
    <x v="0"/>
    <s v="fulfilled"/>
    <s v="United Kingdom"/>
    <m/>
    <s v="Not Required"/>
    <s v="Lake Joe"/>
  </r>
  <r>
    <s v="#1221"/>
    <d v="2026-08-04T14:08:01"/>
    <d v="2026-08-04T14:08:01"/>
    <s v="David Knapp"/>
    <x v="0"/>
    <s v="david.knapp687@yahoo.com"/>
    <s v="Hooded Sweatshirt"/>
    <s v="Apparel"/>
    <s v="APR-HOD-GRY"/>
    <n v="1"/>
    <n v="34.99"/>
    <s v="FREESHIP"/>
    <n v="0"/>
    <n v="0"/>
    <n v="34.99"/>
    <s v="Credit Card"/>
    <x v="2"/>
    <s v="fulfilled"/>
    <s v="United States"/>
    <s v="Arizona"/>
    <s v="Valid"/>
    <s v="West Stephenburgh"/>
  </r>
  <r>
    <s v="#1222"/>
    <d v="2026-08-04T14:04:24"/>
    <d v="2026-08-04T14:04:24"/>
    <s v="John Jacobs"/>
    <x v="0"/>
    <s v="john.jacobs137@yahoo.com"/>
    <s v="Vitamin C Serum 30ml"/>
    <s v="Beauty"/>
    <s v="BTY-SRM-30"/>
    <n v="1"/>
    <n v="24.99"/>
    <s v="SAVE20"/>
    <s v="$5.00"/>
    <n v="5.99"/>
    <n v="25.98"/>
    <s v="PayPal"/>
    <x v="1"/>
    <s v="fulfilled"/>
    <s v="Australia"/>
    <m/>
    <s v="Not Required"/>
    <s v="Cookton"/>
  </r>
  <r>
    <s v="#1223"/>
    <d v="2026-08-04T14:03:00"/>
    <d v="2026-08-04T14:03:00"/>
    <s v="Michelle Owens"/>
    <x v="0"/>
    <s v="michelle.owens269@yahoo.com"/>
    <s v="Adjustable Dumbbell Set"/>
    <s v="Sports &amp; Outdoors"/>
    <s v="SP-DMB-ADJ"/>
    <n v="1"/>
    <n v="89.99"/>
    <s v="BFCM25"/>
    <n v="22.5"/>
    <n v="0"/>
    <n v="67.489999999999995"/>
    <s v="Shopify Payments"/>
    <x v="3"/>
    <s v="fulfilled"/>
    <s v="United States"/>
    <s v="Arizona"/>
    <s v="Valid"/>
    <s v="Owenschester"/>
  </r>
  <r>
    <s v="#1224"/>
    <d v="2026-04-08T00:00:00"/>
    <s v="08/04/2026"/>
    <s v="TINA SINGH"/>
    <x v="0"/>
    <s v="tina.singh98@icloud.com"/>
    <s v="Non-Stick Frying Pan 10in"/>
    <s v="Home &amp; Kitchen"/>
    <s v="HK-PAN-10"/>
    <n v="2"/>
    <n v="24.99"/>
    <m/>
    <n v="0"/>
    <n v="4.99"/>
    <s v="$54.97"/>
    <s v="Shopify Payments"/>
    <x v="0"/>
    <s v="fulfilled"/>
    <s v="United States"/>
    <s v="FL"/>
    <s v="Valid"/>
    <s v="West Laceyberg"/>
  </r>
  <r>
    <s v="#1225"/>
    <d v="2026-08-04T14:07:19"/>
    <d v="2026-08-04T14:07:19"/>
    <s v="Christopher Harrington"/>
    <x v="0"/>
    <s v="christopher.harrington960@gmail.com"/>
    <s v="Non-Stick Frying Pan 10in"/>
    <s v="Home &amp; Kitchen"/>
    <s v="HK-PAN-10"/>
    <n v="1"/>
    <n v="24.99"/>
    <m/>
    <n v="0"/>
    <n v="5.99"/>
    <n v="30.98"/>
    <s v="Google Pay"/>
    <x v="3"/>
    <s v="fulfilled"/>
    <s v="Australia"/>
    <m/>
    <s v="Not Required"/>
    <s v="Lake Christopherside"/>
  </r>
  <r>
    <s v="#1226"/>
    <d v="2026-08-04T00:00:00"/>
    <s v="Aug 04, 2026"/>
    <s v="Sara Sims"/>
    <x v="0"/>
    <s v="sara.sims992@icloud.com"/>
    <s v="Kids Building Blocks Set"/>
    <s v="Toys"/>
    <s v="TOY-BLK-SET"/>
    <n v="1"/>
    <n v="27.99"/>
    <m/>
    <n v="0"/>
    <n v="4.99"/>
    <n v="32.979999999999997"/>
    <s v="PayPal"/>
    <x v="3"/>
    <s v="refunded"/>
    <s v="Germany"/>
    <m/>
    <s v="Not Required"/>
    <s v="Waremouth"/>
  </r>
  <r>
    <s v="#1227"/>
    <d v="2026-04-08T00:00:00"/>
    <s v="08/04/2026"/>
    <s v="Rebecca Watts"/>
    <x v="0"/>
    <s v="rebecca.watts779@gmail.com"/>
    <s v="Slim Fit Denim Jeans"/>
    <s v="Apparel"/>
    <s v="JNS-BLU-32"/>
    <n v="1"/>
    <n v="39.99"/>
    <m/>
    <n v="0"/>
    <n v="4.99"/>
    <n v="44.98"/>
    <s v="Google Pay"/>
    <x v="0"/>
    <s v="fulfilled"/>
    <s v="United States"/>
    <s v="Ohio"/>
    <s v="Valid"/>
    <s v="Andreaport"/>
  </r>
  <r>
    <s v="#1228"/>
    <d v="2026-08-04T13:53:57"/>
    <d v="2026-08-04T13:53:57"/>
    <s v="Andrew Cross"/>
    <x v="0"/>
    <s v="andrew.cross512@yahoo.com"/>
    <s v="Running Shoes - Men's"/>
    <s v="Footwear"/>
    <s v="FTW-RUN-M"/>
    <n v="1"/>
    <n v="54.99"/>
    <s v="WELCOME10"/>
    <n v="5.5"/>
    <n v="5.99"/>
    <n v="55.48"/>
    <s v="Apple Pay"/>
    <x v="0"/>
    <s v="fulfilled"/>
    <s v="United States"/>
    <s v="TX"/>
    <s v="Valid"/>
    <s v="New Kelly"/>
  </r>
  <r>
    <s v="#1229"/>
    <d v="2026-08-04T14:05:50"/>
    <d v="2026-08-04T14:05:50"/>
    <s v="Randy Wheeler"/>
    <x v="0"/>
    <s v="randy.wheeler304@icloud.com"/>
    <s v="Leather Wallet - Brown"/>
    <s v="Accessories"/>
    <s v="ACC-WLT-BRN"/>
    <n v="1"/>
    <n v="19.989999999999998"/>
    <m/>
    <n v="0"/>
    <n v="4.99"/>
    <s v="$24.98"/>
    <s v="Credit Card"/>
    <x v="0"/>
    <s v="fulfilled"/>
    <s v="United States"/>
    <s v="North Carolina"/>
    <s v="Valid"/>
    <s v="East Michelleside"/>
  </r>
  <r>
    <s v="#1230"/>
    <d v="2026-08-04T14:04:55"/>
    <d v="2026-08-04T14:04:55"/>
    <s v="Brian Ruiz"/>
    <x v="0"/>
    <s v="brian.ruiz246@gmail.com"/>
    <s v="Facial Cleanser 200ml"/>
    <s v="Beauty"/>
    <s v="BTY-CLN-200"/>
    <n v="1"/>
    <s v="$13.49"/>
    <s v="SAVE20"/>
    <n v="2.7"/>
    <n v="4.99"/>
    <n v="15.78"/>
    <s v="Apple Pay"/>
    <x v="0"/>
    <s v="fulfilled"/>
    <s v="Germany"/>
    <m/>
    <s v="Not Required"/>
    <s v="New Emilyshire"/>
  </r>
  <r>
    <s v="#1231"/>
    <d v="2026-08-04T13:59:49"/>
    <d v="2026-08-04T13:59:49"/>
    <s v="Leon Oliver"/>
    <x v="0"/>
    <s v="leon.oliver578@gmail.com"/>
    <s v="Backpack - 25L"/>
    <s v="Accessories"/>
    <s v="ACC-BPK-25L"/>
    <n v="1"/>
    <n v="32.99"/>
    <s v="BFCM25"/>
    <n v="8.25"/>
    <n v="5.99"/>
    <n v="30.73"/>
    <s v="PayPal"/>
    <x v="0"/>
    <s v="fulfilled"/>
    <s v="Canada"/>
    <m/>
    <s v="Not Required"/>
    <s v="Lindamouth"/>
  </r>
  <r>
    <s v="#1232"/>
    <d v="2026-08-04T14:08:09"/>
    <d v="2026-08-04T14:08:09"/>
    <s v="Patrick Richardson"/>
    <x v="0"/>
    <s v="patrick.richardson270@icloud.com"/>
    <s v="Running Shoes - Men's"/>
    <s v="Footwear"/>
    <s v="FTW-RUN-M"/>
    <n v="2"/>
    <n v="54.99"/>
    <s v="FREESHIP"/>
    <n v="0"/>
    <n v="0"/>
    <n v="109.98"/>
    <s v="Credit Card"/>
    <x v="0"/>
    <s v="fulfilled"/>
    <s v="United States"/>
    <s v="New York"/>
    <s v="Valid"/>
    <s v="South Malloryview"/>
  </r>
  <r>
    <s v="#1233"/>
    <d v="2026-04-08T00:00:00"/>
    <s v="08/04/2026"/>
    <s v="KEVIN STOUT"/>
    <x v="0"/>
    <s v="kevin.stout35@icloud.com"/>
    <s v="Throw Blanket - Fleece"/>
    <s v="Home &amp; Kitchen"/>
    <s v="HK-BLK-FLC"/>
    <n v="2"/>
    <n v="17.989999999999998"/>
    <m/>
    <n v="0"/>
    <n v="7.99"/>
    <n v="43.97"/>
    <s v="PayPal"/>
    <x v="1"/>
    <s v="fulfilled"/>
    <s v="United States"/>
    <s v="IL"/>
    <s v="Valid"/>
    <s v="New Paul"/>
  </r>
  <r>
    <s v="#1234"/>
    <d v="2026-08-04T14:03:03"/>
    <d v="2026-08-04T14:03:03"/>
    <s v="Gerald Li"/>
    <x v="0"/>
    <s v="gerald.li856@icloud.com"/>
    <s v="Kids Building Blocks Set"/>
    <s v="Toys"/>
    <s v="TOY-BLK-SET"/>
    <n v="2"/>
    <n v="27.99"/>
    <m/>
    <n v="0"/>
    <n v="4.99"/>
    <n v="60.97"/>
    <s v="Shopify Payments"/>
    <x v="0"/>
    <s v="pending"/>
    <s v="United States"/>
    <s v="Ohio"/>
    <s v="Valid"/>
    <s v="Jennifertown"/>
  </r>
  <r>
    <s v="#1235"/>
    <d v="2026-08-04T00:00:00"/>
    <s v="2026-08-04"/>
    <s v="Melinda Henderson"/>
    <x v="0"/>
    <s v="melinda.henderson831@gmail.com"/>
    <s v="Wireless Mouse"/>
    <s v="Electronics"/>
    <s v="ELC-MSE-WL"/>
    <n v="2"/>
    <n v="11.99"/>
    <s v="VIP15"/>
    <n v="3.6"/>
    <n v="7.99"/>
    <n v="28.37"/>
    <s v="Credit Card"/>
    <x v="0"/>
    <s v="cancelled"/>
    <s v="United Kingdom"/>
    <m/>
    <s v="Not Required"/>
    <s v="Port Patrick"/>
  </r>
  <r>
    <s v="#1236"/>
    <d v="2026-08-04T14:02:17"/>
    <d v="2026-08-04T14:02:17"/>
    <s v="Suzanne Robertson"/>
    <x v="0"/>
    <s v="suzanne.robertson435@gmail.com"/>
    <s v="Non-Stick Frying Pan 10in"/>
    <s v="Home &amp; Kitchen"/>
    <s v="HK-PAN-10"/>
    <n v="1"/>
    <n v="24.99"/>
    <s v="BFCM25"/>
    <n v="6.25"/>
    <n v="7.99"/>
    <n v="26.73"/>
    <s v="PayPal"/>
    <x v="3"/>
    <s v="cancelled"/>
    <s v="Australia"/>
    <m/>
    <s v="Not Required"/>
    <s v="New Austinfort"/>
  </r>
  <r>
    <s v="#1237"/>
    <d v="2026-08-04T14:05:14"/>
    <d v="2026-08-04T14:05:14"/>
    <s v="  Shawn Oliver"/>
    <x v="0"/>
    <s v="shawn.oliver540@icloud.com"/>
    <s v="Running Shoes - Men's"/>
    <s v="Footwear"/>
    <s v="FTW-RUN-M"/>
    <n v="2"/>
    <n v="54.99"/>
    <m/>
    <n v="0"/>
    <n v="0"/>
    <n v="109.98"/>
    <s v="Google Pay"/>
    <x v="0"/>
    <s v="cancelled"/>
    <s v="Canada"/>
    <m/>
    <s v="Not Required"/>
    <s v="East April"/>
  </r>
  <r>
    <s v="#1238"/>
    <d v="2026-08-04T14:03:23"/>
    <d v="2026-08-04T14:03:23"/>
    <s v="Ann Byrd"/>
    <x v="1"/>
    <m/>
    <s v="Vitamin C Serum 30ml"/>
    <s v="Beauty"/>
    <s v="BTY-SRM-30"/>
    <n v="1"/>
    <n v="24.99"/>
    <m/>
    <n v="0"/>
    <n v="7.99"/>
    <n v="32.979999999999997"/>
    <s v="Google Pay"/>
    <x v="0"/>
    <s v="fulfilled"/>
    <s v="Australia"/>
    <m/>
    <s v="Not Required"/>
    <s v="Ewingchester"/>
  </r>
  <r>
    <s v="#1239"/>
    <d v="2026-08-04T13:53:34"/>
    <d v="2026-08-04T13:53:34"/>
    <s v="Dustin Mccoy"/>
    <x v="0"/>
    <s v="dustin.mccoy570@gmail.com"/>
    <s v="Classic Cotton T-Shirt"/>
    <s v="Apparel"/>
    <s v="TSH-BLK-M"/>
    <n v="1"/>
    <n v="14.99"/>
    <s v="VIP15"/>
    <n v="2.25"/>
    <n v="5.99"/>
    <n v="18.73"/>
    <s v="Apple Pay"/>
    <x v="3"/>
    <s v="pending"/>
    <s v="Canada"/>
    <m/>
    <s v="Not Required"/>
    <s v="Berryside"/>
  </r>
  <r>
    <s v="#1240"/>
    <d v="2026-04-08T00:00:00"/>
    <s v="08/04/2026"/>
    <s v="Anthony Parker"/>
    <x v="0"/>
    <s v="anthony.parker256@icloud.com"/>
    <s v="Scented Soy Candle - Vanilla"/>
    <s v="Home &amp; Kitchen"/>
    <s v="HK-CND-VAN"/>
    <n v="1"/>
    <n v="9.99"/>
    <m/>
    <n v="0"/>
    <n v="4.99"/>
    <s v="$14.98"/>
    <s v="Credit Card"/>
    <x v="3"/>
    <s v="cancelled"/>
    <s v="United Kingdom"/>
    <m/>
    <s v="Not Required"/>
    <s v="Oneillborough"/>
  </r>
  <r>
    <s v="#1241"/>
    <d v="2026-08-04T00:00:00"/>
    <s v="04-08-2026 14:00"/>
    <s v="Karen Bautista"/>
    <x v="0"/>
    <s v="karen.bautista779@icloud.com"/>
    <s v="Vitamin C Serum 30ml"/>
    <s v="Beauty"/>
    <s v="BTY-SRM-30"/>
    <n v="3"/>
    <n v="24.99"/>
    <m/>
    <n v="0"/>
    <n v="5.99"/>
    <n v="80.959999999999994"/>
    <s v="Google Pay"/>
    <x v="0"/>
    <s v="pending"/>
    <s v="United States"/>
    <s v="North Carolina"/>
    <s v="Valid"/>
    <s v="Callahanside"/>
  </r>
  <r>
    <s v="#1242"/>
    <d v="2026-08-04T14:07:35"/>
    <d v="2026-08-04T14:07:35"/>
    <s v="Jennifer Burke"/>
    <x v="0"/>
    <s v="jennifer.burke472@icloud.com"/>
    <s v="Facial Cleanser 200ml"/>
    <s v="Beauty"/>
    <s v="BTY-CLN-200"/>
    <n v="2"/>
    <n v="13.49"/>
    <s v="SAVE20"/>
    <s v="$5.40"/>
    <n v="7.99"/>
    <n v="29.57"/>
    <s v="PayPal"/>
    <x v="0"/>
    <s v="fulfilled"/>
    <s v="Pakistan"/>
    <m/>
    <s v="Not Required"/>
    <s v="Taylorberg"/>
  </r>
  <r>
    <s v="#1243"/>
    <d v="2026-08-04T13:59:21"/>
    <d v="2026-08-04T13:59:21"/>
    <s v="Jaime Vargas"/>
    <x v="0"/>
    <s v="jaime.vargas795@outlook.com"/>
    <s v="Polarized Sunglasses"/>
    <s v="Accessories"/>
    <s v="ACC-SUN-01"/>
    <n v="2"/>
    <s v="$16.99"/>
    <s v="FREESHIP"/>
    <n v="0"/>
    <n v="0"/>
    <n v="33.979999999999997"/>
    <s v="Google Pay"/>
    <x v="0"/>
    <s v="fulfilled"/>
    <s v="United Kingdom"/>
    <m/>
    <s v="Not Required"/>
    <s v="South Benjaminstad"/>
  </r>
  <r>
    <s v="#1244"/>
    <d v="2026-08-04T13:58:27"/>
    <d v="2026-08-04T13:58:27"/>
    <s v="Robert Lopez"/>
    <x v="0"/>
    <s v="robert.lopez980@outlook.com"/>
    <s v="Yoga Mat - Extra Thick"/>
    <s v="Sports &amp; Outdoors"/>
    <s v="SP-YGM-EX"/>
    <n v="1"/>
    <s v="$22.99"/>
    <m/>
    <n v="0"/>
    <n v="4.99"/>
    <n v="27.98"/>
    <s v="PayPal"/>
    <x v="2"/>
    <s v="fulfilled"/>
    <s v="Germany"/>
    <m/>
    <s v="Not Required"/>
    <s v="Collinsborough"/>
  </r>
  <r>
    <s v="#1245"/>
    <d v="2026-08-04T14:04:59"/>
    <d v="2026-08-04T14:04:59"/>
    <s v="Christy Phillips"/>
    <x v="0"/>
    <s v="christy.phillips291@gmail.com"/>
    <s v="Classic Cotton T-Shirt"/>
    <s v="Apparel"/>
    <s v="TSH-BLK-M"/>
    <n v="1"/>
    <n v="14.99"/>
    <s v="FREESHIP"/>
    <n v="0"/>
    <n v="0"/>
    <n v="14.99"/>
    <s v="Google Pay"/>
    <x v="0"/>
    <s v="cancelled"/>
    <s v="Pakistan"/>
    <m/>
    <s v="Not Required"/>
    <s v="Devinburgh"/>
  </r>
  <r>
    <s v="#1246"/>
    <d v="2026-08-04T00:00:00"/>
    <s v="2026-08-04"/>
    <s v="Cody Murray"/>
    <x v="0"/>
    <s v="cody.murray456@gmail.com"/>
    <s v="Facial Cleanser 200ml"/>
    <s v="Beauty"/>
    <s v="BTY-CLN-200"/>
    <n v="1"/>
    <n v="13.49"/>
    <s v="FREESHIP"/>
    <n v="0"/>
    <n v="0"/>
    <n v="13.49"/>
    <s v="Apple Pay"/>
    <x v="0"/>
    <s v="fulfilled"/>
    <s v="United Kingdom"/>
    <m/>
    <s v="Not Required"/>
    <s v="South Matthew"/>
  </r>
  <r>
    <s v="#1247"/>
    <d v="2026-08-04T13:59:54"/>
    <d v="2026-08-04T13:59:54"/>
    <s v="Stacey Morales"/>
    <x v="0"/>
    <s v="stacey.morales538@yahoo.com"/>
    <s v="Vitamin C Serum 30ml"/>
    <s v="Beauty"/>
    <s v="BTY-SRM-30"/>
    <n v="1"/>
    <n v="24.99"/>
    <s v="WELCOME10"/>
    <s v="$2.50"/>
    <n v="4.99"/>
    <n v="27.48"/>
    <s v="PayPal"/>
    <x v="2"/>
    <s v="cancelled"/>
    <s v="Australia"/>
    <m/>
    <s v="Not Required"/>
    <s v="North Christopherport"/>
  </r>
  <r>
    <s v="#1248"/>
    <d v="2026-08-04T14:04:31"/>
    <d v="2026-08-04T14:04:31"/>
    <s v="Melissa Smith"/>
    <x v="0"/>
    <s v="melissa.smith711@gmail.com"/>
    <s v="Running Shoes - Women's"/>
    <s v="Footwear"/>
    <s v="FTW-RUN-W"/>
    <n v="2"/>
    <n v="54.99"/>
    <s v="BFCM25"/>
    <n v="27.5"/>
    <n v="0"/>
    <n v="82.48"/>
    <s v="Credit Card"/>
    <x v="0"/>
    <s v="fulfilled"/>
    <s v="Pakistan"/>
    <m/>
    <s v="Not Required"/>
    <s v="Thompsonshire"/>
  </r>
  <r>
    <s v="#1249"/>
    <d v="2026-08-04T14:07:53"/>
    <d v="2026-08-04T14:07:53"/>
    <s v="Kayla Cruz"/>
    <x v="0"/>
    <s v="kayla.cruz151@outlook.com"/>
    <s v="Facial Cleanser 200ml"/>
    <s v="Beauty"/>
    <s v="BTY-CLN-200"/>
    <n v="3"/>
    <n v="13.49"/>
    <m/>
    <n v="0"/>
    <n v="7.99"/>
    <n v="48.46"/>
    <s v="Google Pay"/>
    <x v="0"/>
    <s v="refunded"/>
    <s v="Pakistan"/>
    <m/>
    <s v="Not Required"/>
    <s v="South Mark"/>
  </r>
  <r>
    <s v="#1250"/>
    <d v="2026-08-04T14:04:19"/>
    <d v="2026-08-04T14:04:19"/>
    <s v="Debra Thomas"/>
    <x v="0"/>
    <s v="debra.thomas509@icloud.com"/>
    <s v="Polarized Sunglasses"/>
    <s v="Accessories"/>
    <s v="ACC-SUN-01"/>
    <n v="1"/>
    <n v="16.989999999999998"/>
    <s v="WELCOME10"/>
    <n v="1.7"/>
    <n v="7.99"/>
    <n v="23.28"/>
    <s v="PayPal"/>
    <x v="0"/>
    <s v="fulfilled"/>
    <s v="United States"/>
    <s v="Georgia"/>
    <s v="Valid"/>
    <s v="Richardside"/>
  </r>
  <r>
    <s v="#1251"/>
    <d v="2026-08-04T14:07:06"/>
    <d v="2026-08-04T14:07:06"/>
    <s v="Sandra Potter"/>
    <x v="0"/>
    <s v="sandra.potter166@yahoo.com"/>
    <s v="Wireless Bluetooth Earbuds"/>
    <s v="Electronics"/>
    <s v="ELC-WBE-01"/>
    <n v="1"/>
    <n v="29.99"/>
    <s v="VIP15"/>
    <n v="4.5"/>
    <n v="7.99"/>
    <n v="33.479999999999997"/>
    <s v="Google Pay"/>
    <x v="0"/>
    <s v="fulfilled"/>
    <s v="United States"/>
    <s v="Washington"/>
    <s v="Valid"/>
    <s v="New Crystal"/>
  </r>
  <r>
    <s v="#1252"/>
    <d v="2026-08-04T13:56:19"/>
    <d v="2026-08-04T13:56:19"/>
    <s v="Amy Barnett"/>
    <x v="0"/>
    <s v="amy.barnett396@icloud.com"/>
    <s v="Yoga Mat - Extra Thick"/>
    <s v="Sports &amp; Outdoors"/>
    <s v="SP-YGM-EX"/>
    <n v="1"/>
    <n v="22.99"/>
    <m/>
    <n v="0"/>
    <n v="4.99"/>
    <n v="27.98"/>
    <s v="PayPal"/>
    <x v="0"/>
    <s v="fulfilled"/>
    <s v="Pakistan"/>
    <m/>
    <s v="Not Required"/>
    <s v="Port Ethanshire"/>
  </r>
  <r>
    <s v="#1253"/>
    <d v="2026-08-04T13:58:01"/>
    <d v="2026-08-04T13:58:01"/>
    <s v="Anthony Patterson"/>
    <x v="1"/>
    <m/>
    <s v="Non-Stick Frying Pan 10in"/>
    <s v="Home &amp; Kitchen"/>
    <s v="HK-PAN-10"/>
    <n v="1"/>
    <n v="24.99"/>
    <m/>
    <n v="0"/>
    <n v="4.99"/>
    <n v="29.98"/>
    <s v="Google Pay"/>
    <x v="1"/>
    <s v="fulfilled"/>
    <s v="Pakistan"/>
    <m/>
    <s v="Not Required"/>
    <s v="East Mirandashire"/>
  </r>
  <r>
    <s v="#1254"/>
    <d v="2026-08-04T14:03:45"/>
    <d v="2026-08-04T14:03:45"/>
    <s v="Jaime Vargas"/>
    <x v="1"/>
    <m/>
    <s v="Ceramic Coffee Mug Set (4pc)"/>
    <s v="Home &amp; Kitchen"/>
    <s v="HK-MUG-4PK"/>
    <n v="2"/>
    <n v="18.989999999999998"/>
    <s v="BFCM25"/>
    <n v="9.49"/>
    <n v="5.99"/>
    <n v="34.479999999999997"/>
    <s v="Shopify Payments"/>
    <x v="0"/>
    <s v="refunded"/>
    <s v="United Kingdom"/>
    <m/>
    <s v="Not Required"/>
    <s v="East Marcus"/>
  </r>
  <r>
    <s v="#1255"/>
    <d v="2026-08-04T13:56:37"/>
    <d v="2026-08-04T13:56:37"/>
    <s v="Katelyn Johnson"/>
    <x v="0"/>
    <s v="katelyn.johnson502@outlook.com"/>
    <s v="USB-C Fast Charger 20W"/>
    <s v="Electronics"/>
    <s v="ELC-CHG-20"/>
    <n v="2"/>
    <n v="15.49"/>
    <s v="VIP15"/>
    <n v="4.6500000000000004"/>
    <n v="7.99"/>
    <n v="34.32"/>
    <s v="Shopify Payments"/>
    <x v="0"/>
    <s v="fulfilled"/>
    <s v="United States"/>
    <s v="California"/>
    <s v="Valid"/>
    <s v="East Danielle"/>
  </r>
  <r>
    <s v="#1256"/>
    <d v="2026-08-04T00:00:00"/>
    <s v="04-08-2026 13:55"/>
    <s v="Andrew Mora"/>
    <x v="0"/>
    <s v="andrew.mora959@outlook.com"/>
    <s v="Polarized Sunglasses"/>
    <s v="Accessories"/>
    <s v="ACC-SUN-01"/>
    <n v="1"/>
    <n v="16.989999999999998"/>
    <m/>
    <n v="0"/>
    <n v="7.99"/>
    <n v="24.98"/>
    <s v="Shopify Payments"/>
    <x v="3"/>
    <s v="fulfilled"/>
    <s v="Australia"/>
    <m/>
    <s v="Not Required"/>
    <s v="New Allison"/>
  </r>
  <r>
    <s v="#1257"/>
    <d v="2026-08-04T14:04:44"/>
    <d v="2026-08-04T14:04:44"/>
    <s v="TINA SINGH"/>
    <x v="0"/>
    <s v="tina.singh98@icloud.com"/>
    <s v="Slim Fit Denim Jeans"/>
    <s v="Apparel"/>
    <s v="JNS-BLU-32"/>
    <n v="1"/>
    <n v="39.99"/>
    <m/>
    <s v="$0.00"/>
    <n v="5.99"/>
    <n v="45.98"/>
    <s v="Credit Card"/>
    <x v="2"/>
    <s v="cancelled"/>
    <s v="United States"/>
    <s v="California"/>
    <s v="Valid"/>
    <s v="Matthewchester"/>
  </r>
  <r>
    <s v="#1258"/>
    <d v="2026-08-04T14:03:50"/>
    <d v="2026-08-04T14:03:50"/>
    <s v="Samuel Padilla"/>
    <x v="0"/>
    <s v="samuel.padilla79@gmail.com"/>
    <s v="Portable Power Bank 10000mAh"/>
    <s v="Electronics"/>
    <s v="ELC-PWB-10K"/>
    <n v="1"/>
    <n v="21.99"/>
    <m/>
    <n v="0"/>
    <n v="5.99"/>
    <n v="27.98"/>
    <s v="Shopify Payments"/>
    <x v="0"/>
    <s v="fulfilled"/>
    <s v="United States"/>
    <s v="Arizona"/>
    <s v="Valid"/>
    <s v="Collinsborough"/>
  </r>
  <r>
    <s v="#1259"/>
    <d v="2026-08-04T14:01:00"/>
    <d v="2026-08-04T14:01:00"/>
    <s v="Erika Maxwell"/>
    <x v="0"/>
    <s v="erika.maxwell281@gmail.com"/>
    <s v="Leather Wallet - Brown"/>
    <s v="Accessories"/>
    <s v="ACC-WLT-BRN"/>
    <n v="2"/>
    <n v="19.989999999999998"/>
    <m/>
    <n v="0"/>
    <n v="4.99"/>
    <n v="44.97"/>
    <s v="Google Pay"/>
    <x v="0"/>
    <s v="cancelled"/>
    <s v="United States"/>
    <s v="Washington"/>
    <s v="Valid"/>
    <s v="Owensland"/>
  </r>
  <r>
    <s v="#1261"/>
    <d v="2026-08-04T13:56:13"/>
    <d v="2026-08-04T13:56:13"/>
    <s v="Tyler Williams"/>
    <x v="0"/>
    <s v="tyler.williams938@outlook.com"/>
    <s v="Running Shoes - Women's"/>
    <s v="Footwear"/>
    <s v="FTW-RUN-W"/>
    <n v="1"/>
    <s v="$54.99"/>
    <m/>
    <n v="0"/>
    <n v="7.99"/>
    <n v="62.98"/>
    <s v="Credit Card"/>
    <x v="0"/>
    <s v="cancelled"/>
    <s v="Australia"/>
    <m/>
    <s v="Not Required"/>
    <s v="South Jasonmouth"/>
  </r>
  <r>
    <s v="#1263"/>
    <d v="2026-08-04T14:01:27"/>
    <d v="2026-08-04T14:01:27"/>
    <s v="Jacqueline Graham"/>
    <x v="0"/>
    <s v="jacqueline.graham958@gmail.com"/>
    <s v="Classic Cotton T-Shirt"/>
    <s v="Apparel"/>
    <s v="TSH-BLK-L"/>
    <n v="1"/>
    <n v="14.99"/>
    <s v="FREESHIP"/>
    <n v="0"/>
    <n v="0"/>
    <n v="14.99"/>
    <s v="Shopify Payments"/>
    <x v="0"/>
    <s v="fulfilled"/>
    <s v="Australia"/>
    <m/>
    <s v="Not Required"/>
    <s v="Port Christopher"/>
  </r>
  <r>
    <s v="#1264"/>
    <d v="2026-08-04T13:55:12"/>
    <d v="2026-08-04T13:55:12"/>
    <s v="Rebecca Watts"/>
    <x v="0"/>
    <s v="rebecca.watts779@gmail.com"/>
    <s v="Facial Cleanser 200ml"/>
    <s v="Beauty"/>
    <s v="BTY-CLN-200"/>
    <n v="1"/>
    <n v="13.49"/>
    <m/>
    <n v="0"/>
    <n v="4.99"/>
    <n v="18.48"/>
    <s v="Shopify Payments"/>
    <x v="1"/>
    <s v="cancelled"/>
    <s v="United States"/>
    <s v="California"/>
    <s v="Valid"/>
    <s v="New Ralphview"/>
  </r>
  <r>
    <s v="#1265"/>
    <d v="2026-08-04T14:06:38"/>
    <d v="2026-08-04T14:06:38"/>
    <s v="Tracy Adams"/>
    <x v="0"/>
    <s v="tracy.adams712@icloud.com"/>
    <s v="Phone Case - Clear"/>
    <s v="Electronics"/>
    <s v="ELC-CSE-CLR"/>
    <n v="1"/>
    <n v="8.99"/>
    <s v="BFCM25"/>
    <n v="2.25"/>
    <n v="7.99"/>
    <n v="14.73"/>
    <s v="Credit Card"/>
    <x v="1"/>
    <s v="cancelled"/>
    <s v="United States"/>
    <s v="New York"/>
    <s v="Valid"/>
    <s v="New Danielshire"/>
  </r>
  <r>
    <s v="#1266"/>
    <d v="2026-08-04T14:01:32"/>
    <d v="2026-08-04T14:01:32"/>
    <s v="  Laura Pruitt"/>
    <x v="1"/>
    <m/>
    <s v="Portable Power Bank 10000mAh"/>
    <s v="Electronics"/>
    <s v="ELC-PWB-10K"/>
    <n v="1"/>
    <n v="21.99"/>
    <s v="VIP15"/>
    <n v="3.3"/>
    <n v="4.99"/>
    <s v="$23.68"/>
    <s v="Google Pay"/>
    <x v="0"/>
    <s v="fulfilled"/>
    <s v="United States"/>
    <s v="Florida"/>
    <s v="Valid"/>
    <s v="Steveshire"/>
  </r>
  <r>
    <s v="#1267"/>
    <d v="2026-08-04T14:02:56"/>
    <d v="2026-08-04T14:02:56"/>
    <s v="Danielle Morrow"/>
    <x v="0"/>
    <s v="danielle.morrow805@outlook.com"/>
    <s v="Adjustable Dumbbell Set"/>
    <s v="Sports &amp; Outdoors"/>
    <s v="SP-DMB-ADJ"/>
    <n v="1"/>
    <s v="$89.99"/>
    <m/>
    <n v="0"/>
    <n v="0"/>
    <s v="$89.99"/>
    <s v="Credit Card"/>
    <x v="0"/>
    <s v="cancelled"/>
    <s v="United Kingdom"/>
    <m/>
    <s v="Not Required"/>
    <s v="New Jasonville"/>
  </r>
  <r>
    <s v="#1268"/>
    <d v="2026-08-04T14:01:26"/>
    <d v="2026-08-04T14:01:26"/>
    <s v="Leon Oliver"/>
    <x v="0"/>
    <s v="leon.oliver578@gmail.com"/>
    <s v="Facial Cleanser 200ml"/>
    <s v="Beauty"/>
    <s v="BTY-CLN-200"/>
    <n v="1"/>
    <n v="13.49"/>
    <m/>
    <n v="0"/>
    <n v="7.99"/>
    <n v="21.48"/>
    <s v="Apple Pay"/>
    <x v="0"/>
    <s v="fulfilled"/>
    <s v="Canada"/>
    <m/>
    <s v="Not Required"/>
    <s v="Port Shawn"/>
  </r>
  <r>
    <s v="#1269"/>
    <d v="2026-08-04T00:00:00"/>
    <s v="Aug 04, 2026"/>
    <s v="Jaime Vargas"/>
    <x v="0"/>
    <s v="jaime.vargas795@outlook.com"/>
    <s v="Wireless Mouse"/>
    <s v="Electronics"/>
    <s v="ELC-MSE-WL"/>
    <n v="2"/>
    <n v="11.99"/>
    <s v="SAVE20"/>
    <n v="4.8"/>
    <n v="5.99"/>
    <n v="25.17"/>
    <s v="Credit Card"/>
    <x v="0"/>
    <s v="pending"/>
    <s v="United Kingdom"/>
    <m/>
    <s v="Not Required"/>
    <s v="Lake Todd"/>
  </r>
  <r>
    <s v="#1270"/>
    <d v="2026-08-04T14:00:09"/>
    <d v="2026-08-04T14:00:09"/>
    <s v="Michael Hays"/>
    <x v="0"/>
    <s v="michael.hays590@gmail.com"/>
    <s v="Adjustable Dumbbell Set"/>
    <s v="Sports &amp; Outdoors"/>
    <s v="SP-DMB-ADJ"/>
    <n v="1"/>
    <n v="89.99"/>
    <m/>
    <n v="0"/>
    <n v="0"/>
    <n v="89.99"/>
    <s v="Credit Card"/>
    <x v="3"/>
    <s v="pending"/>
    <s v="United States"/>
    <s v="Ohio"/>
    <s v="Valid"/>
    <s v="Lake John"/>
  </r>
  <r>
    <s v="#1271"/>
    <d v="2026-08-04T13:53:51"/>
    <d v="2026-08-04T13:53:51"/>
    <s v="Mary Garcia"/>
    <x v="0"/>
    <s v="mary.garcia899@icloud.com"/>
    <s v="Yoga Mat - Extra Thick"/>
    <s v="Sports &amp; Outdoors"/>
    <s v="SP-YGM-EX"/>
    <n v="1"/>
    <n v="22.99"/>
    <m/>
    <n v="0"/>
    <n v="4.99"/>
    <n v="27.98"/>
    <s v="Shopify Payments"/>
    <x v="0"/>
    <s v="refunded"/>
    <s v="Canada"/>
    <m/>
    <s v="Not Required"/>
    <s v="North Cindy"/>
  </r>
  <r>
    <s v="#1272"/>
    <d v="2026-08-04T13:57:29"/>
    <d v="2026-08-04T13:57:29"/>
    <s v="Kristen Lewis"/>
    <x v="0"/>
    <s v="kristen.lewis649@icloud.com"/>
    <s v="Wireless Bluetooth Earbuds"/>
    <s v="Electronics"/>
    <s v="ELC-WBE-01"/>
    <n v="1"/>
    <n v="29.99"/>
    <s v="FREESHIP"/>
    <n v="0"/>
    <n v="0"/>
    <n v="29.99"/>
    <s v="PayPal"/>
    <x v="0"/>
    <s v="fulfilled"/>
    <s v="United States"/>
    <s v="Arizona"/>
    <s v="Valid"/>
    <s v="Owenfort"/>
  </r>
  <r>
    <s v="#1273"/>
    <d v="2026-08-04T13:56:13"/>
    <d v="2026-08-04T13:56:13"/>
    <s v="Jason Miller"/>
    <x v="0"/>
    <s v="jason.miller334@outlook.com"/>
    <s v="Non-Stick Frying Pan 10in"/>
    <s v="Home &amp; Kitchen"/>
    <s v="HK-PAN-10"/>
    <n v="1"/>
    <n v="24.99"/>
    <m/>
    <n v="0"/>
    <n v="4.99"/>
    <n v="29.98"/>
    <s v="Apple Pay"/>
    <x v="0"/>
    <s v="cancelled"/>
    <s v="Australia"/>
    <m/>
    <s v="Not Required"/>
    <s v="West Curtis"/>
  </r>
  <r>
    <s v="#1274"/>
    <d v="2026-08-04T13:59:18"/>
    <d v="2026-08-04T13:59:18"/>
    <s v="Barbara Brown"/>
    <x v="0"/>
    <s v="barbara.brown26@gmail.com"/>
    <s v="Running Shoes - Men's"/>
    <s v="Footwear"/>
    <s v="FTW-RUN-M"/>
    <n v="1"/>
    <n v="54.99"/>
    <s v="FREESHIP"/>
    <n v="0"/>
    <n v="0"/>
    <n v="54.99"/>
    <s v="Apple Pay"/>
    <x v="0"/>
    <s v="pending"/>
    <s v="United States"/>
    <s v="Ohio"/>
    <s v="Valid"/>
    <s v="Port Troy"/>
  </r>
  <r>
    <s v="#1275"/>
    <d v="2026-08-04T13:59:05"/>
    <d v="2026-08-04T13:59:05"/>
    <s v="Christopher Harrington"/>
    <x v="0"/>
    <s v="christopher.harrington960@gmail.com"/>
    <s v="Classic Cotton T-Shirt"/>
    <s v="Apparel"/>
    <s v="TSH-BLK-M"/>
    <n v="1"/>
    <n v="14.99"/>
    <s v="VIP15"/>
    <n v="2.25"/>
    <n v="4.99"/>
    <n v="17.73"/>
    <s v="Apple Pay"/>
    <x v="1"/>
    <s v="fulfilled"/>
    <s v="Australia"/>
    <m/>
    <s v="Not Required"/>
    <s v="New Lydia"/>
  </r>
  <r>
    <s v="#1276"/>
    <d v="2026-08-04T14:01:55"/>
    <d v="2026-08-04T14:01:55"/>
    <s v="Richard Sosa"/>
    <x v="0"/>
    <s v="richard.sosa486@yahoo.com"/>
    <s v="Ceramic Coffee Mug Set (4pc)"/>
    <s v="Home &amp; Kitchen"/>
    <s v="HK-MUG-4PK"/>
    <n v="1"/>
    <n v="18.989999999999998"/>
    <m/>
    <n v="0"/>
    <n v="7.99"/>
    <n v="26.98"/>
    <s v="PayPal"/>
    <x v="0"/>
    <s v="fulfilled"/>
    <s v="United States"/>
    <s v="Georgia"/>
    <s v="Valid"/>
    <s v="Stephenberg"/>
  </r>
  <r>
    <s v="#1277"/>
    <d v="2026-08-04T14:00:01"/>
    <d v="2026-08-04T14:00:01"/>
    <s v="Vincent Rosales"/>
    <x v="0"/>
    <s v="vincent.rosales30@icloud.com"/>
    <s v="Resistance Bands Set"/>
    <s v="Sports &amp; Outdoors"/>
    <s v="SP-RBS-SET"/>
    <n v="1"/>
    <s v="$13.99"/>
    <m/>
    <n v="0"/>
    <n v="7.99"/>
    <n v="21.98"/>
    <s v="Credit Card"/>
    <x v="3"/>
    <s v="fulfilled"/>
    <s v="United States"/>
    <s v="Ohio"/>
    <s v="Valid"/>
    <s v="Mcdonaldhaven"/>
  </r>
  <r>
    <s v="#1278"/>
    <d v="2026-08-04T13:59:03"/>
    <d v="2026-08-04T13:59:03"/>
    <s v="Douglas Walker"/>
    <x v="0"/>
    <s v="douglas.walker28@outlook.com"/>
    <s v="Throw Blanket - Fleece"/>
    <s v="Home &amp; Kitchen"/>
    <s v="HK-BLK-FLC"/>
    <n v="2"/>
    <n v="17.989999999999998"/>
    <m/>
    <s v="$0.00"/>
    <n v="4.99"/>
    <n v="40.97"/>
    <s v="Apple Pay"/>
    <x v="0"/>
    <s v="fulfilled"/>
    <s v="United Kingdom"/>
    <m/>
    <s v="Not Required"/>
    <s v="South Robert"/>
  </r>
  <r>
    <s v="#1279"/>
    <d v="2026-04-08T00:00:00"/>
    <s v="08/04/2026"/>
    <s v="Sharon Brown"/>
    <x v="0"/>
    <s v="sharon.brown14@gmail.com"/>
    <s v="Phone Case - Clear"/>
    <s v="Electronics"/>
    <s v="ELC-CSE-CLR"/>
    <n v="1"/>
    <n v="8.99"/>
    <s v="BFCM25"/>
    <n v="2.25"/>
    <n v="5.99"/>
    <n v="12.73"/>
    <s v="PayPal"/>
    <x v="3"/>
    <s v="fulfilled"/>
    <s v="United States"/>
    <s v="Florida"/>
    <s v="Valid"/>
    <s v="Marcusfurt"/>
  </r>
  <r>
    <s v="#1280"/>
    <d v="2026-08-04T13:59:59"/>
    <d v="2026-08-04T13:59:59"/>
    <s v="Corey Hudson"/>
    <x v="0"/>
    <s v="corey.hudson168@gmail.com"/>
    <s v="Leather Wallet - Brown"/>
    <s v="Accessories"/>
    <s v="ACC-WLT-BRN"/>
    <n v="1"/>
    <n v="19.989999999999998"/>
    <s v="FREESHIP"/>
    <n v="0"/>
    <n v="0"/>
    <n v="19.989999999999998"/>
    <s v="PayPal"/>
    <x v="0"/>
    <s v="fulfilled"/>
    <s v="United States"/>
    <s v="Georgia"/>
    <s v="Valid"/>
    <s v="Jonathanfort"/>
  </r>
  <r>
    <s v="#1281"/>
    <d v="2026-08-04T14:07:05"/>
    <d v="2026-08-04T14:07:05"/>
    <s v="Charles Franco"/>
    <x v="0"/>
    <s v="charles.franco761@outlook.com"/>
    <s v="Phone Case - Clear"/>
    <s v="Electronics"/>
    <s v="ELC-CSE-CLR"/>
    <n v="1"/>
    <n v="8.99"/>
    <s v="VIP15"/>
    <n v="1.35"/>
    <n v="5.99"/>
    <n v="13.63"/>
    <s v="Credit Card"/>
    <x v="2"/>
    <s v="fulfilled"/>
    <s v="United States"/>
    <s v="Canada"/>
    <s v="Valid"/>
    <s v="Dawnberg"/>
  </r>
  <r>
    <s v="#1282"/>
    <d v="2026-08-04T14:07:28"/>
    <d v="2026-08-04T14:07:28"/>
    <m/>
    <x v="0"/>
    <s v="ruth.duncan434@icloud.com"/>
    <s v="Polarized Sunglasses"/>
    <s v="Accessories"/>
    <s v="ACC-SUN-01"/>
    <n v="2"/>
    <n v="16.989999999999998"/>
    <m/>
    <n v="0"/>
    <n v="5.99"/>
    <n v="39.97"/>
    <s v="Credit Card"/>
    <x v="0"/>
    <s v="cancelled"/>
    <s v="Australia"/>
    <m/>
    <s v="Not Required"/>
    <s v="South Susan"/>
  </r>
  <r>
    <s v="#1283"/>
    <d v="2026-04-08T00:00:00"/>
    <s v="08/04/2026"/>
    <s v="Anthony Mullen"/>
    <x v="0"/>
    <s v="anthony.mullen523@yahoo.com"/>
    <s v="Kids Building Blocks Set"/>
    <s v="Toys"/>
    <s v="TOY-BLK-SET"/>
    <n v="2"/>
    <n v="27.99"/>
    <m/>
    <n v="0"/>
    <n v="5.99"/>
    <n v="61.97"/>
    <s v="Google Pay"/>
    <x v="3"/>
    <s v="fulfilled"/>
    <s v="United States"/>
    <s v="Arizona"/>
    <s v="Valid"/>
    <s v="East Brandi"/>
  </r>
  <r>
    <s v="#1284"/>
    <d v="2026-08-04T14:04:15"/>
    <d v="2026-08-04T14:04:15"/>
    <s v="Jesus Mason"/>
    <x v="0"/>
    <s v="jesus.mason798@icloud.com"/>
    <s v="Leather Wallet - Brown"/>
    <s v="Accessories"/>
    <s v="ACC-WLT-BRN"/>
    <n v="4"/>
    <n v="19.989999999999998"/>
    <m/>
    <n v="0"/>
    <n v="0"/>
    <s v="$79.96"/>
    <s v="Apple Pay"/>
    <x v="0"/>
    <s v="cancelled"/>
    <s v="United States"/>
    <s v="California"/>
    <s v="Valid"/>
    <s v="Kevinmouth"/>
  </r>
  <r>
    <s v="#1285"/>
    <d v="2026-08-04T13:57:56"/>
    <d v="2026-08-04T13:57:56"/>
    <s v="jennifer willis"/>
    <x v="0"/>
    <s v="jennifer.willis714@gmail.com"/>
    <s v="Stainless Steel Water Bottle"/>
    <s v="Home &amp; Kitchen"/>
    <s v="HK-BTL-750"/>
    <n v="1"/>
    <n v="12.99"/>
    <s v="BFCM25"/>
    <n v="3.25"/>
    <n v="7.99"/>
    <s v="$17.73"/>
    <s v="Apple Pay"/>
    <x v="0"/>
    <s v="refunded"/>
    <s v="United States"/>
    <s v="Florida"/>
    <s v="Valid"/>
    <s v="Aaronville"/>
  </r>
  <r>
    <s v="#1286"/>
    <d v="2026-08-04T14:01:36"/>
    <d v="2026-08-04T14:01:36"/>
    <s v="Natalie Roberts"/>
    <x v="0"/>
    <s v="natalie.roberts628@yahoo.com"/>
    <s v="Scented Soy Candle - Vanilla"/>
    <s v="Home &amp; Kitchen"/>
    <s v="HK-CND-VAN"/>
    <n v="1"/>
    <n v="9.99"/>
    <m/>
    <n v="0"/>
    <n v="5.99"/>
    <n v="15.98"/>
    <s v="Google Pay"/>
    <x v="1"/>
    <s v="cancelled"/>
    <s v="United States"/>
    <s v="Texas"/>
    <s v="Valid"/>
    <s v="West Davidberg"/>
  </r>
  <r>
    <s v="#1287"/>
    <d v="2026-08-04T14:04:35"/>
    <d v="2026-08-04T14:04:35"/>
    <s v="Autumn Stewart"/>
    <x v="0"/>
    <s v="autumn.stewart565@outlook.com"/>
    <s v="Vitamin C Serum 30ml"/>
    <s v="Beauty"/>
    <s v="BTY-SRM-30"/>
    <n v="2"/>
    <n v="24.99"/>
    <s v="WELCOME10"/>
    <n v="5"/>
    <n v="7.99"/>
    <n v="52.97"/>
    <s v="Shopify Payments"/>
    <x v="0"/>
    <s v="fulfilled"/>
    <s v="United Kingdom"/>
    <m/>
    <s v="Not Required"/>
    <s v="South Timothy"/>
  </r>
  <r>
    <s v="#1288"/>
    <d v="2026-08-04T14:08:25"/>
    <d v="2026-08-04T14:08:25"/>
    <s v="Vincent Rosales"/>
    <x v="0"/>
    <s v="vincent.rosales30@icloud.com"/>
    <s v="Classic Cotton T-Shirt"/>
    <s v="Apparel"/>
    <s v="TSH-BLK-L"/>
    <n v="1"/>
    <n v="14.99"/>
    <m/>
    <n v="0"/>
    <n v="4.99"/>
    <n v="19.98"/>
    <s v="Shopify Payments"/>
    <x v="0"/>
    <s v="refunded"/>
    <s v="United States"/>
    <s v="OH"/>
    <s v="Valid"/>
    <s v="Stewartshire"/>
  </r>
  <r>
    <s v="#1289"/>
    <d v="2026-08-04T00:00:00"/>
    <s v="04-08-2026 14:02"/>
    <s v="Richard Sosa"/>
    <x v="0"/>
    <s v="richard.sosa486@yahoo.com"/>
    <s v="USB-C Fast Charger 20W"/>
    <s v="Electronics"/>
    <s v="ELC-CHG-20"/>
    <n v="1"/>
    <s v="$15.49"/>
    <s v="WELCOME10"/>
    <n v="1.55"/>
    <n v="4.99"/>
    <n v="18.93"/>
    <s v="Credit Card"/>
    <x v="0"/>
    <s v="pending"/>
    <s v="United States"/>
    <s v="Georgia"/>
    <s v="Valid"/>
    <s v="Port Allen"/>
  </r>
  <r>
    <s v="#1290"/>
    <d v="2026-08-04T14:03:24"/>
    <d v="2026-08-04T14:03:24"/>
    <s v="John Lin"/>
    <x v="0"/>
    <s v="john.lin901@outlook.com"/>
    <s v="Classic Cotton T-Shirt"/>
    <s v="Apparel"/>
    <s v="TSH-BLK-L"/>
    <n v="1"/>
    <n v="14.99"/>
    <s v="BFCM25"/>
    <n v="3.75"/>
    <n v="4.99"/>
    <n v="16.23"/>
    <s v="Apple Pay"/>
    <x v="3"/>
    <s v="fulfilled"/>
    <s v="United States"/>
    <s v="WA"/>
    <s v="Valid"/>
    <s v="Simsland"/>
  </r>
  <r>
    <s v="#1291"/>
    <d v="2026-08-04T14:08:05"/>
    <d v="2026-08-04T14:08:05"/>
    <s v="  Julia Atkinson"/>
    <x v="0"/>
    <s v="julia.atkinson939@gmail.com"/>
    <s v="Ceramic Coffee Mug Set (4pc)"/>
    <s v="Home &amp; Kitchen"/>
    <s v="HK-MUG-4PK"/>
    <n v="2"/>
    <n v="18.989999999999998"/>
    <m/>
    <n v="0"/>
    <n v="5.99"/>
    <s v="$43.97"/>
    <s v="Credit Card"/>
    <x v="0"/>
    <s v="fulfilled"/>
    <s v="Canada"/>
    <m/>
    <s v="Not Required"/>
    <s v="Anthonyburgh"/>
  </r>
  <r>
    <s v="#1292"/>
    <d v="2026-08-04T13:58:07"/>
    <d v="2026-08-04T13:58:07"/>
    <s v="Robert Miller"/>
    <x v="0"/>
    <s v="robert.miller69@yahoo.com"/>
    <s v="Scented Soy Candle - Vanilla"/>
    <s v="Home &amp; Kitchen"/>
    <s v="HK-CND-VAN"/>
    <n v="1"/>
    <n v="9.99"/>
    <s v="WELCOME10"/>
    <n v="1"/>
    <n v="4.99"/>
    <s v="$13.98"/>
    <s v="Shopify Payments"/>
    <x v="3"/>
    <s v="refunded"/>
    <s v="Australia"/>
    <m/>
    <s v="Not Required"/>
    <s v="East Victor"/>
  </r>
  <r>
    <s v="#1293"/>
    <d v="2026-08-04T13:59:12"/>
    <d v="2026-08-04T13:59:12"/>
    <s v="DAVID TORRES"/>
    <x v="0"/>
    <s v="david.torres833@outlook.com"/>
    <s v="Facial Cleanser 200ml"/>
    <s v="Beauty"/>
    <s v="BTY-CLN-200"/>
    <n v="1"/>
    <n v="13.49"/>
    <s v="WELCOME10"/>
    <n v="1.35"/>
    <n v="4.99"/>
    <s v="$17.13"/>
    <s v="PayPal"/>
    <x v="0"/>
    <s v="fulfilled"/>
    <s v="United States"/>
    <s v="Georgia"/>
    <s v="Valid"/>
    <s v="Cruzport"/>
  </r>
  <r>
    <s v="#1294"/>
    <d v="2026-08-04T13:56:10"/>
    <d v="2026-08-04T13:56:10"/>
    <s v="Jaime Vargas"/>
    <x v="0"/>
    <s v="jaime.vargas795@outlook.com"/>
    <s v="Vitamin C Serum 30ml"/>
    <s v="Beauty"/>
    <s v="BTY-SRM-30"/>
    <n v="2"/>
    <n v="24.99"/>
    <s v="WELCOME10"/>
    <s v="$5.00"/>
    <n v="4.99"/>
    <n v="49.97"/>
    <s v="Apple Pay"/>
    <x v="0"/>
    <s v="cancelled"/>
    <s v="United Kingdom"/>
    <m/>
    <s v="Not Required"/>
    <s v="Theodoreport"/>
  </r>
  <r>
    <s v="#1295"/>
    <d v="2026-08-04T00:00:00"/>
    <s v="Aug 04, 2026"/>
    <s v="James Castro"/>
    <x v="0"/>
    <s v="james.castro923@icloud.com"/>
    <s v="Slim Fit Denim Jeans"/>
    <s v="Apparel"/>
    <s v="JNS-BLU-32"/>
    <n v="1"/>
    <n v="39.99"/>
    <s v="WELCOME10"/>
    <n v="4"/>
    <n v="7.99"/>
    <n v="43.98"/>
    <s v="Credit Card"/>
    <x v="2"/>
    <s v="fulfilled"/>
    <s v="Pakistan"/>
    <m/>
    <s v="Not Required"/>
    <s v="Williamsfort"/>
  </r>
  <r>
    <s v="#1296"/>
    <d v="2026-08-04T00:00:00"/>
    <s v="04-08-2026 14:08"/>
    <s v="Kenneth Davis"/>
    <x v="0"/>
    <s v="kenneth.davis106@yahoo.com"/>
    <s v="Stainless Steel Water Bottle"/>
    <s v="Home &amp; Kitchen"/>
    <s v="HK-BTL-750"/>
    <n v="1"/>
    <s v="$12.99"/>
    <m/>
    <n v="0"/>
    <n v="4.99"/>
    <n v="17.98"/>
    <s v="Google Pay"/>
    <x v="1"/>
    <s v="fulfilled"/>
    <s v="United States"/>
    <s v="North Carolina"/>
    <s v="Valid"/>
    <s v="Lake Seanfort"/>
  </r>
  <r>
    <s v="#1297"/>
    <d v="2026-08-04T14:04:28"/>
    <d v="2026-08-04T14:04:28"/>
    <s v="Nicholas Parker"/>
    <x v="0"/>
    <s v="nicholas.parker656@yahoo.com"/>
    <s v="Scented Soy Candle - Vanilla"/>
    <s v="Home &amp; Kitchen"/>
    <s v="HK-CND-VAN"/>
    <n v="1"/>
    <n v="9.99"/>
    <s v="SAVE20"/>
    <n v="2"/>
    <n v="4.99"/>
    <n v="12.98"/>
    <s v="Apple Pay"/>
    <x v="0"/>
    <s v="fulfilled"/>
    <s v="United States"/>
    <s v="Ohio"/>
    <s v="Valid"/>
    <s v="Bennettbury"/>
  </r>
  <r>
    <s v="#1298"/>
    <d v="2026-08-04T14:07:28"/>
    <d v="2026-08-04T14:07:28"/>
    <s v="Kristen Lewis"/>
    <x v="0"/>
    <s v="kristen.lewis649@icloud.com"/>
    <s v="Hooded Sweatshirt"/>
    <s v="Apparel"/>
    <s v="APR-HOD-GRY"/>
    <n v="1"/>
    <n v="34.99"/>
    <m/>
    <n v="0"/>
    <n v="7.99"/>
    <n v="42.98"/>
    <s v="Shopify Payments"/>
    <x v="1"/>
    <s v="pending"/>
    <s v="United States"/>
    <s v="North Carolina"/>
    <s v="Valid"/>
    <s v="Rosaleshaven"/>
  </r>
  <r>
    <s v="#1299"/>
    <d v="2026-08-04T13:54:08"/>
    <d v="2026-08-04T13:54:08"/>
    <s v="Devin Jones"/>
    <x v="0"/>
    <s v="devin.jones807@yahoo.com"/>
    <s v="Resistance Bands Set"/>
    <s v="Sports &amp; Outdoors"/>
    <s v="SP-RBS-SET"/>
    <n v="1"/>
    <s v="$13.99"/>
    <m/>
    <n v="0"/>
    <n v="4.99"/>
    <n v="18.98"/>
    <s v="Credit Card"/>
    <x v="1"/>
    <s v="fulfilled"/>
    <s v="Pakistan"/>
    <m/>
    <s v="Not Required"/>
    <s v="Huffmanfurt"/>
  </r>
  <r>
    <s v="#1300"/>
    <d v="2026-08-04T14:00:39"/>
    <d v="2026-08-04T14:00:39"/>
    <s v="Heather Davis"/>
    <x v="0"/>
    <s v="heather.davis117@icloud.com"/>
    <s v="Running Shoes - Men's"/>
    <s v="Footwear"/>
    <s v="FTW-RUN-M"/>
    <n v="1"/>
    <n v="54.99"/>
    <m/>
    <n v="0"/>
    <n v="7.99"/>
    <n v="62.98"/>
    <s v="Shopify Payments"/>
    <x v="3"/>
    <s v="cancelled"/>
    <s v="Germany"/>
    <m/>
    <s v="Not Required"/>
    <s v="South Michaelmouth"/>
  </r>
  <r>
    <s v="#1301"/>
    <d v="2026-08-04T14:08:06"/>
    <d v="2026-08-04T14:08:06"/>
    <s v="Kayla Cruz"/>
    <x v="0"/>
    <s v="kayla.cruz151@outlook.com"/>
    <s v="Kids Building Blocks Set  "/>
    <s v="Toys"/>
    <s v="TOY-BLK-SET"/>
    <n v="1"/>
    <n v="27.99"/>
    <s v="WELCOME10"/>
    <n v="2.8"/>
    <n v="5.99"/>
    <n v="31.18"/>
    <s v="Google Pay"/>
    <x v="0"/>
    <s v="refunded"/>
    <s v="Pakistan"/>
    <m/>
    <s v="Not Required"/>
    <s v="Ronaldport"/>
  </r>
  <r>
    <s v="#1302"/>
    <d v="2026-04-08T00:00:00"/>
    <s v="08/04/2026"/>
    <s v="Cody Murray"/>
    <x v="0"/>
    <s v="cody.murray456@gmail.com"/>
    <s v="Stainless Steel Water Bottle"/>
    <s v="Home &amp; Kitchen"/>
    <s v="HK-BTL-750"/>
    <n v="1"/>
    <n v="12.99"/>
    <s v="BFCM25"/>
    <n v="3.25"/>
    <n v="5.99"/>
    <s v="$15.73"/>
    <s v="Apple Pay"/>
    <x v="0"/>
    <s v="fulfilled"/>
    <s v="United Kingdom"/>
    <m/>
    <s v="Not Required"/>
    <s v="North Paulberg"/>
  </r>
  <r>
    <s v="#1303"/>
    <d v="2026-04-08T00:00:00"/>
    <s v="08/04/2026"/>
    <s v="Aimee Smith"/>
    <x v="0"/>
    <s v="aimee.smith857@icloud.com"/>
    <s v="Non-Stick Frying Pan 10in"/>
    <s v="Home &amp; Kitchen"/>
    <s v="HK-PAN-10"/>
    <n v="1"/>
    <n v="24.99"/>
    <s v="VIP15"/>
    <n v="3.75"/>
    <n v="4.99"/>
    <n v="26.23"/>
    <s v="PayPal"/>
    <x v="0"/>
    <s v="fulfilled"/>
    <s v="United Kingdom"/>
    <m/>
    <s v="Not Required"/>
    <s v="Port Sarah"/>
  </r>
  <r>
    <s v="#1304"/>
    <d v="2026-08-04T13:54:31"/>
    <d v="2026-08-04T13:54:31"/>
    <s v="Donald Davis"/>
    <x v="0"/>
    <s v="donald.davis404@icloud.com"/>
    <s v="Vitamin C Serum 30ml"/>
    <s v="Beauty"/>
    <s v="BTY-SRM-30"/>
    <n v="1"/>
    <n v="24.99"/>
    <s v="SAVE20"/>
    <n v="5"/>
    <n v="4.99"/>
    <n v="24.98"/>
    <s v="Google Pay"/>
    <x v="0"/>
    <s v="fulfilled"/>
    <s v="Canada"/>
    <m/>
    <s v="Not Required"/>
    <s v="Alfredchester"/>
  </r>
  <r>
    <s v="#1306"/>
    <d v="2026-08-04T14:05:21"/>
    <d v="2026-08-04T14:05:21"/>
    <s v="Timothy Maldonado"/>
    <x v="0"/>
    <s v="timothy.maldonado551@gmail.com"/>
    <s v="Throw Blanket - Fleece"/>
    <s v="Home &amp; Kitchen"/>
    <s v="HK-BLK-FLC"/>
    <n v="2"/>
    <n v="17.989999999999998"/>
    <s v="VIP15"/>
    <n v="5.4"/>
    <n v="7.99"/>
    <n v="38.57"/>
    <s v="Google Pay"/>
    <x v="0"/>
    <s v="fulfilled"/>
    <s v="United States"/>
    <s v="North Carolina"/>
    <s v="Valid"/>
    <s v="South Christinabury"/>
  </r>
  <r>
    <s v="#1307"/>
    <d v="2026-08-04T13:55:05"/>
    <d v="2026-08-04T13:55:05"/>
    <s v="James Miller"/>
    <x v="0"/>
    <s v="james.miller866@yahoo.com"/>
    <s v="Phone Case - Clear"/>
    <s v="Electronics"/>
    <s v="ELC-CSE-CLR"/>
    <n v="1"/>
    <n v="8.99"/>
    <m/>
    <n v="0"/>
    <n v="7.99"/>
    <n v="16.98"/>
    <s v="Shopify Payments"/>
    <x v="3"/>
    <s v="cancelled"/>
    <s v="Pakistan"/>
    <m/>
    <s v="Not Required"/>
    <s v="Samanthaview"/>
  </r>
  <r>
    <s v="#1308"/>
    <d v="2026-08-04T13:59:29"/>
    <d v="2026-08-04T13:59:29"/>
    <s v="Karen Jones"/>
    <x v="0"/>
    <s v="karen.jones794@outlook.com"/>
    <s v="Wireless Mouse"/>
    <s v="Electronics"/>
    <s v="ELC-MSE-WL"/>
    <n v="1"/>
    <s v="$11.99"/>
    <s v="WELCOME10"/>
    <n v="1.2"/>
    <n v="7.99"/>
    <n v="18.78"/>
    <s v="Shopify Payments"/>
    <x v="0"/>
    <s v="refunded"/>
    <s v="Australia"/>
    <m/>
    <s v="Not Required"/>
    <s v="Wrightchester"/>
  </r>
  <r>
    <s v="#1309"/>
    <d v="2026-08-04T00:00:00"/>
    <s v="04-08-2026 13:56"/>
    <s v="Heather Davis"/>
    <x v="0"/>
    <s v="heather.davis117@icloud.com"/>
    <s v="USB-C Fast Charger 20W"/>
    <s v="Electronics"/>
    <s v="ELC-CHG-20"/>
    <n v="1"/>
    <n v="15.49"/>
    <m/>
    <n v="0"/>
    <n v="7.99"/>
    <n v="23.48"/>
    <s v="PayPal"/>
    <x v="0"/>
    <s v="fulfilled"/>
    <s v="Germany"/>
    <m/>
    <s v="Not Required"/>
    <s v="Lake Danielfurt"/>
  </r>
  <r>
    <s v="#1310"/>
    <d v="2026-08-04T14:03:57"/>
    <d v="2026-08-04T14:03:57"/>
    <s v="Sharon Brown"/>
    <x v="0"/>
    <s v="sharon.brown14@gmail.com"/>
    <s v="Wireless Bluetooth Earbuds"/>
    <s v="Electronics"/>
    <s v="ELC-WBE-01"/>
    <n v="1"/>
    <n v="29.99"/>
    <s v="SAVE20"/>
    <n v="6"/>
    <n v="5.99"/>
    <n v="29.98"/>
    <s v="Shopify Payments"/>
    <x v="0"/>
    <s v="fulfilled"/>
    <s v="United States"/>
    <s v="North Carolina"/>
    <s v="Valid"/>
    <s v="Johnsonview"/>
  </r>
  <r>
    <s v="#1311"/>
    <d v="2026-08-04T14:00:30"/>
    <d v="2026-08-04T14:00:30"/>
    <s v="Benjamin Collins"/>
    <x v="0"/>
    <s v="benjamin.collins953@icloud.com"/>
    <s v="Vitamin C Serum 30ml"/>
    <s v="Beauty"/>
    <s v="BTY-SRM-30"/>
    <n v="1"/>
    <n v="24.99"/>
    <s v="SAVE20"/>
    <n v="5"/>
    <n v="4.99"/>
    <n v="24.98"/>
    <s v="PayPal"/>
    <x v="0"/>
    <s v="refunded"/>
    <s v="Pakistan"/>
    <m/>
    <s v="Not Required"/>
    <s v="Michaelhaven"/>
  </r>
  <r>
    <s v="#1312"/>
    <d v="2026-08-04T00:00:00"/>
    <s v="04-08-2026 13:59"/>
    <s v="David Hernandez"/>
    <x v="0"/>
    <s v="david.hernandez260@yahoo.com"/>
    <s v="Polarized Sunglasses"/>
    <s v="Accessories"/>
    <s v="ACC-SUN-01"/>
    <n v="1"/>
    <n v="16.989999999999998"/>
    <s v="BFCM25"/>
    <n v="4.25"/>
    <n v="5.99"/>
    <n v="18.73"/>
    <s v="Shopify Payments"/>
    <x v="1"/>
    <s v="fulfilled"/>
    <s v="Australia"/>
    <m/>
    <s v="Not Required"/>
    <s v="South Marissa"/>
  </r>
  <r>
    <s v="#1313"/>
    <d v="2026-08-04T00:00:00"/>
    <s v="04-08-2026 14:01"/>
    <s v="Joshua Owens"/>
    <x v="0"/>
    <s v="joshua.owens56@icloud.com"/>
    <s v="Leather Wallet - Brown  "/>
    <s v="Accessories"/>
    <s v="ACC-WLT-BRN"/>
    <n v="1"/>
    <s v="$19.99"/>
    <s v="VIP15"/>
    <n v="3"/>
    <n v="4.99"/>
    <n v="21.98"/>
    <s v="Shopify Payments"/>
    <x v="0"/>
    <s v="cancelled"/>
    <s v="United States"/>
    <s v="North Carolina"/>
    <s v="Valid"/>
    <s v="West Raymondbury"/>
  </r>
  <r>
    <s v="#1314"/>
    <d v="2026-08-04T13:54:02"/>
    <d v="2026-08-04T13:54:02"/>
    <s v="Darin Alvarez"/>
    <x v="0"/>
    <s v="darin.alvarez843@gmail.com"/>
    <s v="USB-C Fast Charger 20W"/>
    <s v="Electronics"/>
    <s v="ELC-CHG-20"/>
    <n v="1"/>
    <n v="15.49"/>
    <m/>
    <n v="0"/>
    <n v="5.99"/>
    <n v="21.48"/>
    <s v="Google Pay"/>
    <x v="0"/>
    <s v="fulfilled"/>
    <s v="Canada"/>
    <m/>
    <s v="Not Required"/>
    <s v="Santiagohaven"/>
  </r>
  <r>
    <s v="#1315"/>
    <d v="2026-08-04T14:03:58"/>
    <d v="2026-08-04T14:03:58"/>
    <s v="Rebecca Watts"/>
    <x v="0"/>
    <s v="rebecca.watts779@gmail.com"/>
    <s v="Facial Cleanser 200ml"/>
    <s v="Beauty"/>
    <s v="BTY-CLN-200"/>
    <n v="1"/>
    <n v="13.49"/>
    <s v="VIP15"/>
    <n v="2.02"/>
    <n v="4.99"/>
    <n v="16.46"/>
    <s v="PayPal"/>
    <x v="0"/>
    <s v="fulfilled"/>
    <s v="United States"/>
    <s v="NY"/>
    <s v="Valid"/>
    <s v="East Rebeccaton"/>
  </r>
  <r>
    <s v="#1316"/>
    <d v="2026-08-04T13:58:16"/>
    <d v="2026-08-04T13:58:16"/>
    <s v="Angela Carr"/>
    <x v="0"/>
    <s v="angela.carr488@yahoo.com"/>
    <s v="Polarized Sunglasses"/>
    <s v="Accessories"/>
    <s v="ACC-SUN-01"/>
    <n v="1"/>
    <n v="16.989999999999998"/>
    <s v="WELCOME10"/>
    <n v="1.7"/>
    <n v="5.99"/>
    <n v="21.28"/>
    <s v="Google Pay"/>
    <x v="0"/>
    <s v="cancelled"/>
    <s v="United States"/>
    <s v="New York"/>
    <s v="Valid"/>
    <s v="Hansenberg"/>
  </r>
  <r>
    <s v="#1317"/>
    <d v="2026-08-04T14:05:13"/>
    <d v="2026-08-04T14:05:13"/>
    <s v="David Duke"/>
    <x v="0"/>
    <s v="david.duke814@icloud.com"/>
    <s v="Non-Stick Frying Pan 10in"/>
    <s v="Home &amp; Kitchen"/>
    <s v="HK-PAN-10"/>
    <n v="1"/>
    <s v="$24.99"/>
    <m/>
    <n v="0"/>
    <n v="5.99"/>
    <s v="$30.98"/>
    <s v="Apple Pay"/>
    <x v="0"/>
    <s v="fulfilled"/>
    <s v="United States"/>
    <s v="North Carolina"/>
    <s v="Valid"/>
    <s v="Jenniferfort"/>
  </r>
  <r>
    <s v="#1318"/>
    <d v="2026-04-08T00:00:00"/>
    <s v="08/04/2026"/>
    <s v="Sarah Webb"/>
    <x v="0"/>
    <s v="sarah.webb997@outlook.com"/>
    <s v="Portable Power Bank 10000mAh"/>
    <s v="Electronics"/>
    <s v="ELC-PWB-10K"/>
    <n v="1"/>
    <n v="21.99"/>
    <s v="WELCOME10"/>
    <n v="2.2000000000000002"/>
    <n v="7.99"/>
    <n v="27.78"/>
    <s v="Google Pay"/>
    <x v="0"/>
    <s v="fulfilled"/>
    <s v="Germany"/>
    <m/>
    <s v="Not Required"/>
    <s v="Lake Ariel"/>
  </r>
  <r>
    <s v="#1319"/>
    <d v="2026-08-04T14:06:49"/>
    <d v="2026-08-04T14:06:49"/>
    <s v="Joshua Owens"/>
    <x v="0"/>
    <s v="joshua.owens56@icloud.com"/>
    <s v="Non-Stick Frying Pan 10in"/>
    <s v="Home &amp; Kitchen"/>
    <s v="HK-PAN-10"/>
    <n v="1"/>
    <n v="24.99"/>
    <s v="WELCOME10"/>
    <n v="2.5"/>
    <n v="5.99"/>
    <n v="28.48"/>
    <s v="Google Pay"/>
    <x v="3"/>
    <s v="fulfilled"/>
    <s v="United States"/>
    <s v="California"/>
    <s v="Valid"/>
    <s v="Lake Johnmouth"/>
  </r>
  <r>
    <s v="#1320"/>
    <d v="2026-04-08T00:00:00"/>
    <s v="08/04/2026"/>
    <s v="Richard Weber"/>
    <x v="0"/>
    <s v="richard.weber156@yahoo.com"/>
    <s v="Non-Stick Frying Pan 10in"/>
    <s v="Home &amp; Kitchen"/>
    <s v="HK-PAN-10"/>
    <n v="4"/>
    <n v="24.99"/>
    <m/>
    <n v="0"/>
    <n v="0"/>
    <n v="99.96"/>
    <s v="Shopify Payments"/>
    <x v="2"/>
    <s v="fulfilled"/>
    <s v="United States"/>
    <s v="New York"/>
    <s v="Valid"/>
    <s v="Barronside"/>
  </r>
  <r>
    <s v="#1321"/>
    <d v="2026-08-04T13:57:28"/>
    <d v="2026-08-04T13:57:28"/>
    <s v="Heather Davis"/>
    <x v="0"/>
    <s v="heather.davis117@icloud.com"/>
    <s v="Ceramic Coffee Mug Set (4pc)"/>
    <s v="Home &amp; Kitchen"/>
    <s v="HK-MUG-4PK"/>
    <n v="1"/>
    <n v="18.989999999999998"/>
    <s v="VIP15"/>
    <n v="2.85"/>
    <n v="5.99"/>
    <n v="22.13"/>
    <s v="Credit Card"/>
    <x v="0"/>
    <s v="fulfilled"/>
    <s v="Germany"/>
    <m/>
    <s v="Not Required"/>
    <s v="Lake Paul"/>
  </r>
  <r>
    <s v="#1322"/>
    <d v="2026-08-04T00:00:00"/>
    <s v="04-08-2026 14:04"/>
    <s v="Timothy Hodges"/>
    <x v="1"/>
    <m/>
    <s v="Running Shoes - Women's"/>
    <s v="Footwear"/>
    <s v="FTW-RUN-W"/>
    <n v="1"/>
    <n v="54.99"/>
    <s v="SAVE20"/>
    <n v="11"/>
    <n v="5.99"/>
    <n v="49.98"/>
    <s v="Credit Card"/>
    <x v="1"/>
    <s v="fulfilled"/>
    <s v="Australia"/>
    <m/>
    <s v="Not Required"/>
    <s v="Tammyshire"/>
  </r>
  <r>
    <s v="#1323"/>
    <d v="2026-08-04T14:05:33"/>
    <d v="2026-08-04T14:05:33"/>
    <s v="Suzanne White"/>
    <x v="0"/>
    <s v="suzanne.white877@gmail.com"/>
    <s v="Adjustable Dumbbell Set"/>
    <s v="Sports &amp; Outdoors"/>
    <s v="SP-DMB-ADJ"/>
    <n v="1"/>
    <n v="89.99"/>
    <s v="VIP15"/>
    <n v="13.5"/>
    <n v="0"/>
    <n v="76.489999999999995"/>
    <s v="Shopify Payments"/>
    <x v="3"/>
    <s v="fulfilled"/>
    <s v="United States"/>
    <s v="Ohio"/>
    <s v="Valid"/>
    <s v="Lake Leahtown"/>
  </r>
  <r>
    <s v="#1324"/>
    <d v="2026-08-04T13:58:00"/>
    <d v="2026-08-04T13:58:00"/>
    <s v="Stephanie Mcgee"/>
    <x v="0"/>
    <s v="stephanie.mcgee557@outlook.com"/>
    <s v="Yoga Mat - Extra Thick"/>
    <s v="Sports &amp; Outdoors"/>
    <s v="SP-YGM-EX"/>
    <n v="1"/>
    <n v="22.99"/>
    <m/>
    <n v="0"/>
    <n v="5.99"/>
    <n v="28.98"/>
    <s v="Credit Card"/>
    <x v="0"/>
    <s v="fulfilled"/>
    <s v="Australia"/>
    <m/>
    <s v="Not Required"/>
    <s v="Lake Kimberly"/>
  </r>
  <r>
    <s v="#1325"/>
    <d v="2026-08-04T13:56:34"/>
    <d v="2026-08-04T13:56:34"/>
    <s v="Christopher Hayes"/>
    <x v="0"/>
    <s v="christopher.hayes809@icloud.com"/>
    <s v="Phone Case   Clear"/>
    <s v="Electronics"/>
    <s v="ELC-CSE-CLR"/>
    <n v="1"/>
    <n v="8.99"/>
    <m/>
    <n v="0"/>
    <n v="5.99"/>
    <n v="14.98"/>
    <s v="Google Pay"/>
    <x v="1"/>
    <s v="fulfilled"/>
    <s v="United States"/>
    <s v="Georgia"/>
    <s v="Valid"/>
    <s v="South Aaronburgh"/>
  </r>
  <r>
    <s v="#1326"/>
    <d v="2026-04-08T00:00:00"/>
    <s v="08/04/2026"/>
    <s v="James Castro"/>
    <x v="0"/>
    <s v="james.castro923@icloud.com"/>
    <s v="Adjustable Dumbbell Set"/>
    <s v="Sports &amp; Outdoors"/>
    <s v="SP-DMB-ADJ"/>
    <n v="1"/>
    <n v="89.99"/>
    <m/>
    <n v="0"/>
    <n v="0"/>
    <n v="89.99"/>
    <s v="Shopify Payments"/>
    <x v="0"/>
    <s v="cancelled"/>
    <s v="Pakistan"/>
    <m/>
    <s v="Not Required"/>
    <s v="Nguyentown"/>
  </r>
  <r>
    <s v="#1327"/>
    <d v="2026-08-04T13:54:51"/>
    <d v="2026-08-04T13:54:51"/>
    <s v="Patricia Thompson"/>
    <x v="0"/>
    <s v="patricia.thompson164@icloud.com"/>
    <s v="Slim Fit Denim Jeans"/>
    <s v="Apparel"/>
    <s v="JNS-BLU-32"/>
    <n v="1"/>
    <n v="39.99"/>
    <s v="VIP15"/>
    <n v="6"/>
    <n v="5.99"/>
    <n v="39.979999999999997"/>
    <s v="Google Pay"/>
    <x v="3"/>
    <s v="fulfilled"/>
    <s v="United States"/>
    <s v="Florida"/>
    <s v="Valid"/>
    <s v="West Bethanyburgh"/>
  </r>
  <r>
    <s v="#1328"/>
    <d v="2026-04-08T00:00:00"/>
    <s v="08/04/2026"/>
    <s v="Kayla Cruz"/>
    <x v="0"/>
    <s v="kayla.cruz151@outlook.com"/>
    <s v="Scented Soy Candle - Vanilla"/>
    <s v="Home &amp; Kitchen"/>
    <s v="HK-CND-VAN"/>
    <n v="1"/>
    <n v="9.99"/>
    <s v="VIP15"/>
    <n v="1.5"/>
    <n v="4.99"/>
    <n v="13.48"/>
    <s v="Apple Pay"/>
    <x v="1"/>
    <s v="cancelled"/>
    <s v="Pakistan"/>
    <m/>
    <s v="Not Required"/>
    <s v="South Charlesland"/>
  </r>
  <r>
    <s v="#1329"/>
    <d v="2026-08-04T14:07:03"/>
    <d v="2026-08-04T14:07:03"/>
    <s v="Christopher Harrington"/>
    <x v="0"/>
    <s v="christopher.harrington960@gmail.com"/>
    <s v="Running Shoes - Women's"/>
    <s v="Footwear"/>
    <s v="FTW-RUN-W"/>
    <n v="1"/>
    <n v="54.99"/>
    <s v="SAVE20"/>
    <n v="11"/>
    <n v="7.99"/>
    <n v="51.98"/>
    <s v="Credit Card"/>
    <x v="0"/>
    <s v="refunded"/>
    <s v="Australia"/>
    <m/>
    <s v="Not Required"/>
    <s v="West Andrew"/>
  </r>
  <r>
    <s v="#1330"/>
    <d v="2026-08-04T13:57:42"/>
    <d v="2026-08-04T13:57:42"/>
    <s v="Mary Phillips"/>
    <x v="0"/>
    <s v="mary.phillips944@yahoo.com"/>
    <s v="Backpack - 25L"/>
    <s v="Accessories"/>
    <s v="ACC-BPK-25L"/>
    <n v="1"/>
    <n v="32.99"/>
    <m/>
    <s v="$0.00"/>
    <n v="5.99"/>
    <n v="38.979999999999997"/>
    <s v="Google Pay"/>
    <x v="0"/>
    <s v="fulfilled"/>
    <s v="United States"/>
    <s v="California"/>
    <s v="Valid"/>
    <s v="Michaelburgh"/>
  </r>
  <r>
    <s v="#1331"/>
    <d v="2026-08-04T13:54:43"/>
    <d v="2026-08-04T13:54:43"/>
    <s v="Timothy Hodges"/>
    <x v="0"/>
    <s v="timothy.hodges687@icloud.com"/>
    <s v="Stainless Steel Water Bottle"/>
    <s v="Home &amp; Kitchen"/>
    <s v="HK-BTL-750"/>
    <n v="1"/>
    <n v="12.99"/>
    <m/>
    <s v="$0.00"/>
    <n v="4.99"/>
    <n v="17.98"/>
    <s v="Apple Pay"/>
    <x v="0"/>
    <s v="refunded"/>
    <s v="Australia"/>
    <m/>
    <s v="Not Required"/>
    <s v="Perezmouth"/>
  </r>
  <r>
    <s v="#1332"/>
    <d v="2026-08-04T00:00:00"/>
    <s v="04-08-2026 13:54"/>
    <s v="CHRISTOPHER HARRIS"/>
    <x v="0"/>
    <s v="christopher.harris618@yahoo.com"/>
    <s v="Wireless Mouse"/>
    <s v="Electronics"/>
    <s v="ELC-MSE-WL"/>
    <n v="1"/>
    <n v="11.99"/>
    <s v="FREESHIP"/>
    <n v="0"/>
    <n v="0"/>
    <n v="11.99"/>
    <s v="Credit Card"/>
    <x v="0"/>
    <s v="fulfilled"/>
    <s v="Australia"/>
    <m/>
    <s v="Not Required"/>
    <s v="Corychester"/>
  </r>
  <r>
    <s v="#1333"/>
    <d v="2026-08-04T14:02:08"/>
    <d v="2026-08-04T14:02:08"/>
    <s v="Jaime Vargas"/>
    <x v="0"/>
    <s v="jaime.vargas795@outlook.com"/>
    <s v="Yoga Mat - Extra Thick"/>
    <s v="Sports &amp; Outdoors"/>
    <s v="SP-YGM-EX"/>
    <n v="2"/>
    <n v="22.99"/>
    <s v="SAVE20"/>
    <n v="9.1999999999999993"/>
    <n v="7.99"/>
    <n v="44.77"/>
    <s v="Google Pay"/>
    <x v="2"/>
    <s v="pending"/>
    <s v="United Kingdom"/>
    <m/>
    <s v="Not Required"/>
    <s v="Middletonshire"/>
  </r>
  <r>
    <s v="#1334"/>
    <d v="2026-08-04T14:00:20"/>
    <d v="2026-08-04T14:00:20"/>
    <s v="Elizabeth Johnston"/>
    <x v="0"/>
    <s v="elizabeth.johnston946@gmail.com"/>
    <s v="Hooded Sweatshirt"/>
    <s v="Apparel"/>
    <s v="APR-HOD-GRY"/>
    <n v="1"/>
    <n v="34.99"/>
    <m/>
    <n v="0"/>
    <n v="5.99"/>
    <n v="40.98"/>
    <s v="Shopify Payments"/>
    <x v="0"/>
    <s v="fulfilled"/>
    <s v="United Kingdom"/>
    <m/>
    <s v="Not Required"/>
    <s v="Bakershire"/>
  </r>
  <r>
    <s v="#1335"/>
    <d v="2026-08-04T13:59:22"/>
    <d v="2026-08-04T13:59:22"/>
    <s v="Eric Golden"/>
    <x v="0"/>
    <s v="eric.golden379@outlook.com"/>
    <s v="Facial Cleanser 200ml"/>
    <s v="Beauty"/>
    <s v="BTY-CLN-200"/>
    <n v="2"/>
    <n v="13.49"/>
    <s v="WELCOME10"/>
    <n v="2.7"/>
    <n v="5.99"/>
    <n v="30.27"/>
    <s v="PayPal"/>
    <x v="1"/>
    <s v="fulfilled"/>
    <s v="United States"/>
    <s v="Georgia"/>
    <s v="Valid"/>
    <s v="East Heather"/>
  </r>
  <r>
    <s v="#1336"/>
    <d v="2026-08-04T14:04:18"/>
    <d v="2026-08-04T14:04:18"/>
    <s v="Tracy Adams"/>
    <x v="0"/>
    <s v="tracy.adams712@icloud.com"/>
    <s v="USB-C Fast Charger 20W"/>
    <s v="Electronics"/>
    <s v="ELC-CHG-20"/>
    <n v="2"/>
    <n v="15.49"/>
    <m/>
    <n v="0"/>
    <n v="5.99"/>
    <n v="36.97"/>
    <s v="Credit Card"/>
    <x v="3"/>
    <s v="pending"/>
    <s v="United States"/>
    <s v="California"/>
    <s v="Valid"/>
    <s v="New Ashley"/>
  </r>
  <r>
    <s v="#1337"/>
    <d v="2026-04-08T00:00:00"/>
    <s v="08/04/2026"/>
    <s v="Sarah Williams"/>
    <x v="0"/>
    <s v="sarah.williams329@icloud.com"/>
    <s v="Yoga Mat - Extra Thick"/>
    <s v="Sports &amp; Outdoors"/>
    <s v="SP-YGM-EX"/>
    <n v="1"/>
    <n v="22.99"/>
    <m/>
    <n v="0"/>
    <n v="4.99"/>
    <n v="27.98"/>
    <s v="Credit Card"/>
    <x v="1"/>
    <s v="fulfilled"/>
    <s v="Canada"/>
    <m/>
    <s v="Not Required"/>
    <s v="Lake Michaelstad"/>
  </r>
  <r>
    <s v="#1338"/>
    <d v="2026-04-08T00:00:00"/>
    <s v="08/04/2026"/>
    <s v="Christopher Harris"/>
    <x v="0"/>
    <s v="christopher.harris618@yahoo.com"/>
    <s v="Scented Soy Candle - Vanilla"/>
    <s v="Home &amp; Kitchen"/>
    <s v="HK-CND-VAN"/>
    <n v="1"/>
    <n v="9.99"/>
    <s v="VIP15"/>
    <n v="1.5"/>
    <n v="5.99"/>
    <n v="14.48"/>
    <s v="PayPal"/>
    <x v="2"/>
    <s v="pending"/>
    <s v="Australia"/>
    <m/>
    <s v="Not Required"/>
    <s v="Lake Crystal"/>
  </r>
  <r>
    <s v="#1339"/>
    <d v="2026-08-04T13:56:59"/>
    <d v="2026-08-04T13:56:59"/>
    <s v="  Christopher Osborne"/>
    <x v="0"/>
    <s v="christopher.osborne481@yahoo.com"/>
    <s v="Classic Cotton T-Shirt"/>
    <s v="Apparel"/>
    <s v="TSH-BLK-M"/>
    <n v="1"/>
    <n v="14.99"/>
    <s v=" VIP15 "/>
    <n v="2.25"/>
    <n v="7.99"/>
    <n v="20.73"/>
    <s v="Google Pay"/>
    <x v="0"/>
    <s v="refunded"/>
    <s v="United States"/>
    <s v="California"/>
    <s v="Valid"/>
    <s v="Michaelbury"/>
  </r>
  <r>
    <s v="#1340"/>
    <d v="2026-08-04T14:07:14"/>
    <d v="2026-08-04T14:07:14"/>
    <s v="Matthew Perez"/>
    <x v="0"/>
    <s v="matthew.perez875@gmail.com"/>
    <s v="Yoga Mat - Extra Thick"/>
    <s v="Sports &amp; Outdoors"/>
    <s v="SP-YGM-EX"/>
    <n v="1"/>
    <n v="22.99"/>
    <s v="WELCOME10"/>
    <n v="2.2999999999999998"/>
    <n v="4.99"/>
    <n v="25.68"/>
    <s v="Apple Pay"/>
    <x v="3"/>
    <s v="refunded"/>
    <s v="Pakistan"/>
    <m/>
    <s v="Not Required"/>
    <s v="North Steven"/>
  </r>
  <r>
    <s v="#1341"/>
    <d v="2026-08-04T14:05:29"/>
    <d v="2026-08-04T14:05:29"/>
    <s v="Elizabeth Carter"/>
    <x v="0"/>
    <s v="elizabeth.carter304@icloud.com"/>
    <s v="Throw Blanket - Fleece"/>
    <s v="Home &amp; Kitchen"/>
    <s v="HK-BLK-FLC"/>
    <n v="3"/>
    <n v="17.989999999999998"/>
    <m/>
    <n v="0"/>
    <n v="4.99"/>
    <s v="$58.96"/>
    <s v="Apple Pay"/>
    <x v="3"/>
    <s v="pending"/>
    <s v="Canada"/>
    <m/>
    <s v="Not Required"/>
    <s v="Maryborough"/>
  </r>
  <r>
    <s v="#1342"/>
    <d v="2026-04-08T00:00:00"/>
    <s v="08/04/2026"/>
    <s v="Nicole Taylor"/>
    <x v="0"/>
    <s v="nicole.taylor607@icloud.com"/>
    <s v="Hooded Sweatshirt"/>
    <s v="Apparel"/>
    <s v="APR-HOD-GRY"/>
    <n v="2"/>
    <n v="34.99"/>
    <s v="BFCM25"/>
    <n v="17.5"/>
    <n v="7.99"/>
    <n v="60.47"/>
    <s v="PayPal"/>
    <x v="3"/>
    <s v="fulfilled"/>
    <s v="United States"/>
    <s v="California"/>
    <s v="Valid"/>
    <s v="Melvinside"/>
  </r>
  <r>
    <s v="#1343"/>
    <d v="2026-08-04T13:53:54"/>
    <d v="2026-08-04T13:53:54"/>
    <s v="Albert Salazar"/>
    <x v="0"/>
    <s v="albert.salazar398@outlook.com"/>
    <s v="Vitamin C Serum 30ml"/>
    <s v="Beauty"/>
    <s v="BTY-SRM-30"/>
    <n v="1"/>
    <n v="24.99"/>
    <m/>
    <s v="$0.00"/>
    <n v="7.99"/>
    <n v="32.979999999999997"/>
    <s v="Shopify Payments"/>
    <x v="0"/>
    <s v="refunded"/>
    <s v="United States"/>
    <s v="Georgia"/>
    <s v="Valid"/>
    <s v="Angelaport"/>
  </r>
  <r>
    <s v="#1344"/>
    <d v="2026-08-04T14:06:34"/>
    <d v="2026-08-04T14:06:34"/>
    <s v="Maria Leon"/>
    <x v="0"/>
    <s v="maria.leon163@outlook.com"/>
    <s v="Vitamin C Serum 30ml"/>
    <s v="Beauty"/>
    <s v="BTY-SRM-30"/>
    <n v="1"/>
    <n v="24.99"/>
    <s v="FREESHIP"/>
    <n v="0"/>
    <n v="0"/>
    <s v="$24.99"/>
    <s v="Shopify Payments"/>
    <x v="3"/>
    <s v="refunded"/>
    <s v="Canada"/>
    <m/>
    <s v="Not Required"/>
    <s v="Leahchester"/>
  </r>
  <r>
    <s v="#1345"/>
    <d v="2026-08-04T13:59:52"/>
    <d v="2026-08-04T13:59:52"/>
    <s v="Lauren Nguyen"/>
    <x v="1"/>
    <m/>
    <s v="Vitamin C Serum 30ml"/>
    <s v="Beauty"/>
    <s v="BTY-SRM-30"/>
    <n v="1"/>
    <n v="24.99"/>
    <m/>
    <n v="0"/>
    <n v="4.99"/>
    <n v="29.98"/>
    <s v="PayPal"/>
    <x v="3"/>
    <s v="pending"/>
    <s v="United Kingdom"/>
    <m/>
    <s v="Not Required"/>
    <s v="New Jason"/>
  </r>
  <r>
    <s v="#1346"/>
    <d v="2026-08-04T14:03:55"/>
    <d v="2026-08-04T14:03:55"/>
    <s v="Rhonda Chapman"/>
    <x v="0"/>
    <s v="rhonda.chapman481@yahoo.com"/>
    <s v="Wireless Mouse"/>
    <s v="Electronics"/>
    <s v="ELC-MSE-WL"/>
    <n v="1"/>
    <n v="11.99"/>
    <s v="WELCOME10"/>
    <n v="1.2"/>
    <n v="5.99"/>
    <n v="16.78"/>
    <s v="Credit Card"/>
    <x v="3"/>
    <s v="refunded"/>
    <s v="United States"/>
    <s v="New York"/>
    <s v="Valid"/>
    <s v="East Williamstad"/>
  </r>
  <r>
    <s v="#1347"/>
    <d v="2026-08-04T00:00:00"/>
    <s v="04-08-2026 13:59"/>
    <s v="Kenneth Coleman"/>
    <x v="0"/>
    <s v="kenneth.coleman447@icloud.com"/>
    <s v="Classic Cotton T-Shirt"/>
    <s v="Apparel"/>
    <s v="TSH-BLK-L"/>
    <n v="1"/>
    <n v="14.99"/>
    <s v="VIP15"/>
    <n v="2.25"/>
    <n v="5.99"/>
    <n v="18.73"/>
    <s v="Apple Pay"/>
    <x v="0"/>
    <s v="refunded"/>
    <s v="United States"/>
    <s v="New York"/>
    <s v="Valid"/>
    <s v="Mcbrideton"/>
  </r>
  <r>
    <s v="#1348"/>
    <d v="2026-08-04T14:01:56"/>
    <d v="2026-08-04T14:01:56"/>
    <s v="Timothy Becker"/>
    <x v="0"/>
    <s v="timothy.becker88@yahoo.com"/>
    <s v="Hooded Sweatshirt"/>
    <s v="Apparel"/>
    <s v="APR-HOD-GRY"/>
    <n v="1"/>
    <n v="34.99"/>
    <s v="WELCOME10"/>
    <n v="3.5"/>
    <n v="5.99"/>
    <n v="37.479999999999997"/>
    <s v="Google Pay"/>
    <x v="0"/>
    <s v="pending"/>
    <s v="United States"/>
    <s v="Florida"/>
    <s v="Valid"/>
    <s v="Lake Kimberlybury"/>
  </r>
  <r>
    <s v="#1349"/>
    <d v="2026-08-04T13:54:43"/>
    <d v="2026-08-04T13:54:43"/>
    <s v="Alison Schroeder"/>
    <x v="0"/>
    <s v="alison.schroeder943@icloud.com"/>
    <s v="Portable Power Bank 10000mAh"/>
    <s v="Electronics"/>
    <s v="ELC-PWB-10K"/>
    <n v="1"/>
    <n v="21.99"/>
    <s v="SAVE20"/>
    <n v="4.4000000000000004"/>
    <n v="5.99"/>
    <n v="23.58"/>
    <s v="PayPal"/>
    <x v="2"/>
    <s v="fulfilled"/>
    <s v="Australia"/>
    <m/>
    <s v="Not Required"/>
    <s v="Terranceburgh"/>
  </r>
  <r>
    <s v="#1350"/>
    <d v="2026-08-04T14:01:58"/>
    <d v="2026-08-04T14:01:58"/>
    <s v="Chad Smith"/>
    <x v="0"/>
    <s v="chad.smith773@icloud.com"/>
    <s v="Classic Cotton T-Shirt"/>
    <s v="Apparel"/>
    <s v="TSH-BLK-L"/>
    <n v="2"/>
    <n v="14.99"/>
    <s v="VIP15"/>
    <n v="4.5"/>
    <n v="7.99"/>
    <n v="33.47"/>
    <s v="PayPal"/>
    <x v="3"/>
    <s v="pending"/>
    <s v="Pakistan"/>
    <m/>
    <s v="Not Required"/>
    <s v="New Sandra"/>
  </r>
  <r>
    <s v="#1351"/>
    <d v="2026-08-04T14:01:45"/>
    <d v="2026-08-04T14:01:45"/>
    <s v="John Carson"/>
    <x v="0"/>
    <s v="john.carson203@yahoo.com"/>
    <s v="USB-C Fast Charger 20W"/>
    <s v="Electronics"/>
    <s v="ELC-CHG-20"/>
    <n v="1"/>
    <n v="15.49"/>
    <s v="FREESHIP"/>
    <n v="0"/>
    <n v="0"/>
    <n v="15.49"/>
    <s v="PayPal"/>
    <x v="0"/>
    <s v="fulfilled"/>
    <s v="United States"/>
    <s v="Georgia"/>
    <s v="Valid"/>
    <s v="East Emily"/>
  </r>
  <r>
    <s v="#1352"/>
    <d v="2026-08-04T13:59:27"/>
    <d v="2026-08-04T13:59:27"/>
    <s v="Jon Lambert"/>
    <x v="0"/>
    <s v="jon.lambert231@icloud.com"/>
    <s v="Portable Power Bank 10000mAh"/>
    <s v="Electronics"/>
    <s v="ELC-PWB-10K"/>
    <n v="2"/>
    <n v="21.99"/>
    <m/>
    <n v="0"/>
    <n v="5.99"/>
    <n v="49.97"/>
    <s v="Google Pay"/>
    <x v="0"/>
    <s v="refunded"/>
    <s v="United States"/>
    <s v="California"/>
    <s v="Valid"/>
    <s v="Alexanderfort"/>
  </r>
  <r>
    <s v="#1353"/>
    <d v="2026-08-04T14:04:46"/>
    <d v="2026-08-04T14:04:46"/>
    <s v="Dawn Randolph"/>
    <x v="0"/>
    <s v="dawn.randolph179@icloud.com"/>
    <s v="USB-C Fast Charger 20W"/>
    <s v="Electronics"/>
    <s v="ELC-CHG-20"/>
    <n v="2"/>
    <n v="15.49"/>
    <m/>
    <n v="0"/>
    <n v="7.99"/>
    <n v="38.97"/>
    <s v="Apple Pay"/>
    <x v="0"/>
    <s v="fulfilled"/>
    <s v="Pakistan"/>
    <m/>
    <s v="Not Required"/>
    <s v="West Noah"/>
  </r>
  <r>
    <s v="#1354"/>
    <d v="2026-08-04T14:04:39"/>
    <d v="2026-08-04T14:04:39"/>
    <s v="Michael Jacobson"/>
    <x v="0"/>
    <s v="michael.jacobson69@outlook.com"/>
    <s v="USB-C Fast Charger 20W"/>
    <s v="Electronics"/>
    <s v="ELC-CHG-20"/>
    <n v="1"/>
    <n v="15.49"/>
    <s v="WELCOME10"/>
    <n v="1.55"/>
    <n v="7.99"/>
    <n v="21.93"/>
    <s v="Credit Card"/>
    <x v="3"/>
    <s v="fulfilled"/>
    <s v="Germany"/>
    <m/>
    <s v="Not Required"/>
    <s v="Scottchester"/>
  </r>
  <r>
    <s v="#1355"/>
    <d v="2026-08-04T14:02:45"/>
    <d v="2026-08-04T14:02:45"/>
    <s v="Stacey Johnson"/>
    <x v="0"/>
    <s v="stacey.johnson95@gmail.com"/>
    <s v="Stainless Steel Water Bottle"/>
    <s v="Home &amp; Kitchen"/>
    <s v="HK-BTL-750"/>
    <n v="1"/>
    <n v="12.99"/>
    <s v="SAVE20"/>
    <n v="2.6"/>
    <n v="5.99"/>
    <n v="16.38"/>
    <s v="PayPal"/>
    <x v="0"/>
    <s v="cancelled"/>
    <s v="Germany"/>
    <m/>
    <s v="Not Required"/>
    <s v="Wardstad"/>
  </r>
  <r>
    <s v="#1356"/>
    <d v="2026-08-04T13:54:30"/>
    <d v="2026-08-04T13:54:30"/>
    <m/>
    <x v="0"/>
    <s v="james.miller866@yahoo.com"/>
    <s v="USB-C Fast Charger 20W"/>
    <s v="Electronics"/>
    <s v="ELC-CHG-20"/>
    <n v="1"/>
    <n v="15.49"/>
    <s v="FREESHIP"/>
    <n v="0"/>
    <n v="0"/>
    <n v="15.49"/>
    <s v="PayPal"/>
    <x v="0"/>
    <s v="refunded"/>
    <s v="Pakistan"/>
    <m/>
    <s v="Not Required"/>
    <s v="Martinmouth"/>
  </r>
  <r>
    <s v="#1357"/>
    <d v="2026-08-04T14:03:36"/>
    <d v="2026-08-04T14:03:36"/>
    <s v="Sandra Potter"/>
    <x v="0"/>
    <s v="sandra.potter166@yahoo.com"/>
    <s v="Stainless Steel Water Bottle"/>
    <s v="Home &amp; Kitchen"/>
    <s v="HK-BTL-750"/>
    <n v="1"/>
    <n v="12.99"/>
    <s v="VIP15"/>
    <n v="1.95"/>
    <n v="7.99"/>
    <n v="19.03"/>
    <s v="Google Pay"/>
    <x v="1"/>
    <s v="fulfilled"/>
    <s v="United States"/>
    <s v="North Carolina"/>
    <s v="Valid"/>
    <s v="East Wendyton"/>
  </r>
  <r>
    <s v="#1358"/>
    <d v="2026-08-04T13:56:02"/>
    <d v="2026-08-04T13:56:02"/>
    <s v="Kathryn Robinson"/>
    <x v="0"/>
    <s v="kathryn.robinson965@gmail.com"/>
    <s v="Wireless Mouse"/>
    <s v="Electronics"/>
    <s v="ELC-MSE-WL"/>
    <n v="1"/>
    <n v="11.99"/>
    <m/>
    <n v="0"/>
    <n v="5.99"/>
    <n v="17.98"/>
    <s v="Credit Card"/>
    <x v="3"/>
    <s v="fulfilled"/>
    <s v="United Kingdom"/>
    <m/>
    <s v="Not Required"/>
    <s v="Lake Jeffreyshire"/>
  </r>
  <r>
    <s v="#1359"/>
    <d v="2026-08-04T13:58:06"/>
    <d v="2026-08-04T13:58:06"/>
    <s v="Barbara Case"/>
    <x v="0"/>
    <s v="barbara.case365@yahoo.com"/>
    <s v="Facial Cleanser 200ml"/>
    <s v="Beauty"/>
    <s v="BTY-CLN-200"/>
    <n v="1"/>
    <n v="13.49"/>
    <s v="SAVE20"/>
    <n v="2.7"/>
    <n v="4.99"/>
    <n v="15.78"/>
    <s v="Apple Pay"/>
    <x v="3"/>
    <s v="refunded"/>
    <s v="United States"/>
    <s v="California"/>
    <s v="Valid"/>
    <s v="East Andrewfurt"/>
  </r>
  <r>
    <s v="#1360"/>
    <d v="2026-08-04T14:05:32"/>
    <d v="2026-08-04T14:05:32"/>
    <s v="Christopher Harris"/>
    <x v="0"/>
    <s v="christopher.harris618@yahoo.com"/>
    <s v="Portable Power Bank 10000mAh"/>
    <s v="Electronics"/>
    <s v="ELC-PWB-10K"/>
    <n v="1"/>
    <n v="21.99"/>
    <m/>
    <n v="0"/>
    <n v="5.99"/>
    <n v="27.98"/>
    <s v="Google Pay"/>
    <x v="0"/>
    <s v="fulfilled"/>
    <s v="Australia"/>
    <m/>
    <s v="Not Required"/>
    <s v="Barnesmouth"/>
  </r>
  <r>
    <s v="#1361"/>
    <d v="2026-08-04T13:58:08"/>
    <d v="2026-08-04T13:58:08"/>
    <s v="Darryl Cook"/>
    <x v="0"/>
    <s v="darryl.cook98@yahoo.com"/>
    <s v="Ceramic Coffee Mug Set (4pc)"/>
    <s v="Home &amp; Kitchen"/>
    <s v="HK-MUG-4PK"/>
    <n v="1"/>
    <n v="18.989999999999998"/>
    <m/>
    <n v="0"/>
    <n v="5.99"/>
    <n v="24.98"/>
    <s v="PayPal"/>
    <x v="2"/>
    <s v="fulfilled"/>
    <s v="Pakistan"/>
    <m/>
    <s v="Not Required"/>
    <s v="Christineland"/>
  </r>
  <r>
    <s v="#1362"/>
    <d v="2026-04-08T00:00:00"/>
    <s v="08/04/2026"/>
    <s v="David Mcknight"/>
    <x v="0"/>
    <s v="david.mcknight827@gmail.com"/>
    <s v="Classic Cotton T-Shirt"/>
    <s v="Apparel"/>
    <s v="TSH-BLK-L"/>
    <n v="2"/>
    <n v="14.99"/>
    <s v="BFCM25"/>
    <n v="7.5"/>
    <n v="4.99"/>
    <n v="27.47"/>
    <s v="Apple Pay"/>
    <x v="0"/>
    <s v="fulfilled"/>
    <s v="United States"/>
    <s v="North Carolina"/>
    <s v="Valid"/>
    <s v="West William"/>
  </r>
  <r>
    <s v="#1363"/>
    <d v="2026-08-04T13:54:46"/>
    <d v="2026-08-04T13:54:46"/>
    <s v="William Houston"/>
    <x v="0"/>
    <s v="william.houston340@outlook.com"/>
    <s v="Running Shoes - Women's"/>
    <s v="Footwear"/>
    <s v="FTW-RUN-W"/>
    <n v="2"/>
    <n v="54.99"/>
    <s v="WELCOME10"/>
    <n v="11"/>
    <n v="0"/>
    <n v="98.98"/>
    <s v="PayPal"/>
    <x v="0"/>
    <s v="fulfilled"/>
    <s v="United States"/>
    <s v="Ohio"/>
    <s v="Valid"/>
    <s v="Adamhaven"/>
  </r>
  <r>
    <s v="#1364"/>
    <d v="2026-08-04T13:57:54"/>
    <d v="2026-08-04T13:57:54"/>
    <s v="Anthony Krueger"/>
    <x v="0"/>
    <s v="anthony.krueger812@yahoo.com"/>
    <s v="Scented Soy Candle - Vanilla"/>
    <s v="Home &amp; Kitchen"/>
    <s v="HK-CND-VAN"/>
    <n v="1"/>
    <n v="9.99"/>
    <s v="FREESHIP"/>
    <n v="0"/>
    <n v="0"/>
    <n v="9.99"/>
    <s v="PayPal"/>
    <x v="3"/>
    <s v="fulfilled"/>
    <s v="Pakistan"/>
    <m/>
    <s v="Not Required"/>
    <s v="Jessicaberg"/>
  </r>
  <r>
    <s v="#1365"/>
    <d v="2026-04-08T00:00:00"/>
    <s v="08/04/2026"/>
    <s v="James Miller"/>
    <x v="0"/>
    <s v="james.miller866@yahoo.com"/>
    <s v="Portable Power Bank 10000mAh"/>
    <s v="Electronics"/>
    <s v="ELC-PWB-10K"/>
    <n v="1"/>
    <n v="21.99"/>
    <s v="WELCOME10"/>
    <n v="2.2000000000000002"/>
    <n v="7.99"/>
    <n v="27.78"/>
    <s v="Credit Card"/>
    <x v="2"/>
    <s v="pending"/>
    <s v="Pakistan"/>
    <m/>
    <s v="Not Required"/>
    <s v="Lake Kaitlyn"/>
  </r>
  <r>
    <s v="#1366"/>
    <d v="2026-08-04T13:59:18"/>
    <d v="2026-08-04T13:59:18"/>
    <s v="Heather Davis"/>
    <x v="0"/>
    <s v="heather.davis117@icloud.com"/>
    <s v="Wireless Mouse"/>
    <s v="Electronics"/>
    <s v="ELC-MSE-WL"/>
    <n v="1"/>
    <n v="11.99"/>
    <s v="FREESHIP"/>
    <n v="0"/>
    <n v="0"/>
    <s v="$11.99"/>
    <s v="Shopify Payments"/>
    <x v="0"/>
    <s v="fulfilled"/>
    <s v="Germany"/>
    <m/>
    <s v="Not Required"/>
    <s v="Arnoldberg"/>
  </r>
  <r>
    <s v="#1367"/>
    <d v="2026-04-08T00:00:00"/>
    <s v="08/04/2026"/>
    <s v="Andrew Cross"/>
    <x v="0"/>
    <s v="andrew.cross512@yahoo.com"/>
    <s v="Resistance Bands Set"/>
    <s v="Sports &amp; Outdoors"/>
    <s v="SP-RBS-SET"/>
    <n v="1"/>
    <n v="13.99"/>
    <m/>
    <n v="0"/>
    <n v="4.99"/>
    <n v="18.98"/>
    <s v="PayPal"/>
    <x v="0"/>
    <s v="refunded"/>
    <s v="United States"/>
    <s v="North Carolina"/>
    <s v="Valid"/>
    <s v="New Melissabury"/>
  </r>
  <r>
    <s v="#1368"/>
    <d v="2026-08-04T13:59:42"/>
    <d v="2026-08-04T13:59:42"/>
    <s v="Mary Bradley"/>
    <x v="0"/>
    <s v="mary.bradley289@gmail.com"/>
    <s v="Wireless Mouse"/>
    <s v="Electronics"/>
    <s v="ELC-MSE-WL"/>
    <n v="1"/>
    <n v="11.99"/>
    <s v="SAVE20"/>
    <n v="2.4"/>
    <n v="5.99"/>
    <n v="15.58"/>
    <s v="PayPal"/>
    <x v="0"/>
    <s v="fulfilled"/>
    <s v="United Kingdom"/>
    <m/>
    <s v="Not Required"/>
    <s v="Andersonburgh"/>
  </r>
  <r>
    <s v="#1369"/>
    <d v="2026-08-04T14:04:34"/>
    <d v="2026-08-04T14:04:34"/>
    <s v="Kendra Price"/>
    <x v="0"/>
    <s v="kendra.price237@outlook.com"/>
    <s v="Hooded Sweatshirt"/>
    <s v="Apparel"/>
    <s v="APR-HOD-GRY"/>
    <n v="1"/>
    <n v="34.99"/>
    <m/>
    <n v="0"/>
    <n v="7.99"/>
    <n v="42.98"/>
    <s v="Credit Card"/>
    <x v="0"/>
    <s v="pending"/>
    <s v="Germany"/>
    <m/>
    <s v="Not Required"/>
    <s v="Stephensshire"/>
  </r>
  <r>
    <s v="#1370"/>
    <d v="2026-08-04T00:00:00"/>
    <s v="04-08-2026 14:00"/>
    <s v="Autumn Stewart"/>
    <x v="0"/>
    <s v="autumn.stewart565@outlook.com"/>
    <s v="Hooded Sweatshirt"/>
    <s v="Apparel"/>
    <s v="APR-HOD-GRY"/>
    <n v="1"/>
    <n v="34.99"/>
    <m/>
    <n v="0"/>
    <n v="7.99"/>
    <n v="42.98"/>
    <s v="PayPal"/>
    <x v="2"/>
    <s v="fulfilled"/>
    <s v="United Kingdom"/>
    <m/>
    <s v="Not Required"/>
    <s v="Lake Jaredborough"/>
  </r>
  <r>
    <s v="#1372"/>
    <d v="2026-08-04T14:02:01"/>
    <d v="2026-08-04T14:02:01"/>
    <s v="Jane Gregory"/>
    <x v="0"/>
    <s v="jane.gregory935@icloud.com"/>
    <s v="Running Shoes - Men's"/>
    <s v="Footwear"/>
    <s v="FTW-RUN-M"/>
    <n v="1"/>
    <n v="54.99"/>
    <s v="BFCM25"/>
    <n v="13.75"/>
    <n v="7.99"/>
    <n v="49.23"/>
    <s v="Credit Card"/>
    <x v="0"/>
    <s v="fulfilled"/>
    <s v="Germany"/>
    <m/>
    <s v="Not Required"/>
    <s v="Fletcherberg"/>
  </r>
  <r>
    <s v="#1373"/>
    <d v="2026-08-04T14:05:06"/>
    <d v="2026-08-04T14:05:06"/>
    <s v="Amanda Robinson"/>
    <x v="1"/>
    <m/>
    <s v="Scented Soy Candle - Vanilla"/>
    <s v="Home &amp; Kitchen"/>
    <s v="HK-CND-VAN"/>
    <n v="2"/>
    <n v="9.99"/>
    <s v="SAVE20"/>
    <n v="4"/>
    <n v="4.99"/>
    <n v="20.97"/>
    <s v="Credit Card"/>
    <x v="0"/>
    <s v="pending"/>
    <s v="United States"/>
    <s v="Georgia"/>
    <s v="Valid"/>
    <s v="Calebstad"/>
  </r>
  <r>
    <s v="#1374"/>
    <d v="2026-08-04T13:58:10"/>
    <d v="2026-08-04T13:58:10"/>
    <s v="Tyler Williams"/>
    <x v="1"/>
    <m/>
    <s v="Kids Building Blocks Set"/>
    <s v="Toys"/>
    <s v="TOY-BLK-SET"/>
    <n v="2"/>
    <n v="27.99"/>
    <s v="BFCM25"/>
    <n v="13.99"/>
    <n v="5.99"/>
    <n v="47.98"/>
    <s v="Shopify Payments"/>
    <x v="2"/>
    <s v="fulfilled"/>
    <s v="Australia"/>
    <m/>
    <s v="Not Required"/>
    <s v="Kellyfort"/>
  </r>
  <r>
    <s v="#1375"/>
    <d v="2026-08-04T14:01:21"/>
    <d v="2026-08-04T14:01:21"/>
    <s v="Cody Murray"/>
    <x v="0"/>
    <s v="cody.murray456@gmail.com"/>
    <s v="Running Shoes - Men's"/>
    <s v="Footwear"/>
    <s v="FTW-RUN-M"/>
    <n v="2"/>
    <n v="54.99"/>
    <s v="WELCOME10"/>
    <n v="11"/>
    <n v="0"/>
    <n v="98.98"/>
    <s v="Credit Card"/>
    <x v="3"/>
    <s v="fulfilled"/>
    <s v="United Kingdom"/>
    <m/>
    <s v="Not Required"/>
    <s v="Medinaville"/>
  </r>
  <r>
    <s v="#1376"/>
    <d v="2026-08-04T00:00:00"/>
    <s v="Aug 04, 2026"/>
    <s v="Julia Atkinson"/>
    <x v="0"/>
    <s v="julia.atkinson939@gmail.com"/>
    <s v="Vitamin C Serum 30ml"/>
    <s v="Beauty"/>
    <s v="BTY-SRM-30"/>
    <n v="1"/>
    <n v="24.99"/>
    <s v="VIP15"/>
    <n v="3.75"/>
    <n v="5.99"/>
    <n v="27.23"/>
    <s v="Credit Card"/>
    <x v="3"/>
    <s v="fulfilled"/>
    <s v="Canada"/>
    <m/>
    <s v="Not Required"/>
    <s v="Piercehaven"/>
  </r>
  <r>
    <s v="#1377"/>
    <d v="2026-08-04T13:59:25"/>
    <d v="2026-08-04T13:59:25"/>
    <s v="Sarah Singh"/>
    <x v="0"/>
    <s v="sarah.singh298@gmail.com"/>
    <s v="Throw Blanket - Fleece"/>
    <s v="Home &amp; Kitchen"/>
    <s v="HK-BLK-FLC"/>
    <n v="1"/>
    <n v="17.989999999999998"/>
    <s v="SAVE20"/>
    <n v="3.6"/>
    <n v="5.99"/>
    <n v="20.38"/>
    <s v="Shopify Payments"/>
    <x v="1"/>
    <s v="pending"/>
    <s v="Canada"/>
    <m/>
    <s v="Not Required"/>
    <s v="New Jamesshire"/>
  </r>
  <r>
    <s v="#1378"/>
    <d v="2026-08-04T14:05:28"/>
    <d v="2026-08-04T14:05:28"/>
    <s v="James Castro"/>
    <x v="0"/>
    <s v="james.castro923@icloud.com"/>
    <s v="Classic Cotton T-Shirt"/>
    <s v="Apparel"/>
    <s v="TSH-BLK-M"/>
    <n v="2"/>
    <n v="14.99"/>
    <m/>
    <n v="0"/>
    <n v="5.99"/>
    <n v="35.97"/>
    <s v="Shopify Payments"/>
    <x v="2"/>
    <s v="fulfilled"/>
    <s v="Pakistan"/>
    <m/>
    <s v="Not Required"/>
    <s v="Cynthiaside"/>
  </r>
  <r>
    <s v="#1379"/>
    <d v="2026-04-08T00:00:00"/>
    <s v="08/04/2026"/>
    <s v="Melissa James"/>
    <x v="0"/>
    <s v="melissa.james674@outlook.com"/>
    <s v="Polarized Sunglasses"/>
    <s v="Accessories"/>
    <s v="ACC-SUN-01"/>
    <n v="1"/>
    <n v="16.989999999999998"/>
    <s v="BFCM25"/>
    <n v="4.25"/>
    <n v="4.99"/>
    <n v="17.73"/>
    <s v="PayPal"/>
    <x v="1"/>
    <s v="cancelled"/>
    <s v="United States"/>
    <s v="GA"/>
    <s v="Valid"/>
    <s v="East Courtneyport"/>
  </r>
  <r>
    <s v="#1380"/>
    <d v="2026-08-04T13:57:41"/>
    <d v="2026-08-04T13:57:41"/>
    <s v="Tyler Williams"/>
    <x v="0"/>
    <s v="tyler.williams938@outlook.com"/>
    <s v="USB-C Fast Charger 20W"/>
    <s v="Electronics"/>
    <s v="ELC-CHG-20"/>
    <n v="1"/>
    <n v="15.49"/>
    <m/>
    <n v="0"/>
    <n v="5.99"/>
    <n v="21.48"/>
    <s v="Credit Card"/>
    <x v="0"/>
    <s v="pending"/>
    <s v="Australia"/>
    <m/>
    <s v="Not Required"/>
    <s v="Daltonstad"/>
  </r>
  <r>
    <s v="#1381"/>
    <d v="2026-08-04T00:00:00"/>
    <s v="04-08-2026 14:00"/>
    <s v="Sandra Potter"/>
    <x v="0"/>
    <s v="sandra.potter166@yahoo.com"/>
    <s v="Phone Case - Clear"/>
    <s v="Electronics"/>
    <s v="ELC-CSE-CLR"/>
    <n v="1"/>
    <n v="8.99"/>
    <s v="WELCOME10"/>
    <n v="0.9"/>
    <n v="7.99"/>
    <s v="$16.08"/>
    <s v="PayPal"/>
    <x v="2"/>
    <s v="fulfilled"/>
    <s v="United States"/>
    <s v="WA"/>
    <s v="Valid"/>
    <s v="South Justintown"/>
  </r>
  <r>
    <s v="#1382"/>
    <d v="2026-08-04T00:00:00"/>
    <s v="Aug 04, 2026"/>
    <s v="Susan Stark"/>
    <x v="0"/>
    <s v="susan.stark500@yahoo.com"/>
    <s v="Classic Cotton T-Shirt"/>
    <s v="Apparel"/>
    <s v="TSH-BLK-M"/>
    <n v="1"/>
    <n v="14.99"/>
    <m/>
    <n v="0"/>
    <n v="7.99"/>
    <n v="22.98"/>
    <s v="Google Pay"/>
    <x v="0"/>
    <s v="pending"/>
    <s v="Australia"/>
    <m/>
    <s v="Not Required"/>
    <s v="Petersonland"/>
  </r>
  <r>
    <s v="#1383"/>
    <d v="2026-08-04T13:59:35"/>
    <d v="2026-08-04T13:59:35"/>
    <s v="Ryan Gonzalez"/>
    <x v="0"/>
    <s v="ryan.gonzalez192@gmail.com"/>
    <s v="Stainless Steel Water Bottle"/>
    <s v="Home &amp; Kitchen"/>
    <s v="HK-BTL-750"/>
    <n v="1"/>
    <s v="$12.99"/>
    <s v="SAVE20"/>
    <n v="2.6"/>
    <n v="5.99"/>
    <n v="16.38"/>
    <s v="Credit Card"/>
    <x v="2"/>
    <s v="refunded"/>
    <s v="United States"/>
    <s v="Texas"/>
    <s v="Valid"/>
    <s v="East Jameston"/>
  </r>
  <r>
    <s v="#1384"/>
    <d v="2026-08-04T13:53:35"/>
    <d v="2026-08-04T13:53:35"/>
    <s v="Mary Garcia"/>
    <x v="0"/>
    <s v="mary.garcia899@icloud.com"/>
    <s v="Adjustable Dumbbell Set"/>
    <s v="Sports &amp; Outdoors"/>
    <s v="SP-DMB-ADJ"/>
    <n v="2"/>
    <n v="89.99"/>
    <s v="FREESHIP"/>
    <n v="0"/>
    <n v="0"/>
    <n v="179.98"/>
    <s v="Google Pay"/>
    <x v="0"/>
    <s v="refunded"/>
    <s v="Canada"/>
    <m/>
    <s v="Not Required"/>
    <s v="Evantown"/>
  </r>
  <r>
    <s v="#1385"/>
    <d v="2026-08-04T13:57:24"/>
    <d v="2026-08-04T13:57:24"/>
    <s v="Mary Garcia"/>
    <x v="0"/>
    <s v="mary.garcia899@icloud.com"/>
    <s v="USB-C Fast Charger 20W"/>
    <s v="Electronics"/>
    <s v="ELC-CHG-20"/>
    <n v="3"/>
    <n v="15.49"/>
    <s v="VIP15"/>
    <n v="6.97"/>
    <n v="4.99"/>
    <n v="44.49"/>
    <s v="Google Pay"/>
    <x v="2"/>
    <s v="cancelled"/>
    <s v="Canada"/>
    <m/>
    <s v="Not Required"/>
    <s v="New Kevintown"/>
  </r>
  <r>
    <s v="#1386"/>
    <d v="2026-08-04T14:03:21"/>
    <d v="2026-08-04T14:03:21"/>
    <s v="Vincent Rosales"/>
    <x v="0"/>
    <s v="vincent.rosales30@icloud.com"/>
    <s v="Portable Power Bank 10000mAh"/>
    <s v="Electronics"/>
    <s v="ELC-PWB-10K"/>
    <n v="1"/>
    <n v="21.99"/>
    <s v="BFCM25"/>
    <n v="5.5"/>
    <n v="7.99"/>
    <n v="24.48"/>
    <s v="PayPal"/>
    <x v="2"/>
    <s v="fulfilled"/>
    <s v="United States"/>
    <s v="Texas"/>
    <s v="Valid"/>
    <s v="North Wendyview"/>
  </r>
  <r>
    <s v="#1387"/>
    <d v="2026-08-04T14:04:16"/>
    <d v="2026-08-04T14:04:16"/>
    <s v="  Thomas Rojas"/>
    <x v="0"/>
    <s v="thomas.rojas667@icloud.com"/>
    <s v="Classic Cotton T-Shirt"/>
    <s v="Apparel"/>
    <s v="TSH-BLK-M"/>
    <n v="2"/>
    <n v="14.99"/>
    <s v="WELCOME10"/>
    <n v="3"/>
    <n v="5.99"/>
    <n v="32.97"/>
    <s v="Credit Card"/>
    <x v="1"/>
    <s v="fulfilled"/>
    <s v="United States"/>
    <s v="Arizona"/>
    <s v="Valid"/>
    <s v="Port Sarahview"/>
  </r>
  <r>
    <s v="#1388"/>
    <d v="2026-04-08T00:00:00"/>
    <s v="08/04/2026"/>
    <s v="kimberly estrada"/>
    <x v="1"/>
    <m/>
    <s v="Portable Power Bank 10000mAh"/>
    <s v="Electronics"/>
    <s v="ELC-PWB-10K"/>
    <n v="3"/>
    <n v="21.99"/>
    <m/>
    <n v="0"/>
    <n v="4.99"/>
    <n v="70.959999999999994"/>
    <s v="Apple Pay"/>
    <x v="1"/>
    <s v="fulfilled"/>
    <s v="Canada"/>
    <m/>
    <s v="Not Required"/>
    <s v="Josephbury"/>
  </r>
  <r>
    <s v="#1389"/>
    <d v="2026-08-04T13:53:54"/>
    <d v="2026-08-04T13:53:54"/>
    <s v="Andrew Jones"/>
    <x v="0"/>
    <s v="andrew.jones338@icloud.com"/>
    <s v="Phone Case - Clear"/>
    <s v="Electronics"/>
    <s v="ELC-CSE-CLR"/>
    <n v="1"/>
    <n v="8.99"/>
    <s v="WELCOME10"/>
    <n v="0.9"/>
    <n v="5.99"/>
    <n v="14.08"/>
    <s v="Google Pay"/>
    <x v="0"/>
    <s v="fulfilled"/>
    <s v="United Kingdom"/>
    <m/>
    <s v="Not Required"/>
    <s v="Melissastad"/>
  </r>
  <r>
    <s v="#1390"/>
    <d v="2026-08-04T14:06:01"/>
    <d v="2026-08-04T14:06:01"/>
    <s v="Chad Smith"/>
    <x v="0"/>
    <s v="chad.smith773@icloud.com"/>
    <s v="Adjustable Dumbbell Set"/>
    <s v="Sports &amp; Outdoors"/>
    <s v="SP-DMB-ADJ"/>
    <n v="1"/>
    <n v="89.99"/>
    <s v="BFCM25"/>
    <n v="22.5"/>
    <n v="0"/>
    <n v="67.489999999999995"/>
    <s v="Credit Card"/>
    <x v="0"/>
    <s v="fulfilled"/>
    <s v="Pakistan"/>
    <m/>
    <s v="Not Required"/>
    <s v="Reynoldsshire"/>
  </r>
  <r>
    <s v="#1391"/>
    <d v="2026-08-04T13:53:55"/>
    <d v="2026-08-04T13:53:55"/>
    <s v="Debbie Joseph"/>
    <x v="0"/>
    <s v="debbie.joseph531@outlook.com"/>
    <s v="Backpack - 25L"/>
    <s v="Accessories"/>
    <s v="ACC-BPK-25L"/>
    <n v="1"/>
    <s v="$32.99"/>
    <s v="BFCM25"/>
    <n v="8.25"/>
    <n v="5.99"/>
    <n v="30.73"/>
    <s v="Credit Card"/>
    <x v="1"/>
    <s v="refunded"/>
    <s v="United States"/>
    <s v="Ohio"/>
    <s v="Valid"/>
    <s v="New Heidiland"/>
  </r>
  <r>
    <s v="#1392"/>
    <d v="2026-08-04T13:53:26"/>
    <d v="2026-08-04T13:53:26"/>
    <s v="Donald Davis"/>
    <x v="0"/>
    <s v="donald.davis404@icloud.com"/>
    <s v="USB-C Fast Charger 20W"/>
    <s v="Electronics"/>
    <s v="ELC-CHG-20"/>
    <n v="1"/>
    <n v="15.49"/>
    <m/>
    <n v="0"/>
    <n v="5.99"/>
    <n v="21.48"/>
    <s v="PayPal"/>
    <x v="0"/>
    <s v="pending"/>
    <s v="Canada"/>
    <m/>
    <s v="Not Required"/>
    <s v="North Karina"/>
  </r>
  <r>
    <s v="#1393"/>
    <d v="2026-08-04T14:01:07"/>
    <d v="2026-08-04T14:01:07"/>
    <s v="Jon Lambert"/>
    <x v="0"/>
    <s v="jon.lambert231@icloud.com"/>
    <s v="Yoga Mat - Extra Thick"/>
    <s v="Sports &amp; Outdoors"/>
    <s v="SP-YGM-EX"/>
    <n v="1"/>
    <n v="22.99"/>
    <s v="SAVE20"/>
    <n v="4.5999999999999996"/>
    <n v="7.99"/>
    <n v="26.38"/>
    <s v="Shopify Payments"/>
    <x v="0"/>
    <s v="pending"/>
    <s v="United States"/>
    <s v="Georgia"/>
    <s v="Valid"/>
    <s v="Cheyennefurt"/>
  </r>
  <r>
    <s v="#1394"/>
    <d v="2026-08-04T14:04:13"/>
    <d v="2026-08-04T14:04:13"/>
    <s v="Michael Hays"/>
    <x v="0"/>
    <s v="michael.hays590@gmail.com"/>
    <s v="Portable Power Bank 10000mAh"/>
    <s v="Electronics"/>
    <s v="ELC-PWB-10K"/>
    <n v="4"/>
    <n v="21.99"/>
    <m/>
    <n v="0"/>
    <n v="0"/>
    <n v="87.96"/>
    <s v="Google Pay"/>
    <x v="0"/>
    <s v="refunded"/>
    <s v="United States"/>
    <s v="North Carolina"/>
    <s v="Valid"/>
    <s v="New Richard"/>
  </r>
  <r>
    <s v="#1395"/>
    <d v="2026-08-04T14:06:25"/>
    <d v="2026-08-04T14:06:25"/>
    <s v="Andrea Martinez"/>
    <x v="0"/>
    <s v="andrea.martinez756@yahoo.com"/>
    <s v="Wireless Mouse"/>
    <s v="Electronics"/>
    <s v="ELC-MSE-WL"/>
    <n v="2"/>
    <n v="11.99"/>
    <s v="BFCM25"/>
    <n v="6"/>
    <n v="7.99"/>
    <n v="25.97"/>
    <s v="Credit Card"/>
    <x v="1"/>
    <s v="pending"/>
    <s v="Australia"/>
    <m/>
    <s v="Not Required"/>
    <s v="West Danielhaven"/>
  </r>
  <r>
    <s v="#1396"/>
    <d v="2026-08-04T13:58:19"/>
    <d v="2026-08-04T13:58:19"/>
    <s v="  Peter Alvarez"/>
    <x v="0"/>
    <s v="peter.alvarez465@yahoo.com"/>
    <s v="Running Shoes - Women's"/>
    <s v="Footwear"/>
    <s v="FTW-RUN-W"/>
    <n v="1"/>
    <n v="54.99"/>
    <s v="SAVE20"/>
    <n v="11"/>
    <n v="7.99"/>
    <n v="51.98"/>
    <s v="PayPal"/>
    <x v="2"/>
    <s v="fulfilled"/>
    <s v="United States"/>
    <s v="OH"/>
    <s v="Valid"/>
    <s v="Ritterborough"/>
  </r>
  <r>
    <s v="#1397"/>
    <d v="2026-08-04T13:54:13"/>
    <d v="2026-08-04T13:54:13"/>
    <s v="Kristina Thompson"/>
    <x v="0"/>
    <s v="kristina.thompson501@icloud.com"/>
    <s v="Polarized Sunglasses"/>
    <s v="Accessories"/>
    <s v="ACC-SUN-01"/>
    <n v="1"/>
    <n v="16.989999999999998"/>
    <s v="VIP15"/>
    <n v="2.5499999999999998"/>
    <n v="4.99"/>
    <n v="19.43"/>
    <s v="PayPal"/>
    <x v="0"/>
    <s v="fulfilled"/>
    <s v="United States"/>
    <s v="North Carolina"/>
    <s v="Valid"/>
    <s v="New Dennis"/>
  </r>
  <r>
    <s v="#1398"/>
    <d v="2026-08-04T14:03:36"/>
    <d v="2026-08-04T14:03:36"/>
    <s v="Cheryl Coleman"/>
    <x v="0"/>
    <s v="cheryl.coleman261@icloud.com"/>
    <s v="Yoga Mat - Extra Thick"/>
    <s v="Sports &amp; Outdoors"/>
    <s v="SP-YGM-EX"/>
    <n v="1"/>
    <n v="22.99"/>
    <s v="VIP15"/>
    <n v="3.45"/>
    <n v="4.99"/>
    <n v="24.53"/>
    <s v="Credit Card"/>
    <x v="2"/>
    <s v="fulfilled"/>
    <s v="Pakistan"/>
    <m/>
    <s v="Not Required"/>
    <s v="Port Danielleview"/>
  </r>
  <r>
    <s v="#1399"/>
    <d v="2026-08-04T14:00:49"/>
    <d v="2026-08-04T14:00:49"/>
    <s v="vicki johnson"/>
    <x v="0"/>
    <s v="vicki.johnson369@outlook.com"/>
    <s v="Leather Wallet - Brown"/>
    <s v="Accessories"/>
    <s v="ACC-WLT-BRN"/>
    <n v="1"/>
    <n v="19.989999999999998"/>
    <s v="FREESHIP"/>
    <n v="0"/>
    <n v="0"/>
    <n v="19.989999999999998"/>
    <s v="Google Pay"/>
    <x v="3"/>
    <s v="fulfilled"/>
    <s v="Canada"/>
    <m/>
    <s v="Not Required"/>
    <s v="Jamesmouth"/>
  </r>
  <r>
    <s v="#1400"/>
    <d v="2026-08-04T14:04:57"/>
    <d v="2026-08-04T14:04:57"/>
    <s v="Joel Davidson"/>
    <x v="0"/>
    <s v="joel.davidson94@icloud.com"/>
    <s v="Stainless Steel Water Bottle"/>
    <s v="Home &amp; Kitchen"/>
    <s v="HK-BTL-750"/>
    <n v="1"/>
    <n v="12.99"/>
    <m/>
    <n v="0"/>
    <n v="7.99"/>
    <n v="20.98"/>
    <s v="Credit Card"/>
    <x v="0"/>
    <s v="pending"/>
    <s v="United States"/>
    <s v="Arizona"/>
    <s v="Valid"/>
    <s v="North Elizabeth"/>
  </r>
  <r>
    <s v="#1401"/>
    <d v="2026-08-04T14:07:15"/>
    <d v="2026-08-04T14:07:15"/>
    <s v="Christopher Osborne"/>
    <x v="0"/>
    <s v="christopher.osborne481@yahoo.com"/>
    <s v="Classic Cotton T-Shirt"/>
    <s v="Apparel"/>
    <s v="TSH-BLK-L"/>
    <n v="1"/>
    <n v="14.99"/>
    <s v="WELCOME10"/>
    <n v="1.5"/>
    <n v="7.99"/>
    <n v="21.48"/>
    <s v="Apple Pay"/>
    <x v="2"/>
    <s v="fulfilled"/>
    <s v="United States"/>
    <s v="Georgia"/>
    <s v="Valid"/>
    <s v="Harrisonhaven"/>
  </r>
  <r>
    <s v="#1402"/>
    <d v="2026-08-04T14:04:33"/>
    <d v="2026-08-04T14:04:33"/>
    <s v="William Houston"/>
    <x v="1"/>
    <m/>
    <s v="Stainless Steel Water Bottle"/>
    <s v="Home &amp; Kitchen"/>
    <s v="HK-BTL-750"/>
    <n v="2"/>
    <n v="12.99"/>
    <m/>
    <n v="0"/>
    <n v="4.99"/>
    <s v="$30.97"/>
    <s v="PayPal"/>
    <x v="3"/>
    <s v="fulfilled"/>
    <s v="United States"/>
    <s v="Illinois"/>
    <s v="Valid"/>
    <s v="Samuelport"/>
  </r>
  <r>
    <s v="#1403"/>
    <d v="2026-08-04T14:00:36"/>
    <d v="2026-08-04T14:00:36"/>
    <s v="Vincent Rosales"/>
    <x v="0"/>
    <s v="vincent.rosales30@icloud.com"/>
    <s v="Phone Case - Clear"/>
    <s v="Electronics"/>
    <s v="ELC-CSE-CLR"/>
    <n v="3"/>
    <n v="8.99"/>
    <m/>
    <n v="0"/>
    <n v="7.99"/>
    <n v="34.96"/>
    <s v="Shopify Payments"/>
    <x v="1"/>
    <s v="cancelled"/>
    <s v="United States"/>
    <s v="Illinois"/>
    <s v="Valid"/>
    <s v="Port Nicoleberg"/>
  </r>
  <r>
    <s v="#1404"/>
    <d v="2026-08-04T14:07:15"/>
    <d v="2026-08-04T14:07:15"/>
    <s v="Kayla Morris"/>
    <x v="0"/>
    <s v="kayla.morris339@outlook.com"/>
    <s v="Classic Cotton T-Shirt"/>
    <s v="Apparel"/>
    <s v="TSH-BLK-M"/>
    <n v="1"/>
    <n v="14.99"/>
    <s v="FREESHIP "/>
    <n v="0"/>
    <n v="0"/>
    <s v="$14.99"/>
    <s v="Google Pay"/>
    <x v="0"/>
    <s v="fulfilled"/>
    <s v="Canada"/>
    <m/>
    <s v="Not Required"/>
    <s v="Vanessafurt"/>
  </r>
  <r>
    <s v="#1405"/>
    <d v="2026-08-04T14:08:10"/>
    <d v="2026-08-04T14:08:10"/>
    <s v="David Duke"/>
    <x v="0"/>
    <s v="david.duke814@icloud.com"/>
    <s v="Running Shoes - Women's"/>
    <s v="Footwear"/>
    <s v="FTW-RUN-W"/>
    <n v="1"/>
    <n v="54.99"/>
    <m/>
    <n v="0"/>
    <n v="7.99"/>
    <n v="62.98"/>
    <s v="PayPal"/>
    <x v="3"/>
    <s v="cancelled"/>
    <s v="United States"/>
    <s v="Ohio"/>
    <s v="Valid"/>
    <s v="Cynthiabury"/>
  </r>
  <r>
    <s v="#1406"/>
    <d v="2026-08-04T13:56:47"/>
    <d v="2026-08-04T13:56:47"/>
    <s v="Ruth Duncan"/>
    <x v="0"/>
    <s v="ruth.duncan434@icloud.com"/>
    <s v="Facial Cleanser 200ml"/>
    <s v="Beauty"/>
    <s v="BTY-CLN-200"/>
    <n v="1"/>
    <n v="13.49"/>
    <m/>
    <s v="$0.00"/>
    <n v="4.99"/>
    <n v="18.48"/>
    <s v="Google Pay"/>
    <x v="1"/>
    <s v="fulfilled"/>
    <s v="Australia"/>
    <m/>
    <s v="Not Required"/>
    <s v="Macdonaldton"/>
  </r>
  <r>
    <s v="#1407"/>
    <d v="2026-08-04T13:59:42"/>
    <d v="2026-08-04T13:59:42"/>
    <s v="Elizabeth Johnston"/>
    <x v="0"/>
    <s v="elizabeth.johnston946@gmail.com"/>
    <s v="Wireless Mouse"/>
    <s v="Electronics"/>
    <s v="ELC-MSE-WL"/>
    <n v="2"/>
    <n v="11.99"/>
    <s v="SAVE20"/>
    <n v="4.8"/>
    <n v="5.99"/>
    <n v="25.17"/>
    <s v="Google Pay"/>
    <x v="2"/>
    <s v="fulfilled"/>
    <s v="United Kingdom"/>
    <m/>
    <s v="Not Required"/>
    <s v="Meganborough"/>
  </r>
  <r>
    <s v="#1408"/>
    <d v="2026-08-04T14:01:58"/>
    <d v="2026-08-04T14:01:58"/>
    <s v="Ian Morris"/>
    <x v="0"/>
    <s v="ian.morris90@outlook.com"/>
    <s v="Slim Fit Denim Jeans"/>
    <s v="Apparel"/>
    <s v="JNS-BLU-32"/>
    <n v="1"/>
    <n v="39.99"/>
    <m/>
    <n v="0"/>
    <n v="7.99"/>
    <s v="$47.98"/>
    <s v="Google Pay"/>
    <x v="3"/>
    <s v="fulfilled"/>
    <s v="Pakistan"/>
    <m/>
    <s v="Not Required"/>
    <s v="West Christine"/>
  </r>
  <r>
    <s v="#1409"/>
    <d v="2026-08-04T13:56:25"/>
    <d v="2026-08-04T13:56:25"/>
    <s v="Kristina Thompson"/>
    <x v="0"/>
    <s v="kristina.thompson501@icloud.com"/>
    <s v="Kids Building Blocks Set"/>
    <s v="Toys"/>
    <s v="TOY-BLK-SET"/>
    <n v="1"/>
    <n v="27.99"/>
    <m/>
    <n v="0"/>
    <n v="5.99"/>
    <n v="33.979999999999997"/>
    <s v="Shopify Payments"/>
    <x v="0"/>
    <s v="fulfilled"/>
    <s v="United States"/>
    <s v="California"/>
    <s v="Valid"/>
    <s v="West Anaton"/>
  </r>
  <r>
    <s v="#1410"/>
    <d v="2026-08-04T13:55:04"/>
    <d v="2026-08-04T13:55:04"/>
    <s v="Jesse Hammond"/>
    <x v="0"/>
    <s v="jesse.hammond987@gmail.com"/>
    <s v="Running Shoes - Men's"/>
    <s v="Footwear"/>
    <s v="FTW-RUN-M"/>
    <n v="3"/>
    <n v="54.99"/>
    <s v="SAVE20"/>
    <n v="32.99"/>
    <n v="0"/>
    <n v="131.97999999999999"/>
    <s v="Google Pay"/>
    <x v="0"/>
    <s v="fulfilled"/>
    <s v="United States"/>
    <s v="IL"/>
    <s v="Valid"/>
    <s v="Cynthiatown"/>
  </r>
  <r>
    <s v="#1411"/>
    <d v="2026-08-04T14:06:38"/>
    <d v="2026-08-04T14:06:38"/>
    <s v="Lucas Lyons"/>
    <x v="0"/>
    <s v="lucas.lyons594@icloud.com"/>
    <s v="Yoga Mat - Extra Thick"/>
    <s v="Sports &amp; Outdoors"/>
    <s v="SP-YGM-EX"/>
    <n v="2"/>
    <n v="22.99"/>
    <m/>
    <n v="0"/>
    <n v="4.99"/>
    <n v="50.97"/>
    <s v="PayPal"/>
    <x v="1"/>
    <s v="fulfilled"/>
    <s v="Pakistan"/>
    <m/>
    <s v="Not Required"/>
    <s v="Ethanville"/>
  </r>
  <r>
    <s v="#1412"/>
    <d v="2026-04-08T00:00:00"/>
    <s v="08/04/2026"/>
    <s v="Kaitlyn Hernandez"/>
    <x v="1"/>
    <m/>
    <s v="Kids Building Blocks Set"/>
    <s v="Toys"/>
    <s v="TOY-BLK-SET"/>
    <n v="1"/>
    <n v="27.99"/>
    <s v="FREESHIP"/>
    <n v="0"/>
    <n v="0"/>
    <n v="27.99"/>
    <s v="Credit Card"/>
    <x v="2"/>
    <s v="cancelled"/>
    <s v="Germany"/>
    <m/>
    <s v="Not Required"/>
    <s v="East Ashleyland"/>
  </r>
  <r>
    <s v="#1413"/>
    <d v="2026-08-04T14:07:09"/>
    <d v="2026-08-04T14:07:09"/>
    <s v="Christy Phillips"/>
    <x v="0"/>
    <s v="christy.phillips291@gmail.com"/>
    <s v="Slim Fit Denim Jeans"/>
    <s v="Apparel"/>
    <s v="JNS-BLU-32"/>
    <n v="1"/>
    <s v="$39.99"/>
    <m/>
    <n v="0"/>
    <n v="7.99"/>
    <s v="$47.98"/>
    <s v="PayPal"/>
    <x v="0"/>
    <s v="refunded"/>
    <s v="Pakistan"/>
    <m/>
    <s v="Not Required"/>
    <s v="North Cynthia"/>
  </r>
  <r>
    <s v="#1414"/>
    <d v="2026-04-08T00:00:00"/>
    <s v="08/04/2026"/>
    <s v="Kenneth Davis"/>
    <x v="0"/>
    <s v="kenneth.davis106@yahoo.com"/>
    <s v="Running Shoes - Men's"/>
    <s v="Footwear"/>
    <s v="FTW-RUN-M"/>
    <n v="1"/>
    <n v="54.99"/>
    <s v="SAVE20"/>
    <n v="11"/>
    <n v="5.99"/>
    <n v="49.98"/>
    <s v="Credit Card"/>
    <x v="0"/>
    <s v="fulfilled"/>
    <s v="United States"/>
    <s v="North Carolina"/>
    <s v="Valid"/>
    <s v="North Dustin"/>
  </r>
  <r>
    <s v="#1415"/>
    <d v="2026-08-04T00:00:00"/>
    <s v="Aug 04, 2026"/>
    <s v="Lauren Nguyen"/>
    <x v="0"/>
    <s v="lauren.nguyen819@outlook.com"/>
    <s v="Slim Fit Denim Jeans"/>
    <s v="Apparel"/>
    <s v="JNS-BLU-32"/>
    <n v="1"/>
    <n v="39.99"/>
    <s v="SAVE20"/>
    <n v="8"/>
    <n v="4.99"/>
    <n v="36.979999999999997"/>
    <s v="Google Pay"/>
    <x v="2"/>
    <s v="refunded"/>
    <s v="United Kingdom"/>
    <m/>
    <s v="Not Required"/>
    <s v="Port Kerryton"/>
  </r>
  <r>
    <s v="#1416"/>
    <d v="2026-08-04T13:56:38"/>
    <d v="2026-08-04T13:56:38"/>
    <s v="Tammy Hawkins"/>
    <x v="0"/>
    <s v="tammy.hawkins461@outlook.com"/>
    <s v="Running Shoes - Men's"/>
    <s v="Footwear"/>
    <s v="FTW-RUN-M"/>
    <n v="1"/>
    <n v="54.99"/>
    <s v="FREESHIP"/>
    <n v="0"/>
    <n v="0"/>
    <n v="54.99"/>
    <s v="Credit Card"/>
    <x v="0"/>
    <s v="pending"/>
    <s v="United States"/>
    <s v="WA"/>
    <s v="Valid"/>
    <s v="South Williamhaven"/>
  </r>
  <r>
    <s v="#1417"/>
    <d v="2026-08-04T14:03:39"/>
    <d v="2026-08-04T14:03:39"/>
    <s v="Barbara Brown"/>
    <x v="0"/>
    <s v="barbara.brown26@gmail.com"/>
    <s v="Portable Power Bank 10000mAh"/>
    <s v="Electronics"/>
    <s v="ELC-PWB-10K"/>
    <n v="1"/>
    <n v="21.99"/>
    <s v="BFCM25"/>
    <s v="$5.50"/>
    <n v="7.99"/>
    <n v="24.48"/>
    <s v="PayPal"/>
    <x v="3"/>
    <s v="fulfilled"/>
    <s v="United States"/>
    <s v="Georgia"/>
    <s v="Valid"/>
    <s v="South John"/>
  </r>
  <r>
    <s v="#1418"/>
    <d v="2026-08-04T14:04:33"/>
    <d v="2026-08-04T14:04:33"/>
    <s v="Walter Rodriguez"/>
    <x v="0"/>
    <s v="walter.rodriguez829@gmail.com"/>
    <s v="Phone Case - Clear"/>
    <s v="Electronics"/>
    <s v="ELC-CSE-CLR"/>
    <n v="1"/>
    <n v="8.99"/>
    <s v="SAVE20"/>
    <n v="1.8"/>
    <n v="4.99"/>
    <n v="12.18"/>
    <s v="PayPal"/>
    <x v="0"/>
    <s v="cancelled"/>
    <s v="Australia"/>
    <m/>
    <s v="Not Required"/>
    <s v="Riversport"/>
  </r>
  <r>
    <s v="#1419"/>
    <d v="2026-04-08T00:00:00"/>
    <s v="08/04/2026"/>
    <s v="Jordan Wilkins"/>
    <x v="0"/>
    <s v="jordan.wilkins318@outlook.com"/>
    <s v="Kids Building Blocks Set"/>
    <s v="Toys"/>
    <s v="TOY-BLK-SET"/>
    <n v="1"/>
    <s v="$27.99"/>
    <m/>
    <n v="0"/>
    <n v="4.99"/>
    <n v="32.979999999999997"/>
    <s v="Apple Pay"/>
    <x v="0"/>
    <s v="fulfilled"/>
    <s v="Pakistan"/>
    <m/>
    <s v="Not Required"/>
    <s v="Lake Nicholas"/>
  </r>
  <r>
    <s v="#1420"/>
    <d v="2026-08-04T00:00:00"/>
    <s v="Aug 04, 2026"/>
    <s v="Matthew Riley"/>
    <x v="0"/>
    <s v="matthew.riley309@yahoo.com"/>
    <s v="Scented Soy Candle - Vanilla"/>
    <s v="Home &amp; Kitchen"/>
    <s v="HK-CND-VAN"/>
    <n v="1"/>
    <n v="9.99"/>
    <m/>
    <n v="0"/>
    <n v="5.99"/>
    <n v="15.98"/>
    <s v="Shopify Payments"/>
    <x v="1"/>
    <s v="cancelled"/>
    <s v="Canada"/>
    <m/>
    <s v="Not Required"/>
    <s v="Allisonmouth"/>
  </r>
  <r>
    <s v="#1421"/>
    <d v="2026-08-04T14:06:36"/>
    <d v="2026-08-04T14:06:36"/>
    <s v="Trevor Carter"/>
    <x v="0"/>
    <s v="trevor.carter617@icloud.com"/>
    <s v="Classic Cotton T-Shirt"/>
    <s v="Apparel"/>
    <s v="TSH-BLK-M"/>
    <n v="1"/>
    <n v="14.99"/>
    <m/>
    <n v="0"/>
    <n v="4.99"/>
    <n v="19.98"/>
    <s v="PayPal"/>
    <x v="0"/>
    <s v="fulfilled"/>
    <s v="United States"/>
    <s v="Illinois"/>
    <s v="Valid"/>
    <s v="Bowenmouth"/>
  </r>
  <r>
    <s v="#1422"/>
    <d v="2026-08-04T13:56:26"/>
    <d v="2026-08-04T13:56:26"/>
    <s v="Charles Franco"/>
    <x v="0"/>
    <s v="charles.franco761@outlook.com"/>
    <s v="Resistance Bands Set"/>
    <s v="Sports &amp; Outdoors"/>
    <s v="SP-RBS-SET"/>
    <n v="1"/>
    <n v="13.99"/>
    <m/>
    <n v="0"/>
    <n v="4.99"/>
    <n v="18.98"/>
    <s v="Apple Pay"/>
    <x v="0"/>
    <s v="cancelled"/>
    <s v="United States"/>
    <s v="California"/>
    <s v="Valid"/>
    <s v="Nicolestad"/>
  </r>
  <r>
    <s v="#1423"/>
    <d v="2026-08-04T13:53:43"/>
    <d v="2026-08-04T13:53:43"/>
    <s v="Joseph Martin"/>
    <x v="0"/>
    <s v="joseph.martin348@icloud.com"/>
    <s v="Wireless Bluetooth Earbuds"/>
    <s v="Electronics"/>
    <s v="ELC-WBE-01"/>
    <n v="1"/>
    <n v="29.99"/>
    <s v="BFCM25"/>
    <n v="7.5"/>
    <n v="5.99"/>
    <n v="28.48"/>
    <s v="Google Pay"/>
    <x v="1"/>
    <s v="cancelled"/>
    <s v="United States"/>
    <s v="TX"/>
    <s v="Valid"/>
    <s v="Walkerchester"/>
  </r>
  <r>
    <s v="#1424"/>
    <d v="2026-08-04T14:01:12"/>
    <d v="2026-08-04T14:01:12"/>
    <s v="Patricia Townsend"/>
    <x v="0"/>
    <s v="patricia.townsend96@yahoo.com"/>
    <s v="Leather Wallet - Brown"/>
    <s v="Accessories"/>
    <s v="ACC-WLT-BRN"/>
    <n v="1"/>
    <n v="19.989999999999998"/>
    <s v="WELCOME10"/>
    <n v="2"/>
    <n v="4.99"/>
    <n v="22.98"/>
    <s v="Shopify Payments"/>
    <x v="0"/>
    <s v="fulfilled"/>
    <s v="United States"/>
    <s v="Georgia"/>
    <s v="Valid"/>
    <s v="Lisamouth"/>
  </r>
  <r>
    <s v="#1425"/>
    <d v="2026-08-04T13:59:16"/>
    <d v="2026-08-04T13:59:16"/>
    <s v="David Duke"/>
    <x v="1"/>
    <m/>
    <s v="Adjustable Dumbbell Set"/>
    <s v="Sports &amp; Outdoors"/>
    <s v="SP-DMB-ADJ"/>
    <n v="1"/>
    <n v="89.99"/>
    <m/>
    <n v="0"/>
    <n v="0"/>
    <n v="89.99"/>
    <s v="Apple Pay"/>
    <x v="0"/>
    <s v="fulfilled"/>
    <s v="United States"/>
    <s v="Florida"/>
    <s v="Valid"/>
    <s v="North Ashley"/>
  </r>
  <r>
    <s v="#1426"/>
    <d v="2026-08-04T14:07:39"/>
    <d v="2026-08-04T14:07:39"/>
    <s v="ALAN DAVIS"/>
    <x v="0"/>
    <s v="alan.davis483@icloud.com"/>
    <s v="Polarized Sunglasses"/>
    <s v="Accessories"/>
    <s v="ACC-SUN-01"/>
    <n v="2"/>
    <n v="16.989999999999998"/>
    <m/>
    <n v="0"/>
    <n v="5.99"/>
    <n v="39.97"/>
    <s v="Shopify Payments"/>
    <x v="0"/>
    <s v="fulfilled"/>
    <s v="Canada"/>
    <m/>
    <s v="Not Required"/>
    <s v="Manningview"/>
  </r>
  <r>
    <s v="#1427"/>
    <d v="2026-08-04T00:00:00"/>
    <s v="2026-08-04"/>
    <s v="Suzanne White"/>
    <x v="0"/>
    <s v="suzanne.white877@gmail.com"/>
    <s v="USB-C Fast Charger 20W"/>
    <s v="Electronics"/>
    <s v="ELC-CHG-20"/>
    <n v="1"/>
    <n v="15.49"/>
    <s v="VIP15"/>
    <n v="2.3199999999999998"/>
    <n v="4.99"/>
    <n v="18.16"/>
    <s v="Apple Pay"/>
    <x v="0"/>
    <s v="fulfilled"/>
    <s v="United States"/>
    <s v="Ohio"/>
    <s v="Valid"/>
    <s v="South Nancy"/>
  </r>
  <r>
    <s v="#1428"/>
    <d v="2026-08-04T13:53:28"/>
    <d v="2026-08-04T13:53:28"/>
    <s v="Christopher Harrington"/>
    <x v="0"/>
    <s v="christopher.harrington960@gmail.com"/>
    <s v="Scented Soy Candle - Vanilla"/>
    <s v="Home &amp; Kitchen"/>
    <s v="HK-CND-VAN"/>
    <n v="1"/>
    <n v="9.99"/>
    <s v="BFCM25"/>
    <n v="2.5"/>
    <n v="4.99"/>
    <n v="12.48"/>
    <s v="Shopify Payments"/>
    <x v="2"/>
    <s v="fulfilled"/>
    <s v="Australia"/>
    <m/>
    <s v="Not Required"/>
    <s v="South Dana"/>
  </r>
  <r>
    <s v="#1429"/>
    <d v="2026-08-04T14:06:09"/>
    <d v="2026-08-04T14:06:09"/>
    <s v="Tracy Barr"/>
    <x v="0"/>
    <s v="tracy.barr550@icloud.com"/>
    <s v="Ceramic Coffee Mug Set (4pc)"/>
    <s v="Home &amp; Kitchen"/>
    <s v="HK-MUG-4PK"/>
    <n v="1"/>
    <n v="18.989999999999998"/>
    <m/>
    <n v="0"/>
    <n v="5.99"/>
    <s v="$24.98"/>
    <s v="Shopify Payments"/>
    <x v="1"/>
    <s v="refunded"/>
    <s v="United States"/>
    <s v="Georgia"/>
    <s v="Valid"/>
    <s v="Vazquezton"/>
  </r>
  <r>
    <s v="#1430"/>
    <d v="2026-08-04T14:00:44"/>
    <d v="2026-08-04T14:00:44"/>
    <s v="Denise Phillips"/>
    <x v="0"/>
    <s v="denise.phillips810@gmail.com"/>
    <s v="Slim Fit Denim Jeans"/>
    <s v="Apparel"/>
    <s v="JNS-BLU-32"/>
    <n v="2"/>
    <n v="39.99"/>
    <s v="FREESHIP"/>
    <s v="$0.00"/>
    <n v="0"/>
    <n v="79.98"/>
    <s v="PayPal"/>
    <x v="1"/>
    <s v="cancelled"/>
    <s v="United States"/>
    <s v="Washington"/>
    <s v="Valid"/>
    <s v="Wangmouth"/>
  </r>
  <r>
    <s v="#1431"/>
    <d v="2026-08-04T14:00:48"/>
    <d v="2026-08-04T14:00:48"/>
    <s v="Nicole Taylor"/>
    <x v="0"/>
    <s v="nicole.taylor607@icloud.com"/>
    <s v="Yoga Mat - Extra Thick"/>
    <s v="Sports &amp; Outdoors"/>
    <s v="SP-YGM-EX"/>
    <n v="1"/>
    <n v="22.99"/>
    <s v="BFCM25"/>
    <n v="5.75"/>
    <n v="4.99"/>
    <n v="22.23"/>
    <s v="Shopify Payments"/>
    <x v="0"/>
    <s v="fulfilled"/>
    <s v="United States"/>
    <s v="New York"/>
    <s v="Valid"/>
    <s v="Michaeltown"/>
  </r>
  <r>
    <s v="#1432"/>
    <d v="2026-08-04T14:04:17"/>
    <d v="2026-08-04T14:04:17"/>
    <s v="Jasmine Parker"/>
    <x v="0"/>
    <s v="jasmine.parker47@icloud.com"/>
    <s v="Hooded Sweatshirt"/>
    <s v="Apparel"/>
    <s v="APR-HOD-GRY"/>
    <n v="2"/>
    <n v="34.99"/>
    <m/>
    <n v="0"/>
    <n v="5.99"/>
    <n v="75.97"/>
    <s v="Google Pay"/>
    <x v="1"/>
    <s v="fulfilled"/>
    <s v="Pakistan"/>
    <m/>
    <s v="Not Required"/>
    <s v="New Christina"/>
  </r>
  <r>
    <s v="#1433"/>
    <d v="2026-08-04T00:00:00"/>
    <s v="04-08-2026 14:07"/>
    <s v="Timothy Weaver"/>
    <x v="0"/>
    <s v="timothy.weaver591@gmail.com"/>
    <s v="Resistance Bands Set"/>
    <s v="Sports &amp; Outdoors"/>
    <s v="SP-RBS-SET"/>
    <n v="1"/>
    <n v="13.99"/>
    <s v="VIP15"/>
    <n v="2.1"/>
    <n v="4.99"/>
    <n v="16.88"/>
    <s v="Credit Card"/>
    <x v="3"/>
    <s v="fulfilled"/>
    <s v="Australia"/>
    <m/>
    <s v="Not Required"/>
    <s v="North Reginaside"/>
  </r>
  <r>
    <s v="#1434"/>
    <d v="2026-08-04T13:56:29"/>
    <d v="2026-08-04T13:56:29"/>
    <s v="Patrick Richardson"/>
    <x v="0"/>
    <s v="patrick.richardson270@icloud.com"/>
    <s v="Stainless Steel Water Bottle"/>
    <s v="Home &amp; Kitchen"/>
    <s v="HK-BTL-750"/>
    <n v="1"/>
    <n v="12.99"/>
    <m/>
    <n v="0"/>
    <n v="7.99"/>
    <n v="20.98"/>
    <s v="PayPal"/>
    <x v="0"/>
    <s v="fulfilled"/>
    <s v="United States"/>
    <s v="FL"/>
    <s v="Valid"/>
    <s v="Haleystad"/>
  </r>
  <r>
    <s v="#1435"/>
    <d v="2026-08-04T14:07:17"/>
    <d v="2026-08-04T14:07:17"/>
    <s v="Tracy Adams"/>
    <x v="0"/>
    <s v="tracy.adams712@icloud.com"/>
    <s v="Ceramic Coffee Mug Set (4pc)"/>
    <s v="Home &amp; Kitchen"/>
    <s v="HK-MUG-4PK"/>
    <n v="1"/>
    <n v="18.989999999999998"/>
    <s v="SAVE20"/>
    <n v="3.8"/>
    <n v="7.99"/>
    <n v="23.18"/>
    <s v="PayPal"/>
    <x v="0"/>
    <s v="fulfilled"/>
    <s v="United States"/>
    <s v="North Carolina"/>
    <s v="Valid"/>
    <s v="Dianaville"/>
  </r>
  <r>
    <s v="#1436"/>
    <d v="2026-08-04T14:02:05"/>
    <d v="2026-08-04T14:02:05"/>
    <s v="Sarah Williams"/>
    <x v="0"/>
    <s v="sarah.williams329@icloud.com"/>
    <s v="Slim Fit Denim Jeans"/>
    <s v="Apparel"/>
    <s v="JNS-BLU-32"/>
    <n v="2"/>
    <n v="39.99"/>
    <s v="SAVE20"/>
    <n v="16"/>
    <n v="0"/>
    <n v="63.98"/>
    <s v="Apple Pay"/>
    <x v="3"/>
    <s v="fulfilled"/>
    <s v="Canada"/>
    <m/>
    <s v="Not Required"/>
    <s v="Zacharyside"/>
  </r>
  <r>
    <s v="#1437"/>
    <d v="2026-08-04T14:06:51"/>
    <d v="2026-08-04T14:06:51"/>
    <s v="Rebecca Watts"/>
    <x v="0"/>
    <s v="rebecca.watts779@gmail.com"/>
    <s v="Classic Cotton T-Shirt"/>
    <s v="Apparel"/>
    <s v="TSH-BLK-L"/>
    <n v="1"/>
    <n v="14.99"/>
    <m/>
    <n v="0"/>
    <n v="7.99"/>
    <n v="22.98"/>
    <s v="Credit Card"/>
    <x v="2"/>
    <s v="refunded"/>
    <s v="United States"/>
    <s v="North Carolina"/>
    <s v="Valid"/>
    <s v="Knighthaven"/>
  </r>
  <r>
    <s v="#1438"/>
    <d v="2026-08-04T00:00:00"/>
    <s v="04-08-2026 13:55"/>
    <s v="Adam Krause"/>
    <x v="0"/>
    <s v="adam.krause31@yahoo.com"/>
    <s v="Yoga Mat - Extra Thick"/>
    <s v="Sports &amp; Outdoors"/>
    <s v="SP-YGM-EX"/>
    <n v="1"/>
    <n v="22.99"/>
    <s v="BFCM25"/>
    <n v="5.75"/>
    <n v="4.99"/>
    <s v="$22.23"/>
    <s v="Credit Card"/>
    <x v="2"/>
    <s v="pending"/>
    <s v="United States"/>
    <s v="Illinois"/>
    <s v="Valid"/>
    <s v="Riddlebury"/>
  </r>
  <r>
    <s v="#1439"/>
    <d v="2026-08-04T00:00:00"/>
    <s v="04-08-2026 13:54"/>
    <s v="Kayla Cruz"/>
    <x v="0"/>
    <s v="kayla.cruz151@outlook.com"/>
    <s v="Running Shoes - Women's"/>
    <s v="Footwear"/>
    <s v="FTW-RUN-W"/>
    <n v="1"/>
    <s v="$54.99"/>
    <s v="VIP15"/>
    <n v="8.25"/>
    <n v="7.99"/>
    <n v="54.73"/>
    <s v="Google Pay"/>
    <x v="0"/>
    <s v="pending"/>
    <s v="Pakistan"/>
    <m/>
    <s v="Not Required"/>
    <s v="West Ashleyborough"/>
  </r>
  <r>
    <s v="#1440"/>
    <d v="2026-08-04T13:58:57"/>
    <d v="2026-08-04T13:58:57"/>
    <s v="William Houston"/>
    <x v="0"/>
    <s v="william.houston340@outlook.com"/>
    <s v="Scented Soy Candle - Vanilla"/>
    <s v="Home &amp; Kitchen"/>
    <s v="HK-CND-VAN"/>
    <n v="2"/>
    <n v="9.99"/>
    <s v="VIP15"/>
    <n v="3"/>
    <n v="5.99"/>
    <n v="22.97"/>
    <s v="Credit Card"/>
    <x v="0"/>
    <s v="fulfilled"/>
    <s v="United States"/>
    <s v="Florida"/>
    <s v="Valid"/>
    <s v="East Scottport"/>
  </r>
  <r>
    <s v="#1441"/>
    <d v="2026-08-04T13:57:28"/>
    <d v="2026-08-04T13:57:28"/>
    <s v="Carr, Angela"/>
    <x v="0"/>
    <s v="angela.carr488@yahoo.com"/>
    <s v="Wireless Bluetooth Earbuds"/>
    <s v="Electronics"/>
    <s v="ELC-WBE-01"/>
    <n v="1"/>
    <n v="29.99"/>
    <s v="BFCM25"/>
    <s v="$7.50"/>
    <n v="5.99"/>
    <n v="28.48"/>
    <s v="PayPal"/>
    <x v="2"/>
    <s v="refunded"/>
    <s v="United States"/>
    <s v="NC"/>
    <s v="Valid"/>
    <s v="Johnsonhaven"/>
  </r>
  <r>
    <s v="#1442"/>
    <d v="2026-08-04T14:03:43"/>
    <d v="2026-08-04T14:03:43"/>
    <s v="Kenneth Davis"/>
    <x v="0"/>
    <s v="kenneth.davis106@yahoo.com"/>
    <s v="Non-Stick Frying Pan 10in"/>
    <s v="Home &amp; Kitchen"/>
    <s v="HK-PAN-10"/>
    <n v="2"/>
    <n v="24.99"/>
    <s v="VIP15"/>
    <n v="7.5"/>
    <n v="5.99"/>
    <n v="48.47"/>
    <s v="Credit Card"/>
    <x v="3"/>
    <s v="pending"/>
    <s v="United States"/>
    <s v="Arizona"/>
    <s v="Valid"/>
    <s v="Schmidtchester"/>
  </r>
  <r>
    <s v="#1443"/>
    <d v="2026-08-04T14:00:45"/>
    <d v="2026-08-04T14:00:45"/>
    <s v="tracy dominguez"/>
    <x v="0"/>
    <s v="tracy.dominguez23@gmail.com"/>
    <s v="Backpack - 25L"/>
    <s v="Accessories"/>
    <s v="ACC-BPK-25L"/>
    <n v="1"/>
    <n v="32.99"/>
    <s v="VIP15"/>
    <s v="$4.95"/>
    <n v="5.99"/>
    <n v="34.03"/>
    <s v="Apple Pay"/>
    <x v="0"/>
    <s v="fulfilled"/>
    <s v="United States"/>
    <s v="Texas"/>
    <s v="Valid"/>
    <s v="New Brittany"/>
  </r>
  <r>
    <s v="#1444"/>
    <d v="2026-04-08T00:00:00"/>
    <s v="08/04/2026"/>
    <s v="William Houston"/>
    <x v="0"/>
    <s v="william.houston340@outlook.com"/>
    <s v="USB-C Fast Charger 20W"/>
    <s v="Electronics"/>
    <s v="ELC-CHG-20"/>
    <n v="1"/>
    <s v="$15.49"/>
    <s v="FREESHIP"/>
    <n v="0"/>
    <n v="0"/>
    <n v="15.49"/>
    <s v="Credit Card"/>
    <x v="2"/>
    <s v="fulfilled"/>
    <s v="United States"/>
    <s v="WA"/>
    <s v="Valid"/>
    <s v="Lake Allisonport"/>
  </r>
  <r>
    <s v="#1445"/>
    <d v="2026-08-04T13:57:46"/>
    <d v="2026-08-04T13:57:46"/>
    <s v="William Morales"/>
    <x v="0"/>
    <s v="william.morales943@outlook.com"/>
    <s v="Classic Cotton T-Shirt"/>
    <s v="Apparel"/>
    <s v="TSH-BLK-L"/>
    <n v="1"/>
    <n v="14.99"/>
    <m/>
    <n v="0"/>
    <n v="5.99"/>
    <n v="20.98"/>
    <s v="Google Pay"/>
    <x v="1"/>
    <s v="fulfilled"/>
    <s v="Canada"/>
    <m/>
    <s v="Not Required"/>
    <s v="Vanessaberg"/>
  </r>
  <r>
    <s v="#1446"/>
    <d v="2026-08-04T00:00:00"/>
    <s v="2026-08-04"/>
    <s v="Timothy Santos"/>
    <x v="0"/>
    <s v="timothy.santos549@outlook.com"/>
    <s v="Kids Building Blocks Set"/>
    <s v="Toys"/>
    <s v="TOY-BLK-SET"/>
    <n v="1"/>
    <n v="27.99"/>
    <m/>
    <n v="0"/>
    <n v="7.99"/>
    <n v="35.979999999999997"/>
    <s v="Credit Card"/>
    <x v="0"/>
    <s v="fulfilled"/>
    <s v="United Kingdom"/>
    <m/>
    <s v="Not Required"/>
    <s v="Kellyside"/>
  </r>
  <r>
    <s v="#1447"/>
    <d v="2026-08-04T14:07:47"/>
    <d v="2026-08-04T14:07:47"/>
    <s v="Joshua Miller"/>
    <x v="0"/>
    <s v="joshua.miller362@gmail.com"/>
    <s v="Slim Fit Denim Jeans"/>
    <s v="Apparel"/>
    <s v="JNS-BLU-32"/>
    <n v="2"/>
    <n v="39.99"/>
    <s v="VIP15"/>
    <n v="12"/>
    <n v="0"/>
    <n v="67.98"/>
    <s v="Google Pay"/>
    <x v="0"/>
    <s v="cancelled"/>
    <s v="Canada"/>
    <m/>
    <s v="Not Required"/>
    <s v="Annefort"/>
  </r>
  <r>
    <s v="#1448"/>
    <d v="2026-08-04T13:57:22"/>
    <d v="2026-08-04T13:57:22"/>
    <s v="Barbara Case"/>
    <x v="0"/>
    <s v="barbara.case365@yahoo.com"/>
    <s v="Wireless Mouse"/>
    <s v="Electronics"/>
    <s v="ELC-MSE-WL"/>
    <n v="1"/>
    <n v="11.99"/>
    <s v="SAVE20"/>
    <n v="2.4"/>
    <n v="5.99"/>
    <n v="779"/>
    <s v="Apple Pay"/>
    <x v="1"/>
    <s v="fulfilled"/>
    <s v="United States"/>
    <s v="IL"/>
    <s v="Valid"/>
    <s v="East Charles"/>
  </r>
  <r>
    <s v="#1449"/>
    <d v="2026-08-04T13:58:30"/>
    <d v="2026-08-04T13:58:30"/>
    <s v="Michael Hays"/>
    <x v="0"/>
    <s v="michael.hays590@gmail.com"/>
    <s v="Yoga Mat - Extra Thick"/>
    <s v="Sports &amp; Outdoors"/>
    <s v="SP-YGM-EX"/>
    <n v="1"/>
    <n v="22.99"/>
    <s v="VIP15"/>
    <n v="3.45"/>
    <n v="4.99"/>
    <n v="24.53"/>
    <s v="Apple Pay"/>
    <x v="0"/>
    <s v="pending"/>
    <s v="United States"/>
    <s v="Florida"/>
    <s v="Valid"/>
    <s v="West Larry"/>
  </r>
  <r>
    <s v="#1450"/>
    <d v="2026-08-04T13:56:23"/>
    <d v="2026-08-04T13:56:23"/>
    <s v="DEBBIE JOSEPH"/>
    <x v="0"/>
    <s v="debbie.joseph531@outlook.com"/>
    <s v="Adjustable Dumbbell Set"/>
    <s v="Sports &amp; Outdoors"/>
    <s v="SP-DMB-ADJ"/>
    <n v="3"/>
    <s v="$89.99"/>
    <m/>
    <s v="$0.00"/>
    <n v="0"/>
    <n v="269.97000000000003"/>
    <s v="PayPal"/>
    <x v="0"/>
    <s v="fulfilled"/>
    <s v="United States"/>
    <s v="North Carolina"/>
    <s v="Valid"/>
    <s v="South Yvonnehaven"/>
  </r>
  <r>
    <s v="#1451"/>
    <d v="2026-08-04T14:07:24"/>
    <d v="2026-08-04T14:07:24"/>
    <s v="John Lin"/>
    <x v="0"/>
    <s v="john.lin901@outlook.com"/>
    <s v="Classic Cotton T-Shirt"/>
    <s v="Apparel"/>
    <s v="TSH-BLK-L"/>
    <n v="1"/>
    <n v="14.99"/>
    <m/>
    <n v="0"/>
    <n v="4.99"/>
    <n v="19.98"/>
    <s v="Google Pay"/>
    <x v="2"/>
    <s v="fulfilled"/>
    <s v="United States"/>
    <s v="Florida"/>
    <s v="Valid"/>
    <s v="Vincentchester"/>
  </r>
  <r>
    <s v="#1452"/>
    <d v="2026-08-04T14:03:36"/>
    <d v="2026-08-04T14:03:36"/>
    <s v="Christopher Hayes"/>
    <x v="0"/>
    <s v="christopher.hayes809@icloud.com"/>
    <s v="Backpack - 25L"/>
    <s v="Accessories"/>
    <s v="ACC-BPK-25L"/>
    <n v="1"/>
    <n v="32.99"/>
    <s v="VIP15"/>
    <n v="4.95"/>
    <n v="7.99"/>
    <n v="36.03"/>
    <s v="Shopify Payments"/>
    <x v="2"/>
    <s v="refunded"/>
    <s v="United States"/>
    <s v="TX"/>
    <s v="Valid"/>
    <s v="Lake Cynthiafort"/>
  </r>
  <r>
    <s v="#1453"/>
    <d v="2026-08-04T13:59:35"/>
    <d v="2026-08-04T13:59:35"/>
    <s v="Laura Pruitt"/>
    <x v="0"/>
    <s v="laura.pruitt212@yahoo.com"/>
    <s v="Non-Stick Frying Pan 10in"/>
    <s v="Home &amp; Kitchen"/>
    <s v="HK-PAN-10"/>
    <n v="1"/>
    <n v="24.99"/>
    <s v="WELCOME10"/>
    <n v="2.5"/>
    <n v="7.99"/>
    <n v="30.48"/>
    <s v="Apple Pay"/>
    <x v="0"/>
    <s v="pending"/>
    <s v="United States"/>
    <s v="Texas"/>
    <s v="Valid"/>
    <s v="East Amberbury"/>
  </r>
  <r>
    <s v="#1454"/>
    <d v="2026-08-04T13:55:00"/>
    <d v="2026-08-04T13:55:00"/>
    <s v="Angela Carr"/>
    <x v="0"/>
    <s v="angela.carr488@yahoo.com"/>
    <s v="Adjustable Dumbbell Set"/>
    <s v="Sports &amp; Outdoors"/>
    <s v="SP-DMB-ADJ"/>
    <n v="2"/>
    <n v="89.99"/>
    <m/>
    <s v="$0.00"/>
    <n v="0"/>
    <n v="179.98"/>
    <s v="Credit Card"/>
    <x v="1"/>
    <s v="pending"/>
    <s v="United States"/>
    <s v="New York"/>
    <s v="Valid"/>
    <s v="Maddoxborough"/>
  </r>
  <r>
    <s v="#1455"/>
    <d v="2026-08-04T14:06:48"/>
    <d v="2026-08-04T14:06:48"/>
    <s v="Samuel Padilla"/>
    <x v="0"/>
    <s v="samuel.padilla79@gmail.com"/>
    <s v="Scented Soy Candle - Vanilla"/>
    <s v="Home &amp; Kitchen"/>
    <s v="HK-CND-VAN"/>
    <n v="2"/>
    <n v="9.99"/>
    <m/>
    <n v="0"/>
    <n v="5.99"/>
    <n v="25.97"/>
    <s v="Apple Pay"/>
    <x v="3"/>
    <s v="fulfilled"/>
    <s v="United States"/>
    <s v="California"/>
    <s v="Valid"/>
    <s v="Henryview"/>
  </r>
  <r>
    <s v="#1456"/>
    <d v="2026-08-04T13:59:47"/>
    <d v="2026-08-04T13:59:47"/>
    <s v="Kristopher Barnett"/>
    <x v="0"/>
    <s v="kristopher.barnett178@outlook.com"/>
    <s v="Yoga Mat - Extra Thick"/>
    <s v="Sports &amp; Outdoors"/>
    <s v="SP-YGM-EX"/>
    <n v="1"/>
    <n v="22.99"/>
    <s v="SAVE20"/>
    <n v="4.5999999999999996"/>
    <n v="4.99"/>
    <n v="23.38"/>
    <s v="Apple Pay"/>
    <x v="0"/>
    <s v="refunded"/>
    <s v="Australia"/>
    <m/>
    <s v="Not Required"/>
    <s v="South Lisaberg"/>
  </r>
  <r>
    <s v="#1457"/>
    <d v="2026-08-04T14:04:00"/>
    <d v="2026-08-04T14:04:00"/>
    <s v="Anthony Mullen"/>
    <x v="0"/>
    <s v="anthony.mullen523@yahoo.com"/>
    <s v="Polarized Sunglasses"/>
    <s v="Accessories"/>
    <s v="ACC-SUN-01"/>
    <n v="1"/>
    <n v="16.989999999999998"/>
    <m/>
    <n v="0"/>
    <n v="7.99"/>
    <n v="24.98"/>
    <s v="Shopify Payments"/>
    <x v="0"/>
    <s v="fulfilled"/>
    <s v="United States"/>
    <s v="New York"/>
    <s v="Valid"/>
    <s v="Alisonville"/>
  </r>
  <r>
    <s v="#1458"/>
    <d v="2026-08-04T14:08:04"/>
    <d v="2026-08-04T14:08:04"/>
    <s v="Alan Davis"/>
    <x v="0"/>
    <s v="alan.davis483@icloud.com"/>
    <s v="Adjustable Dumbbell Set"/>
    <s v="Sports &amp; Outdoors"/>
    <s v="SP-DMB-ADJ"/>
    <n v="1"/>
    <n v="89.99"/>
    <s v="SAVE20"/>
    <s v="$18.00"/>
    <n v="0"/>
    <n v="71.989999999999995"/>
    <s v="Apple Pay"/>
    <x v="0"/>
    <s v="refunded"/>
    <s v="Canada"/>
    <m/>
    <s v="Not Required"/>
    <s v="West Debraland"/>
  </r>
  <r>
    <s v="#1459"/>
    <d v="2026-08-04T14:02:04"/>
    <d v="2026-08-04T14:02:04"/>
    <s v="Karen Bautista"/>
    <x v="0"/>
    <s v="karen.bautista779@icloud.com"/>
    <s v="Kids Building Blocks Set"/>
    <s v="Toys"/>
    <s v="TOY-BLK-SET"/>
    <n v="1"/>
    <n v="27.99"/>
    <m/>
    <n v="0"/>
    <n v="4.99"/>
    <n v="32.979999999999997"/>
    <s v="Shopify Payments"/>
    <x v="0"/>
    <s v="fulfilled"/>
    <s v="United States"/>
    <s v="IL"/>
    <s v="Valid"/>
    <s v="Nicholsonshire"/>
  </r>
  <r>
    <s v="#1460"/>
    <d v="2026-08-04T13:58:41"/>
    <d v="2026-08-04T13:58:41"/>
    <s v="Timothy Maldonado"/>
    <x v="0"/>
    <s v="timothy.maldonado551@gmail.com"/>
    <s v="Running Shoes - Women's"/>
    <s v="Footwear"/>
    <s v="FTW-RUN-W"/>
    <n v="1"/>
    <n v="54.99"/>
    <s v="BFCM25"/>
    <n v="13.75"/>
    <n v="4.99"/>
    <n v="46.23"/>
    <s v="Shopify Payments"/>
    <x v="0"/>
    <s v="cancelled"/>
    <s v="United States"/>
    <s v="FL"/>
    <s v="Valid"/>
    <s v="Simpsonburgh"/>
  </r>
  <r>
    <s v="#1461"/>
    <d v="2026-08-04T14:02:10"/>
    <d v="2026-08-04T14:02:10"/>
    <s v="Matthew Newman"/>
    <x v="0"/>
    <s v="matthew.newman714@gmail.com"/>
    <s v="Resistance Bands Set"/>
    <s v="Sports &amp; Outdoors"/>
    <s v="SP-RBS-SET"/>
    <n v="1"/>
    <n v="13.99"/>
    <s v="WELCOME10"/>
    <s v="$1.40"/>
    <n v="4.99"/>
    <n v="17.579999999999998"/>
    <s v="Shopify Payments"/>
    <x v="0"/>
    <s v="fulfilled"/>
    <s v="Germany"/>
    <m/>
    <s v="Not Required"/>
    <s v="Michaelborough"/>
  </r>
  <r>
    <s v="#1462"/>
    <d v="2026-08-04T14:04:27"/>
    <d v="2026-08-04T14:04:27"/>
    <s v="Megan Herman"/>
    <x v="0"/>
    <s v="megan.herman268@yahoo.com"/>
    <s v="Kids Building Blocks Set"/>
    <s v="Toys"/>
    <s v="TOY-BLK-SET"/>
    <n v="1"/>
    <s v="$27.99"/>
    <m/>
    <n v="0"/>
    <n v="5.99"/>
    <s v="$33.98"/>
    <s v="Credit Card"/>
    <x v="0"/>
    <s v="refunded"/>
    <s v="United States"/>
    <s v="Georgia"/>
    <s v="Valid"/>
    <s v="Ingramfurt"/>
  </r>
  <r>
    <s v="#1464"/>
    <d v="2026-08-04T14:07:11"/>
    <d v="2026-08-04T14:07:11"/>
    <s v="Melinda Henderson"/>
    <x v="0"/>
    <s v="melinda.henderson831@gmail.com"/>
    <s v="Running Shoes - Men's"/>
    <s v="Footwear"/>
    <s v="FTW-RUN-M"/>
    <n v="1"/>
    <n v="54.99"/>
    <m/>
    <n v="0"/>
    <n v="5.99"/>
    <n v="60.98"/>
    <s v="Shopify Payments"/>
    <x v="3"/>
    <s v="pending"/>
    <s v="United Kingdom"/>
    <m/>
    <s v="Not Required"/>
    <s v="New Scottberg"/>
  </r>
  <r>
    <s v="#1465"/>
    <d v="2026-08-04T13:59:05"/>
    <d v="2026-08-04T13:59:05"/>
    <s v="Dustin Ward"/>
    <x v="0"/>
    <s v="dustin.ward756@icloud.com"/>
    <s v="Backpack - 25L"/>
    <s v="Accessories"/>
    <s v="ACC-BPK-25L"/>
    <n v="1"/>
    <n v="32.99"/>
    <m/>
    <n v="0"/>
    <n v="4.99"/>
    <n v="37.979999999999997"/>
    <s v="Credit Card"/>
    <x v="0"/>
    <s v="fulfilled"/>
    <s v="United States"/>
    <s v="IL"/>
    <s v="Valid"/>
    <s v="Lake Lindaborough"/>
  </r>
  <r>
    <s v="#1466"/>
    <d v="2026-08-04T13:57:03"/>
    <d v="2026-08-04T13:57:03"/>
    <s v="Joshua Miller"/>
    <x v="0"/>
    <s v="joshua.miller362@gmail.com"/>
    <s v="Portable Power Bank 10000mAh"/>
    <s v="Electronics"/>
    <s v="ELC-PWB-10K"/>
    <n v="1"/>
    <n v="21.99"/>
    <m/>
    <n v="0"/>
    <n v="7.99"/>
    <n v="29.98"/>
    <s v="Shopify Payments"/>
    <x v="3"/>
    <s v="cancelled"/>
    <s v="Canada"/>
    <m/>
    <s v="Not Required"/>
    <s v="Ramirezland"/>
  </r>
  <r>
    <s v="#1467"/>
    <d v="2026-08-04T14:04:47"/>
    <d v="2026-08-04T14:04:47"/>
    <s v="Jeremy Tucker"/>
    <x v="0"/>
    <s v="jeremy.tucker26@yahoo.com"/>
    <s v="Scented Soy Candle - Vanilla"/>
    <s v="Home &amp; Kitchen"/>
    <s v="HK-CND-VAN"/>
    <n v="1"/>
    <n v="9.99"/>
    <m/>
    <n v="0"/>
    <n v="4.99"/>
    <n v="14.98"/>
    <s v="Google Pay"/>
    <x v="2"/>
    <s v="cancelled"/>
    <s v="United States"/>
    <s v="North Carolina"/>
    <s v="Valid"/>
    <s v="Hayleychester"/>
  </r>
  <r>
    <s v="#1468"/>
    <d v="2026-08-04T14:03:23"/>
    <d v="2026-08-04T14:03:23"/>
    <s v="Donald Davis"/>
    <x v="0"/>
    <s v="donald.davis404@icloud.com"/>
    <s v="Wireless Bluetooth Earbuds"/>
    <s v="Electronics"/>
    <s v="ELC-WBE-01"/>
    <n v="1"/>
    <n v="29.99"/>
    <m/>
    <n v="0"/>
    <n v="5.99"/>
    <n v="35.979999999999997"/>
    <s v="PayPal"/>
    <x v="0"/>
    <s v="cancelled"/>
    <s v="Canada"/>
    <m/>
    <s v="Not Required"/>
    <s v="Lawrenceton"/>
  </r>
  <r>
    <s v="#1469"/>
    <d v="2026-08-04T00:00:00"/>
    <s v="04-08-2026 13:54"/>
    <s v="Melissa Thompson"/>
    <x v="0"/>
    <s v="melissa.thompson241@yahoo.com"/>
    <s v="Running Shoes - Men's"/>
    <s v="Footwear"/>
    <s v="FTW-RUN-M"/>
    <n v="1"/>
    <n v="54.99"/>
    <m/>
    <n v="0"/>
    <n v="4.99"/>
    <n v="2999"/>
    <s v="Shopify Payments"/>
    <x v="0"/>
    <s v="fulfilled"/>
    <s v="United States"/>
    <s v="Florida"/>
    <s v="Valid"/>
    <s v="Noblehaven"/>
  </r>
  <r>
    <s v="#1470"/>
    <d v="2026-08-04T13:56:17"/>
    <d v="2026-08-04T13:56:17"/>
    <s v="Angela Carr"/>
    <x v="0"/>
    <s v="angela.carr488@yahoo.com"/>
    <s v="Scented Soy Candle - Vanilla"/>
    <s v="Home &amp; Kitchen"/>
    <s v="HK-CND-VAN"/>
    <n v="1"/>
    <n v="9.99"/>
    <s v="SAVE20"/>
    <n v="2"/>
    <n v="7.99"/>
    <n v="15.98"/>
    <s v="Credit Card"/>
    <x v="0"/>
    <s v="fulfilled"/>
    <s v="United States"/>
    <s v="Canada"/>
    <s v="Valid"/>
    <s v="New Jennifer"/>
  </r>
  <r>
    <s v="#1471"/>
    <d v="2026-08-04T13:56:56"/>
    <d v="2026-08-04T13:56:56"/>
    <s v="Heather Davis"/>
    <x v="0"/>
    <s v="heather.davis117@icloud.com"/>
    <s v="Hooded Sweatshirt"/>
    <s v="Apparel"/>
    <s v="APR-HOD-GRY"/>
    <n v="2"/>
    <n v="34.99"/>
    <m/>
    <n v="0"/>
    <n v="7.99"/>
    <n v="77.97"/>
    <s v="Apple Pay"/>
    <x v="1"/>
    <s v="refunded"/>
    <s v="Germany"/>
    <m/>
    <s v="Not Required"/>
    <s v="Richardsonchester"/>
  </r>
  <r>
    <s v="#1473"/>
    <d v="2026-08-04T14:01:32"/>
    <d v="2026-08-04T14:01:32"/>
    <s v="Kayla Cruz"/>
    <x v="0"/>
    <s v="kayla.cruz151@outlook.com"/>
    <s v="USB-C Fast Charger 20W"/>
    <s v="Electronics"/>
    <s v="ELC-CHG-20"/>
    <n v="2"/>
    <n v="15.49"/>
    <s v="SAVE20"/>
    <n v="6.2"/>
    <n v="5.99"/>
    <n v="30.77"/>
    <s v="PayPal"/>
    <x v="3"/>
    <s v="pending"/>
    <s v="Pakistan"/>
    <m/>
    <s v="Not Required"/>
    <s v="New Blake"/>
  </r>
  <r>
    <s v="#1474"/>
    <d v="2026-08-04T13:56:55"/>
    <d v="2026-08-04T13:56:55"/>
    <s v="Sarah Williams"/>
    <x v="1"/>
    <m/>
    <s v="Yoga Mat - Extra Thick"/>
    <s v="Sports &amp; Outdoors"/>
    <s v="SP-YGM-EX"/>
    <n v="1"/>
    <n v="22.99"/>
    <s v="SAVE20"/>
    <n v="4.5999999999999996"/>
    <n v="5.99"/>
    <n v="24.38"/>
    <s v="Google Pay"/>
    <x v="0"/>
    <s v="cancelled"/>
    <s v="Canada"/>
    <m/>
    <s v="Not Required"/>
    <s v="Port Amy"/>
  </r>
  <r>
    <s v="#1475"/>
    <d v="2026-08-04T13:56:39"/>
    <d v="2026-08-04T13:56:39"/>
    <s v="Walter Rodriguez"/>
    <x v="0"/>
    <s v="walter.rodriguez829@gmail.com"/>
    <s v="Facial Cleanser 200ml"/>
    <s v="Beauty"/>
    <s v="BTY-CLN-200"/>
    <n v="3"/>
    <n v="13.49"/>
    <s v="SAVE20"/>
    <n v="8.09"/>
    <n v="5.99"/>
    <n v="38.369999999999997"/>
    <s v="Shopify Payments"/>
    <x v="2"/>
    <s v="fulfilled"/>
    <s v="Australia"/>
    <m/>
    <s v="Not Required"/>
    <s v="North Emilyshire"/>
  </r>
  <r>
    <s v="#1476"/>
    <d v="2026-08-04T14:00:56"/>
    <d v="2026-08-04T14:00:56"/>
    <s v="Lauren Nguyen"/>
    <x v="0"/>
    <s v="lauren.nguyen819@outlook.com"/>
    <s v="Leather Wallet - Brown"/>
    <s v="Accessories"/>
    <s v="ACC-WLT-BRN"/>
    <n v="1"/>
    <n v="19.989999999999998"/>
    <s v="WELCOME10"/>
    <n v="2"/>
    <n v="7.99"/>
    <n v="25.98"/>
    <s v="Apple Pay"/>
    <x v="1"/>
    <s v="fulfilled"/>
    <s v="United Kingdom"/>
    <m/>
    <s v="Not Required"/>
    <s v="Garzachester"/>
  </r>
  <r>
    <s v="#1477"/>
    <d v="2026-08-04T14:06:59"/>
    <d v="2026-08-04T14:06:59"/>
    <s v="Natalie Roberts"/>
    <x v="0"/>
    <s v="natalie.roberts628@yahoo.com"/>
    <s v="USB-C Fast Charger 20W"/>
    <s v="Electronics"/>
    <s v="ELC-CHG-20"/>
    <n v="1"/>
    <n v="15.49"/>
    <m/>
    <s v="$0.00"/>
    <n v="7.99"/>
    <n v="23.48"/>
    <s v="Google Pay"/>
    <x v="1"/>
    <s v="cancelled"/>
    <s v="United States"/>
    <s v="Illinois"/>
    <s v="Valid"/>
    <s v="West Coryhaven"/>
  </r>
  <r>
    <s v="#1478"/>
    <d v="2026-08-04T00:00:00"/>
    <s v="04-08-2026 13:54"/>
    <s v="Christopher Harris"/>
    <x v="0"/>
    <s v="christopher.harris618@yahoo.com"/>
    <s v="Vitamin C Serum 30ml"/>
    <s v="Beauty"/>
    <s v="BTY-SRM-30"/>
    <n v="2"/>
    <s v="$24.99"/>
    <m/>
    <n v="0"/>
    <n v="5.99"/>
    <n v="55.97"/>
    <s v="Apple Pay"/>
    <x v="2"/>
    <s v="pending"/>
    <s v="Australia"/>
    <m/>
    <s v="Not Required"/>
    <s v="Wayneburgh"/>
  </r>
  <r>
    <s v="#1479"/>
    <d v="2026-08-04T13:57:56"/>
    <d v="2026-08-04T13:57:56"/>
    <s v="Angel Clark"/>
    <x v="0"/>
    <s v="angel.clark280@yahoo.com"/>
    <s v="Running Shoes - Men's"/>
    <s v="Footwear"/>
    <s v="FTW-RUN-M"/>
    <n v="2"/>
    <n v="54.99"/>
    <s v="VIP15"/>
    <n v="16.5"/>
    <n v="0"/>
    <n v="93.48"/>
    <s v="Apple Pay"/>
    <x v="3"/>
    <s v="pending"/>
    <s v="Germany"/>
    <m/>
    <s v="Not Required"/>
    <s v="Davidshire"/>
  </r>
  <r>
    <s v="#1480"/>
    <d v="2026-08-04T14:04:15"/>
    <d v="2026-08-04T14:04:15"/>
    <s v="Monique Bowman"/>
    <x v="0"/>
    <s v="monique.bowman430@gmail.com"/>
    <s v="Adjustable Dumbbell Set"/>
    <s v="Sports &amp; Outdoors"/>
    <s v="SP-DMB-ADJ"/>
    <n v="4"/>
    <n v="89.99"/>
    <s v="VIP15"/>
    <n v="53.99"/>
    <n v="0"/>
    <n v="305.97000000000003"/>
    <s v="Apple Pay"/>
    <x v="0"/>
    <s v="fulfilled"/>
    <s v="United States"/>
    <s v="WA"/>
    <s v="Valid"/>
    <s v="Julieburgh"/>
  </r>
  <r>
    <s v="#1481"/>
    <d v="2026-08-04T13:55:05"/>
    <d v="2026-08-04T13:55:05"/>
    <s v="Corey Hudson"/>
    <x v="0"/>
    <s v="corey.hudson168@gmail.com"/>
    <s v="Wireless Bluetooth Earbuds"/>
    <s v="Electronics"/>
    <s v="ELC-WBE-01"/>
    <n v="1"/>
    <n v="29.99"/>
    <s v=" WELCOME10 "/>
    <n v="3"/>
    <n v="4.99"/>
    <n v="31.98"/>
    <s v="Google Pay"/>
    <x v="1"/>
    <s v="fulfilled"/>
    <s v="United States"/>
    <s v="California"/>
    <s v="Valid"/>
    <s v="Margaretchester"/>
  </r>
  <r>
    <s v="#1482"/>
    <d v="2026-08-04T14:07:20"/>
    <d v="2026-08-04T14:07:20"/>
    <s v="Natalie Dixon"/>
    <x v="0"/>
    <s v="natalie.dixon388@outlook.com"/>
    <s v="Non-Stick Frying Pan 10in"/>
    <s v="Home &amp; Kitchen"/>
    <s v="HK-PAN-10"/>
    <n v="1"/>
    <n v="24.99"/>
    <s v="VIP15"/>
    <n v="3.75"/>
    <n v="5.99"/>
    <n v="27.23"/>
    <s v="Credit Card"/>
    <x v="3"/>
    <s v="refunded"/>
    <s v="United States"/>
    <s v="FL"/>
    <s v="Valid"/>
    <s v="Kristinastad"/>
  </r>
  <r>
    <s v="#1483"/>
    <d v="2026-08-04T13:57:13"/>
    <d v="2026-08-04T13:57:13"/>
    <s v="Megan Herman"/>
    <x v="1"/>
    <m/>
    <s v="Slim Fit Denim Jeans"/>
    <s v="Apparel"/>
    <s v="JNS-BLU-32"/>
    <n v="1"/>
    <n v="39.99"/>
    <m/>
    <n v="0"/>
    <n v="5.99"/>
    <n v="45.98"/>
    <s v="Google Pay"/>
    <x v="0"/>
    <s v="fulfilled"/>
    <s v="United States"/>
    <s v="Ohio"/>
    <s v="Valid"/>
    <s v="Port Katie"/>
  </r>
  <r>
    <s v="#1484"/>
    <d v="2026-08-04T13:55:57"/>
    <d v="2026-08-04T13:55:57"/>
    <s v="Carrie Boyd"/>
    <x v="0"/>
    <s v="carrie.boyd968@gmail.com"/>
    <s v="Facial Cleanser 200ml"/>
    <s v="Beauty"/>
    <s v="BTY-CLN-200"/>
    <n v="2"/>
    <n v="13.49"/>
    <s v="VIP15"/>
    <n v="4.05"/>
    <n v="4.99"/>
    <n v="27.92"/>
    <s v="Shopify Payments"/>
    <x v="2"/>
    <s v="pending"/>
    <s v="United States"/>
    <s v="Washington"/>
    <s v="Valid"/>
    <s v="Lake Jeff"/>
  </r>
  <r>
    <s v="#1485"/>
    <d v="2026-08-04T14:06:09"/>
    <d v="2026-08-04T14:06:09"/>
    <s v="Amanda Harris"/>
    <x v="1"/>
    <m/>
    <s v="Scented Soy Candle - Vanilla"/>
    <s v="Home &amp; Kitchen"/>
    <s v="HK-CND-VAN"/>
    <n v="1"/>
    <n v="9.99"/>
    <s v="FREESHIP"/>
    <n v="0"/>
    <n v="0"/>
    <n v="9.99"/>
    <s v="PayPal"/>
    <x v="2"/>
    <s v="fulfilled"/>
    <s v="United States"/>
    <s v="Florida"/>
    <s v="Valid"/>
    <s v="East Stacyfurt"/>
  </r>
  <r>
    <s v="#1486"/>
    <d v="2026-08-04T14:02:07"/>
    <d v="2026-08-04T14:02:07"/>
    <s v="Glenn Smith"/>
    <x v="0"/>
    <s v="glenn.smith305@gmail.com"/>
    <s v="Leather Wallet - Brown"/>
    <s v="Accessories"/>
    <s v="ACC-WLT-BRN"/>
    <n v="3"/>
    <n v="19.989999999999998"/>
    <s v="FREESHIP"/>
    <n v="0"/>
    <n v="0"/>
    <n v="59.97"/>
    <s v="PayPal"/>
    <x v="1"/>
    <s v="fulfilled"/>
    <s v="Canada"/>
    <m/>
    <s v="Not Required"/>
    <s v="Markport"/>
  </r>
  <r>
    <s v="#1487"/>
    <d v="2026-08-04T14:02:20"/>
    <d v="2026-08-04T14:02:20"/>
    <s v="Eric Golden"/>
    <x v="0"/>
    <s v="eric.golden379@outlook.com"/>
    <s v="Classic Cotton T-Shirt"/>
    <s v="Apparel"/>
    <s v="TSH-BLK-M"/>
    <n v="1"/>
    <n v="14.99"/>
    <s v="BFCM25"/>
    <n v="3.75"/>
    <n v="7.99"/>
    <n v="19.23"/>
    <s v="Google Pay"/>
    <x v="0"/>
    <s v="pending"/>
    <s v="United States"/>
    <s v="New York"/>
    <s v="Valid"/>
    <s v="South Rachelmouth"/>
  </r>
  <r>
    <s v="#1488"/>
    <d v="2026-04-08T00:00:00"/>
    <s v="08/04/2026"/>
    <s v="John Carson"/>
    <x v="0"/>
    <s v="john.carson203@yahoo.com"/>
    <s v="Yoga Mat - Extra Thick"/>
    <s v="Sports &amp; Outdoors"/>
    <s v="SP-YGM-EX"/>
    <n v="1"/>
    <n v="22.99"/>
    <m/>
    <n v="0"/>
    <n v="5.99"/>
    <n v="28.98"/>
    <s v="Credit Card"/>
    <x v="0"/>
    <s v="fulfilled"/>
    <s v="United States"/>
    <s v="California"/>
    <s v="Valid"/>
    <s v="New Colleenberg"/>
  </r>
  <r>
    <s v="#1489"/>
    <d v="2026-08-04T14:05:40"/>
    <d v="2026-08-04T14:05:40"/>
    <s v="Daniel Parsons"/>
    <x v="0"/>
    <s v="daniel.parsons636@gmail.com"/>
    <s v="Ceramic Coffee Mug Set (4pc)"/>
    <s v="Home &amp; Kitchen"/>
    <s v="HK-MUG-4PK"/>
    <n v="1"/>
    <n v="18.989999999999998"/>
    <s v="WELCOME10"/>
    <n v="1.9"/>
    <n v="7.99"/>
    <n v="25.08"/>
    <s v="Apple Pay"/>
    <x v="3"/>
    <s v="fulfilled"/>
    <s v="United States"/>
    <s v="NY"/>
    <s v="Valid"/>
    <s v="Johnborough"/>
  </r>
  <r>
    <s v="#1490"/>
    <d v="2026-08-04T14:03:30"/>
    <d v="2026-08-04T14:03:30"/>
    <s v="Sandra Wilson"/>
    <x v="0"/>
    <s v="sandra.wilson840@outlook.com"/>
    <s v="Portable Power Bank 10000mAh"/>
    <s v="Electronics"/>
    <s v="ELC-PWB-10K"/>
    <n v="3"/>
    <n v="21.99"/>
    <m/>
    <n v="0"/>
    <n v="4.99"/>
    <n v="70.959999999999994"/>
    <s v="PayPal"/>
    <x v="0"/>
    <s v="fulfilled"/>
    <s v="United States"/>
    <s v="Canada"/>
    <s v="Valid"/>
    <s v="Owenside"/>
  </r>
  <r>
    <s v="#1491"/>
    <d v="2026-08-04T14:00:55"/>
    <d v="2026-08-04T14:00:55"/>
    <s v="Stacy Webb"/>
    <x v="0"/>
    <s v="stacy.webb586@yahoo.com"/>
    <s v="Stainless Steel Water Bottle"/>
    <s v="Home &amp; Kitchen"/>
    <s v="HK-BTL-750"/>
    <n v="1"/>
    <n v="12.99"/>
    <s v="WELCOME10"/>
    <s v="$1.30"/>
    <n v="7.99"/>
    <n v="19.68"/>
    <s v="Credit Card"/>
    <x v="3"/>
    <s v="fulfilled"/>
    <s v="United States"/>
    <s v="Florida"/>
    <s v="Valid"/>
    <s v="East Alexis"/>
  </r>
  <r>
    <s v="#1492"/>
    <d v="2026-08-04T14:02:03"/>
    <d v="2026-08-04T14:02:03"/>
    <s v="Taylor Lee"/>
    <x v="0"/>
    <s v="taylor.lee613@gmail.com"/>
    <s v="Throw Blanket - Fleece"/>
    <s v="Home &amp; Kitchen"/>
    <s v="HK-BLK-FLC"/>
    <n v="1"/>
    <n v="17.989999999999998"/>
    <m/>
    <n v="0"/>
    <n v="7.99"/>
    <n v="25.98"/>
    <s v="Google Pay"/>
    <x v="0"/>
    <s v="cancelled"/>
    <s v="United Kingdom"/>
    <m/>
    <s v="Not Required"/>
    <s v="Dawnville"/>
  </r>
  <r>
    <s v="#1493"/>
    <d v="2026-08-04T00:00:00"/>
    <s v="04-08-2026 14:03"/>
    <s v="Jesus Mason"/>
    <x v="0"/>
    <s v="jesus.mason798@icloud.com"/>
    <s v="Non-Stick Frying Pan 10in"/>
    <s v="Home &amp; Kitchen"/>
    <s v="HK-PAN-10"/>
    <n v="3"/>
    <n v="24.99"/>
    <m/>
    <n v="0"/>
    <n v="7.99"/>
    <n v="82.96"/>
    <s v="Google Pay"/>
    <x v="1"/>
    <s v="fulfilled"/>
    <s v="United States"/>
    <s v="California"/>
    <s v="Valid"/>
    <s v="Carriestad"/>
  </r>
  <r>
    <s v="#1494"/>
    <d v="2026-08-04T13:55:30"/>
    <d v="2026-08-04T13:55:30"/>
    <s v="Lauren Nguyen"/>
    <x v="0"/>
    <s v="lauren.nguyen819@outlook.com"/>
    <s v="Non-Stick Frying Pan 10in"/>
    <s v="Home &amp; Kitchen"/>
    <s v="HK-PAN-10"/>
    <n v="1"/>
    <n v="24.99"/>
    <m/>
    <n v="0"/>
    <n v="7.99"/>
    <n v="32.979999999999997"/>
    <s v="Apple Pay"/>
    <x v="2"/>
    <s v="fulfilled"/>
    <s v="United Kingdom"/>
    <m/>
    <s v="Not Required"/>
    <s v="Kaylastad"/>
  </r>
  <r>
    <s v="#1495"/>
    <d v="2026-08-04T14:06:59"/>
    <d v="2026-08-04T14:06:59"/>
    <s v="Dustin Mccoy"/>
    <x v="0"/>
    <s v="dustin.mccoy570@gmail.com"/>
    <s v="Adjustable Dumbbell Set"/>
    <s v="Sports &amp; Outdoors"/>
    <s v="SP-DMB-ADJ"/>
    <n v="1"/>
    <s v="$89.99"/>
    <m/>
    <s v="$0.00"/>
    <n v="0"/>
    <n v="89.99"/>
    <s v="Credit Card"/>
    <x v="0"/>
    <s v="fulfilled"/>
    <s v="Canada"/>
    <m/>
    <s v="Not Required"/>
    <s v="Port David"/>
  </r>
  <r>
    <s v="#1496"/>
    <d v="2026-08-04T14:07:23"/>
    <d v="2026-08-04T14:07:23"/>
    <s v="Chad Smith"/>
    <x v="0"/>
    <s v="chad.smith773@icloud.com"/>
    <s v="Wireless Bluetooth Earbuds"/>
    <s v="Electronics"/>
    <s v="ELC-WBE-01"/>
    <n v="2"/>
    <n v="29.99"/>
    <m/>
    <n v="0"/>
    <n v="7.99"/>
    <n v="67.97"/>
    <s v="Credit Card"/>
    <x v="0"/>
    <s v="fulfilled"/>
    <s v="Pakistan"/>
    <m/>
    <s v="Not Required"/>
    <s v="East Jasonshire"/>
  </r>
  <r>
    <s v="#1497"/>
    <d v="2026-08-04T13:56:27"/>
    <d v="2026-08-04T13:56:27"/>
    <s v="Joshua Owens"/>
    <x v="0"/>
    <s v="joshua.owens56@icloud.com"/>
    <s v="Non-Stick Frying Pan 10in"/>
    <s v="Home &amp; Kitchen"/>
    <s v="HK-PAN-10"/>
    <n v="1"/>
    <n v="24.99"/>
    <s v="FREESHIP"/>
    <s v="$0.00"/>
    <n v="0"/>
    <n v="24.99"/>
    <s v="PayPal"/>
    <x v="0"/>
    <s v="pending"/>
    <s v="United States"/>
    <s v="Washington"/>
    <s v="Valid"/>
    <s v="Margarethaven"/>
  </r>
  <r>
    <s v="#1498"/>
    <d v="2026-04-08T00:00:00"/>
    <s v="08/04/2026"/>
    <s v="Sarah Mendoza"/>
    <x v="0"/>
    <s v="sarah.mendoza691@outlook.com"/>
    <s v="Classic Cotton T-Shirt"/>
    <s v="Apparel"/>
    <s v="TSH-BLK-M"/>
    <n v="1"/>
    <n v="14.99"/>
    <s v="SAVE20"/>
    <n v="3"/>
    <n v="4.99"/>
    <n v="16.98"/>
    <s v="PayPal"/>
    <x v="0"/>
    <s v="fulfilled"/>
    <s v="United States"/>
    <s v="North Carolina"/>
    <s v="Valid"/>
    <s v="Vincentview"/>
  </r>
  <r>
    <s v="#1499"/>
    <d v="2026-08-04T13:59:02"/>
    <d v="2026-08-04T13:59:02"/>
    <s v="Monica Becker"/>
    <x v="0"/>
    <s v="monica.becker291@outlook.com"/>
    <s v="Kids Building Blocks Set"/>
    <s v="Toys"/>
    <s v="TOY-BLK-SET"/>
    <n v="1"/>
    <n v="27.99"/>
    <m/>
    <n v="0"/>
    <n v="7.99"/>
    <n v="35.979999999999997"/>
    <s v="PayPal"/>
    <x v="1"/>
    <s v="fulfilled"/>
    <s v="Canada"/>
    <m/>
    <s v="Not Required"/>
    <s v="North Terry"/>
  </r>
  <r>
    <s v="#1500"/>
    <d v="2026-08-04T14:05:07"/>
    <d v="2026-08-04T14:05:07"/>
    <s v="Joshua Medina"/>
    <x v="0"/>
    <s v="joshua.medina38@yahoo.com"/>
    <s v="Slim Fit Denim Jeans"/>
    <s v="Apparel"/>
    <s v="JNS-BLU-32"/>
    <n v="1"/>
    <n v="39.99"/>
    <m/>
    <n v="0"/>
    <n v="7.99"/>
    <n v="47.98"/>
    <s v="Apple Pay"/>
    <x v="0"/>
    <s v="fulfilled"/>
    <s v="United Kingdom"/>
    <m/>
    <s v="Not Required"/>
    <s v="Port James"/>
  </r>
  <r>
    <s v="#1501"/>
    <d v="2026-08-04T13:56:31"/>
    <d v="2026-08-04T13:56:31"/>
    <s v="Darin Alvarez"/>
    <x v="0"/>
    <s v="darin.alvarez843@gmail.com"/>
    <s v="Resistance Bands Set"/>
    <s v="Sports &amp; Outdoors"/>
    <s v="SP-RBS-SET"/>
    <n v="2"/>
    <s v="$13.99"/>
    <s v="SAVE20"/>
    <n v="5.6"/>
    <n v="7.99"/>
    <n v="30.37"/>
    <s v="Apple Pay"/>
    <x v="2"/>
    <s v="fulfilled"/>
    <s v="Canada"/>
    <m/>
    <s v="Not Required"/>
    <s v="East Taylorfurt"/>
  </r>
  <r>
    <s v="#1502"/>
    <d v="2026-08-04T13:56:13"/>
    <d v="2026-08-04T13:56:13"/>
    <s v="Davis, Heather"/>
    <x v="0"/>
    <s v="heather.davis117@icloud.com"/>
    <s v="Classic Cotton T-Shirt"/>
    <s v="Apparel"/>
    <s v="TSH-BLK-L"/>
    <n v="3"/>
    <n v="14.99"/>
    <m/>
    <n v="0"/>
    <n v="4.99"/>
    <n v="49.96"/>
    <s v="Credit Card"/>
    <x v="3"/>
    <s v="fulfilled"/>
    <s v="Germany"/>
    <m/>
    <s v="Not Required"/>
    <s v="Starkhaven"/>
  </r>
  <r>
    <s v="#1503"/>
    <d v="2026-08-04T13:57:49"/>
    <d v="2026-08-04T13:57:49"/>
    <s v="Frank White"/>
    <x v="0"/>
    <s v="frank.white670@icloud.com"/>
    <s v="Hooded Sweatshirt"/>
    <s v="Apparel"/>
    <s v="APR-HOD-GRY"/>
    <n v="1"/>
    <n v="34.99"/>
    <m/>
    <n v="0"/>
    <n v="4.99"/>
    <n v="39.979999999999997"/>
    <s v="Apple Pay"/>
    <x v="0"/>
    <s v="fulfilled"/>
    <s v="United States"/>
    <s v="OH"/>
    <s v="Valid"/>
    <s v="Markchester"/>
  </r>
  <r>
    <s v="#1504"/>
    <d v="2026-08-04T00:00:00"/>
    <s v="04-08-2026 14:03"/>
    <s v="Williams, Tyler"/>
    <x v="0"/>
    <s v="tyler.williams938@outlook.com"/>
    <s v="Non-Stick Frying Pan 10in"/>
    <s v="Home &amp; Kitchen"/>
    <s v="HK-PAN-10"/>
    <n v="1"/>
    <n v="24.99"/>
    <s v="WELCOME10"/>
    <s v="$2.50"/>
    <n v="4.99"/>
    <n v="27.48"/>
    <s v="Shopify Payments"/>
    <x v="0"/>
    <s v="fulfilled"/>
    <s v="Australia"/>
    <m/>
    <s v="Not Required"/>
    <s v="Wallaceberg"/>
  </r>
  <r>
    <s v="#1505"/>
    <d v="2026-08-04T13:53:34"/>
    <d v="2026-08-04T13:53:34"/>
    <s v="TINA SINGH"/>
    <x v="0"/>
    <s v="tina.singh98@icloud.com"/>
    <s v="Kids Building Blocks Set"/>
    <s v="Toys"/>
    <s v="TOY-BLK-SET"/>
    <n v="1"/>
    <n v="27.99"/>
    <s v="SAVE20"/>
    <n v="5.6"/>
    <n v="4.99"/>
    <n v="27.38"/>
    <s v="Shopify Payments"/>
    <x v="0"/>
    <s v="fulfilled"/>
    <s v="United States"/>
    <s v="Florida"/>
    <s v="Valid"/>
    <s v="Johnside"/>
  </r>
  <r>
    <s v="#1506"/>
    <d v="2026-08-04T13:58:39"/>
    <d v="2026-08-04T13:58:39"/>
    <s v="Patrick Richardson"/>
    <x v="0"/>
    <s v="patrick.richardson270@icloud.com"/>
    <s v="Resistance Bands Set"/>
    <s v="Sports &amp; Outdoors"/>
    <s v="SP-RBS-SET"/>
    <n v="2"/>
    <n v="13.99"/>
    <s v="SAVE20"/>
    <n v="5.6"/>
    <n v="7.99"/>
    <n v="30.37"/>
    <s v="Apple Pay"/>
    <x v="0"/>
    <s v="fulfilled"/>
    <s v="United States"/>
    <s v="Ohio"/>
    <s v="Valid"/>
    <s v="New Stephen"/>
  </r>
  <r>
    <s v="#1507"/>
    <d v="2026-08-04T13:57:34"/>
    <d v="2026-08-04T13:57:34"/>
    <s v="Christopher Harrington"/>
    <x v="0"/>
    <s v="christopher.harrington960@gmail.com"/>
    <s v="Facial Cleanser 200ml"/>
    <s v="Beauty"/>
    <s v="BTY-CLN-200"/>
    <n v="1"/>
    <n v="13.49"/>
    <m/>
    <n v="0"/>
    <n v="4.99"/>
    <s v="$18.48"/>
    <s v="PayPal"/>
    <x v="3"/>
    <s v="fulfilled"/>
    <s v="Australia"/>
    <m/>
    <s v="Not Required"/>
    <s v="Lake Joseview"/>
  </r>
  <r>
    <s v="#1508"/>
    <d v="2026-08-04T13:58:45"/>
    <d v="2026-08-04T13:58:45"/>
    <s v="Peter Alvarez"/>
    <x v="0"/>
    <s v="peter.alvarez465@yahoo.com"/>
    <s v="Classic Cotton T Shirt"/>
    <s v="Apparel"/>
    <s v="TSH-BLK-L"/>
    <n v="2"/>
    <n v="14.99"/>
    <m/>
    <n v="0"/>
    <n v="4.99"/>
    <n v="34.97"/>
    <s v="Apple Pay"/>
    <x v="0"/>
    <s v="fulfilled"/>
    <s v="United States"/>
    <s v="Florida"/>
    <s v="Valid"/>
    <s v="Port Rebecca"/>
  </r>
  <r>
    <s v="#1509"/>
    <d v="2026-08-04T14:01:06"/>
    <d v="2026-08-04T14:01:06"/>
    <s v="Joshua Miller"/>
    <x v="0"/>
    <s v="joshua.miller362@gmail.com"/>
    <s v="Polarized Sunglasses"/>
    <s v="Accessories"/>
    <s v="ACC-SUN-01"/>
    <n v="1"/>
    <n v="16.989999999999998"/>
    <s v="WELCOME10"/>
    <s v="$1.70"/>
    <n v="5.99"/>
    <n v="21.28"/>
    <s v="Google Pay"/>
    <x v="0"/>
    <s v="cancelled"/>
    <s v="Canada"/>
    <m/>
    <s v="Not Required"/>
    <s v="Lake Andrewbury"/>
  </r>
  <r>
    <s v="#1510"/>
    <d v="2026-08-04T14:01:47"/>
    <d v="2026-08-04T14:01:47"/>
    <s v="Bryan Smith"/>
    <x v="0"/>
    <s v="bryan.smith876@yahoo.com"/>
    <s v="Stainless Steel Water Bottle"/>
    <s v="Home &amp; Kitchen"/>
    <s v="HK-BTL-750"/>
    <n v="1"/>
    <n v="12.99"/>
    <s v="BFCM25"/>
    <s v="$3.25"/>
    <n v="4.99"/>
    <n v="14.73"/>
    <s v="Shopify Payments"/>
    <x v="0"/>
    <s v="fulfilled"/>
    <s v="United States"/>
    <s v="North Carolina"/>
    <s v="Valid"/>
    <s v="Davidfurt"/>
  </r>
  <r>
    <s v="#1511"/>
    <d v="2026-08-04T14:03:30"/>
    <d v="2026-08-04T14:03:30"/>
    <s v="Alec Chambers"/>
    <x v="0"/>
    <s v="alec.chambers767@outlook.com"/>
    <s v="Phone Case - Clear"/>
    <s v="Electronics"/>
    <s v="ELC-CSE-CLR"/>
    <n v="1"/>
    <n v="8.99"/>
    <m/>
    <n v="0"/>
    <n v="5.99"/>
    <n v="14.98"/>
    <s v="Apple Pay"/>
    <x v="2"/>
    <s v="fulfilled"/>
    <s v="Canada"/>
    <m/>
    <s v="Not Required"/>
    <s v="Loganmouth"/>
  </r>
  <r>
    <s v="#1512"/>
    <d v="2026-08-04T14:06:54"/>
    <d v="2026-08-04T14:06:54"/>
    <s v="Darin Alvarez"/>
    <x v="0"/>
    <s v="darin.alvarez843@gmail.com"/>
    <s v="Ceramic Coffee Mug Set (4pc)"/>
    <s v="Home &amp; Kitchen"/>
    <s v="HK-MUG-4PK"/>
    <n v="1"/>
    <s v="$18.99"/>
    <s v="BFCM25"/>
    <n v="4.75"/>
    <n v="7.99"/>
    <n v="22.23"/>
    <s v="Shopify Payments"/>
    <x v="1"/>
    <s v="pending"/>
    <s v="Canada"/>
    <m/>
    <s v="Not Required"/>
    <s v="North Alicia"/>
  </r>
  <r>
    <s v="#1513"/>
    <d v="2026-04-08T00:00:00"/>
    <s v="08/04/2026"/>
    <s v="Ian Morris"/>
    <x v="0"/>
    <s v="ian.morris90@outlook.com"/>
    <s v="Throw Blanket - Fleece"/>
    <s v="Home &amp; Kitchen"/>
    <s v="HK-BLK-FLC"/>
    <n v="3"/>
    <n v="17.989999999999998"/>
    <m/>
    <n v="0"/>
    <n v="4.99"/>
    <n v="58.96"/>
    <s v="Credit Card"/>
    <x v="2"/>
    <s v="fulfilled"/>
    <s v="Pakistan"/>
    <m/>
    <s v="Not Required"/>
    <s v="West Nancybury"/>
  </r>
  <r>
    <s v="#1514"/>
    <d v="2026-08-04T13:59:07"/>
    <d v="2026-08-04T13:59:07"/>
    <s v="Michael Perez"/>
    <x v="0"/>
    <s v="michael.perez206@gmail.com"/>
    <s v="Ceramic Coffee Mug Set (4pc)"/>
    <s v="Home &amp; Kitchen"/>
    <s v="HK-MUG-4PK"/>
    <n v="1"/>
    <n v="18.989999999999998"/>
    <s v="FREESHIP"/>
    <n v="0"/>
    <n v="0"/>
    <n v="18.989999999999998"/>
    <s v="PayPal"/>
    <x v="0"/>
    <s v="fulfilled"/>
    <s v="Germany"/>
    <m/>
    <s v="Not Required"/>
    <s v="East Timothybury"/>
  </r>
  <r>
    <s v="#1515"/>
    <d v="2026-08-04T14:05:33"/>
    <d v="2026-08-04T14:05:33"/>
    <s v="Joshua Chavez"/>
    <x v="0"/>
    <s v="joshua.chavez332@outlook.com"/>
    <s v="Yoga Mat - Extra Thick"/>
    <s v="Sports &amp; Outdoors"/>
    <s v="SP-YGM-EX"/>
    <n v="1"/>
    <n v="22.99"/>
    <s v="VIP15"/>
    <n v="3.45"/>
    <n v="5.99"/>
    <n v="25.53"/>
    <s v="Shopify Payments"/>
    <x v="0"/>
    <s v="fulfilled"/>
    <s v="United States"/>
    <s v="Washington"/>
    <s v="Valid"/>
    <s v="Lake Rebecca"/>
  </r>
  <r>
    <s v="#1516"/>
    <d v="2026-08-04T13:54:20"/>
    <d v="2026-08-04T13:54:20"/>
    <s v="Jessica Garcia"/>
    <x v="0"/>
    <s v="jessica.garcia931@gmail.com"/>
    <s v="Kids Building Blocks Set"/>
    <s v="Toys"/>
    <s v="TOY-BLK-SET"/>
    <n v="1"/>
    <n v="27.99"/>
    <m/>
    <n v="0"/>
    <n v="4.99"/>
    <n v="32.979999999999997"/>
    <s v="Credit Card"/>
    <x v="3"/>
    <s v="fulfilled"/>
    <s v="United States"/>
    <s v="Washington"/>
    <s v="Valid"/>
    <s v="West Bridget"/>
  </r>
  <r>
    <s v="#1517"/>
    <d v="2026-08-04T00:00:00"/>
    <s v="04-08-2026 14:00"/>
    <s v="Justin Mcguire"/>
    <x v="0"/>
    <s v="justin.mcguire224@icloud.com"/>
    <s v="Resistance Bands Set"/>
    <s v="Sports &amp; Outdoors"/>
    <s v="SP-RBS-SET"/>
    <n v="1"/>
    <s v="$13.99"/>
    <m/>
    <n v="0"/>
    <n v="4.99"/>
    <n v="18.98"/>
    <s v="Google Pay"/>
    <x v="0"/>
    <s v="pending"/>
    <s v="United States"/>
    <s v="Georgia"/>
    <s v="Valid"/>
    <s v="Lake Lisa"/>
  </r>
  <r>
    <s v="#1518"/>
    <d v="2026-08-04T13:59:49"/>
    <d v="2026-08-04T13:59:49"/>
    <s v="Andrea Martinez"/>
    <x v="0"/>
    <s v="andrea.martinez756@yahoo.com"/>
    <s v="Running Shoes - Women's"/>
    <s v="Footwear"/>
    <s v="FTW-RUN-W"/>
    <n v="1"/>
    <n v="54.99"/>
    <s v="WELCOME10"/>
    <n v="5.5"/>
    <n v="4.99"/>
    <n v="54.48"/>
    <s v="Shopify Payments"/>
    <x v="2"/>
    <s v="fulfilled"/>
    <s v="Australia"/>
    <m/>
    <s v="Not Required"/>
    <s v="Williamsport"/>
  </r>
  <r>
    <s v="#1519"/>
    <d v="2026-08-04T13:59:05"/>
    <d v="2026-08-04T13:59:05"/>
    <s v="Carrie White"/>
    <x v="0"/>
    <s v="carrie.white846@gmail.com"/>
    <s v="Slim Fit Denim Jeans"/>
    <s v="Apparel"/>
    <s v="JNS-BLU-32"/>
    <n v="2"/>
    <s v="$39.99"/>
    <s v="BFCM25"/>
    <s v="$20.00"/>
    <n v="0"/>
    <n v="59.98"/>
    <s v="Shopify Payments"/>
    <x v="0"/>
    <s v="fulfilled"/>
    <s v="United Kingdom"/>
    <m/>
    <s v="Not Required"/>
    <s v="Ethanland"/>
  </r>
  <r>
    <s v="#1520"/>
    <d v="2026-08-04T14:02:09"/>
    <d v="2026-08-04T14:02:09"/>
    <s v="Lisa Williams"/>
    <x v="0"/>
    <s v="lisa.williams715@yahoo.com"/>
    <s v="Running Shoes - Women's"/>
    <s v="Footwear"/>
    <s v="FTW-RUN-W"/>
    <n v="3"/>
    <n v="54.99"/>
    <s v="BFCM25"/>
    <n v="41.24"/>
    <n v="0"/>
    <n v="123.73"/>
    <s v="PayPal"/>
    <x v="3"/>
    <s v="pending"/>
    <s v="United States"/>
    <s v="Ohio"/>
    <s v="Valid"/>
    <s v="Denniston"/>
  </r>
  <r>
    <s v="#1521"/>
    <d v="2026-08-04T14:05:33"/>
    <d v="2026-08-04T14:05:33"/>
    <s v="Peter Alvarez"/>
    <x v="0"/>
    <s v="peter.alvarez465@yahoo.com"/>
    <s v="Phone Case - Clear"/>
    <s v="Electronics"/>
    <s v="ELC-CSE-CLR"/>
    <n v="2"/>
    <n v="8.99"/>
    <m/>
    <n v="0"/>
    <n v="5.99"/>
    <n v="23.97"/>
    <s v="Google Pay"/>
    <x v="0"/>
    <s v="fulfilled"/>
    <s v="United States"/>
    <s v="Arizona"/>
    <s v="Valid"/>
    <s v="Perezhaven"/>
  </r>
  <r>
    <s v="#1522"/>
    <d v="2026-08-04T13:56:41"/>
    <d v="2026-08-04T13:56:41"/>
    <s v="Jose Ingram"/>
    <x v="0"/>
    <s v="jose.ingram37@gmail.com"/>
    <s v="Adjustable Dumbbell Set"/>
    <s v="Sports &amp; Outdoors"/>
    <s v="SP-DMB-ADJ"/>
    <n v="1"/>
    <n v="89.99"/>
    <s v="SAVE20"/>
    <n v="18"/>
    <n v="0"/>
    <n v="71.989999999999995"/>
    <s v="Credit Card"/>
    <x v="0"/>
    <s v="cancelled"/>
    <s v="United States"/>
    <s v="Texas"/>
    <s v="Valid"/>
    <s v="Lake Corey"/>
  </r>
  <r>
    <s v="#1523"/>
    <d v="2026-08-04T14:06:56"/>
    <d v="2026-08-04T14:06:56"/>
    <s v="Amy Barnett"/>
    <x v="0"/>
    <s v="amy.barnett396@icloud.com"/>
    <s v="Slim Fit Denim Jeans"/>
    <s v="Apparel"/>
    <s v="JNS-BLU-32"/>
    <n v="1"/>
    <n v="39.99"/>
    <s v="SAVE20"/>
    <n v="8"/>
    <n v="5.99"/>
    <n v="37.979999999999997"/>
    <s v="Google Pay"/>
    <x v="0"/>
    <s v="pending"/>
    <s v="Pakistan"/>
    <m/>
    <s v="Not Required"/>
    <s v="Jeffreyfort"/>
  </r>
  <r>
    <s v="#1524"/>
    <d v="2026-08-04T13:56:41"/>
    <d v="2026-08-04T13:56:41"/>
    <s v="Megan Herman"/>
    <x v="0"/>
    <s v="megan.herman268@yahoo.com"/>
    <s v="Throw Blanket - Fleece"/>
    <s v="Home &amp; Kitchen"/>
    <s v="HK-BLK-FLC"/>
    <n v="1"/>
    <n v="17.989999999999998"/>
    <m/>
    <n v="0"/>
    <n v="7.99"/>
    <n v="25.98"/>
    <s v="PayPal"/>
    <x v="2"/>
    <s v="fulfilled"/>
    <s v="United States"/>
    <s v="Arizona"/>
    <s v="Valid"/>
    <s v="Port Sheri"/>
  </r>
  <r>
    <s v="#1525"/>
    <d v="2026-08-04T14:05:27"/>
    <d v="2026-08-04T14:05:27"/>
    <s v="Vincent Rosales"/>
    <x v="0"/>
    <s v="vincent.rosales30@icloud.com"/>
    <s v="Scented Soy Candle - Vanilla"/>
    <s v="Home &amp; Kitchen"/>
    <s v="HK-CND-VAN"/>
    <n v="1"/>
    <n v="9.99"/>
    <s v="BFCM25"/>
    <n v="2.5"/>
    <n v="7.99"/>
    <n v="15.48"/>
    <s v="Google Pay"/>
    <x v="0"/>
    <s v="fulfilled"/>
    <s v="United States"/>
    <s v="New York"/>
    <s v="Valid"/>
    <s v="West Sethport"/>
  </r>
  <r>
    <s v="#1526"/>
    <d v="2026-08-04T14:02:57"/>
    <d v="2026-08-04T14:02:57"/>
    <s v="Michael Perez"/>
    <x v="0"/>
    <s v="michael.perez206@gmail.com"/>
    <s v="Kids Building Blocks Set"/>
    <s v="Toys"/>
    <s v="TOY-BLK-SET"/>
    <n v="2"/>
    <n v="27.99"/>
    <s v="VIP15"/>
    <n v="8.4"/>
    <n v="7.99"/>
    <n v="55.57"/>
    <s v="PayPal"/>
    <x v="0"/>
    <s v="fulfilled"/>
    <s v="Germany"/>
    <m/>
    <s v="Not Required"/>
    <s v="New Danny"/>
  </r>
  <r>
    <s v="#1527"/>
    <d v="2026-08-04T13:55:29"/>
    <d v="2026-08-04T13:55:29"/>
    <s v="Ian Morris"/>
    <x v="0"/>
    <s v="ian.morris90@outlook.com"/>
    <s v="Polarized Sunglasses"/>
    <s v="Accessories"/>
    <s v="ACC-SUN-01"/>
    <n v="1"/>
    <n v="16.989999999999998"/>
    <s v="WELCOME10"/>
    <n v="1.7"/>
    <n v="7.99"/>
    <n v="23.28"/>
    <s v="PayPal"/>
    <x v="0"/>
    <s v="fulfilled"/>
    <s v="Pakistan"/>
    <m/>
    <s v="Not Required"/>
    <s v="New Benjamin"/>
  </r>
  <r>
    <s v="#1528"/>
    <d v="2026-08-04T14:03:12"/>
    <d v="2026-08-04T14:03:12"/>
    <s v="Nicole Taylor"/>
    <x v="0"/>
    <s v="nicole.taylor607@icloud.com"/>
    <s v="Resistance Bands Set"/>
    <s v="Sports &amp; Outdoors"/>
    <s v="SP-RBS-SET"/>
    <n v="1"/>
    <n v="13.99"/>
    <m/>
    <n v="0"/>
    <n v="5.99"/>
    <s v="$19.98"/>
    <s v="Google Pay"/>
    <x v="3"/>
    <s v="refunded"/>
    <s v="United States"/>
    <s v="Florida"/>
    <s v="Valid"/>
    <s v="Phillipsmouth"/>
  </r>
  <r>
    <s v="#1529"/>
    <d v="2026-08-04T13:55:04"/>
    <d v="2026-08-04T13:55:04"/>
    <s v="William Houston"/>
    <x v="0"/>
    <s v="william.houston340@outlook.com"/>
    <s v="Classic Cotton T-Shirt"/>
    <s v="Apparel"/>
    <s v="TSH-BLK-M"/>
    <n v="2"/>
    <n v="14.99"/>
    <s v="BFCM25"/>
    <n v="7.5"/>
    <n v="4.99"/>
    <n v="27.47"/>
    <s v="Credit Card"/>
    <x v="3"/>
    <s v="fulfilled"/>
    <s v="United States"/>
    <s v="Arizona"/>
    <s v="Valid"/>
    <s v="Glovermouth"/>
  </r>
  <r>
    <s v="#1530"/>
    <d v="2026-08-04T00:00:00"/>
    <s v="Aug 04, 2026"/>
    <s v="Logan Fox"/>
    <x v="0"/>
    <s v="logan.fox165@gmail.com"/>
    <s v="Running Shoes - Women's"/>
    <s v="Footwear"/>
    <s v="FTW-RUN-W"/>
    <n v="1"/>
    <s v="$54.99"/>
    <m/>
    <n v="0"/>
    <n v="5.99"/>
    <n v="60.98"/>
    <s v="Google Pay"/>
    <x v="1"/>
    <s v="fulfilled"/>
    <s v="Australia"/>
    <m/>
    <s v="Not Required"/>
    <s v="East Sheila"/>
  </r>
  <r>
    <s v="#1531"/>
    <d v="2026-08-04T13:58:06"/>
    <d v="2026-08-04T13:58:06"/>
    <s v="Julie Hoffman"/>
    <x v="0"/>
    <s v="julie.hoffman913@gmail.com"/>
    <s v="Polarized Sunglasses"/>
    <s v="Accessories"/>
    <s v="ACC-SUN-01"/>
    <n v="2"/>
    <n v="16.989999999999998"/>
    <s v="FREESHIP"/>
    <s v="$0.00"/>
    <n v="0"/>
    <n v="33.979999999999997"/>
    <s v="Credit Card"/>
    <x v="3"/>
    <s v="fulfilled"/>
    <s v="United States"/>
    <s v="Washington"/>
    <s v="Valid"/>
    <s v="Gallaghermouth"/>
  </r>
  <r>
    <s v="#1532"/>
    <d v="2026-08-04T13:53:52"/>
    <d v="2026-08-04T13:53:52"/>
    <s v="Timothy Sanchez"/>
    <x v="0"/>
    <s v="timothy.sanchez728@gmail.com"/>
    <s v="Running Shoes - Men's"/>
    <s v="Footwear"/>
    <s v="FTW-RUN-M"/>
    <n v="1"/>
    <n v="54.99"/>
    <s v="WELCOME10"/>
    <n v="5.5"/>
    <n v="5.99"/>
    <n v="55.48"/>
    <s v="Apple Pay"/>
    <x v="1"/>
    <s v="fulfilled"/>
    <s v="United States"/>
    <s v="Illinois"/>
    <s v="Valid"/>
    <s v="North Joseph"/>
  </r>
  <r>
    <s v="#1533"/>
    <d v="2026-08-04T00:00:00"/>
    <s v="04-08-2026 14:07"/>
    <s v="Tyler Williams"/>
    <x v="0"/>
    <s v="tyler.williams938@outlook.com"/>
    <s v="Hooded Sweatshirt"/>
    <s v="Apparel"/>
    <s v="APR-HOD-GRY"/>
    <n v="3"/>
    <n v="34.99"/>
    <s v="VIP15"/>
    <n v="15.75"/>
    <n v="0"/>
    <n v="89.22"/>
    <s v="Google Pay"/>
    <x v="0"/>
    <s v="fulfilled"/>
    <s v="Australia"/>
    <m/>
    <s v="Not Required"/>
    <s v="Lake Monicaville"/>
  </r>
  <r>
    <s v="#1534"/>
    <d v="2026-08-04T14:07:18"/>
    <d v="2026-08-04T14:07:18"/>
    <s v="Brian Shaffer"/>
    <x v="0"/>
    <s v="brian.shaffer90@yahoo.com"/>
    <s v="USB-C Fast Charger 20W"/>
    <s v="Electronics"/>
    <s v="ELC-CHG-20"/>
    <n v="2"/>
    <n v="15.49"/>
    <m/>
    <n v="0"/>
    <n v="4.99"/>
    <n v="35.97"/>
    <s v="PayPal"/>
    <x v="3"/>
    <s v="pending"/>
    <s v="United States"/>
    <s v="New York"/>
    <s v="Valid"/>
    <s v="North Robert"/>
  </r>
  <r>
    <s v="#1535"/>
    <d v="2026-08-04T13:59:20"/>
    <d v="2026-08-04T13:59:20"/>
    <s v="Joshua Thompson"/>
    <x v="0"/>
    <s v="joshua.thompson522@outlook.com"/>
    <s v="USB-C Fast Charger 20W"/>
    <s v="Electronics"/>
    <s v="ELC-CHG-20"/>
    <n v="1"/>
    <n v="15.49"/>
    <m/>
    <n v="0"/>
    <n v="7.99"/>
    <n v="23.48"/>
    <s v="Shopify Payments"/>
    <x v="0"/>
    <s v="fulfilled"/>
    <s v="Pakistan"/>
    <m/>
    <s v="Not Required"/>
    <s v="West Sean"/>
  </r>
  <r>
    <s v="#1536"/>
    <d v="2026-08-04T14:02:52"/>
    <d v="2026-08-04T14:02:52"/>
    <s v="Nicholas Jarvis"/>
    <x v="0"/>
    <s v="nicholas.jarvis112@icloud.com"/>
    <s v="Resistance Bands Set"/>
    <s v="Sports &amp; Outdoors"/>
    <s v="SP-RBS-SET"/>
    <n v="1"/>
    <n v="13.99"/>
    <s v="SAVE20"/>
    <n v="2.8"/>
    <n v="7.99"/>
    <n v="19.18"/>
    <s v="Shopify Payments"/>
    <x v="1"/>
    <s v="pending"/>
    <s v="Canada"/>
    <m/>
    <s v="Not Required"/>
    <s v="Angelatown"/>
  </r>
  <r>
    <s v="#1537"/>
    <d v="2026-08-04T14:02:48"/>
    <d v="2026-08-04T14:02:48"/>
    <s v="Dustin Mccoy"/>
    <x v="0"/>
    <s v="dustin.mccoy570@gmail.com"/>
    <s v="Yoga Mat - Extra Thick"/>
    <s v="Sports &amp; Outdoors"/>
    <s v="SP-YGM-EX"/>
    <n v="2"/>
    <n v="22.99"/>
    <m/>
    <n v="0"/>
    <n v="5.99"/>
    <n v="51.97"/>
    <s v="Credit Card"/>
    <x v="1"/>
    <s v="fulfilled"/>
    <s v="Canada"/>
    <m/>
    <s v="Not Required"/>
    <s v="Morrisfurt"/>
  </r>
  <r>
    <s v="#1538"/>
    <d v="2026-08-04T14:02:47"/>
    <d v="2026-08-04T14:02:47"/>
    <s v="Maria Leon"/>
    <x v="0"/>
    <s v="maria.leon163@outlook.com"/>
    <s v="Hooded Sweatshirt"/>
    <s v="Apparel"/>
    <s v="APR-HOD-GRY"/>
    <n v="2"/>
    <n v="34.99"/>
    <s v="FREESHIP"/>
    <n v="0"/>
    <n v="0"/>
    <n v="69.98"/>
    <s v="Apple Pay"/>
    <x v="3"/>
    <s v="fulfilled"/>
    <s v="Canada"/>
    <m/>
    <s v="Not Required"/>
    <s v="Gonzalezfort"/>
  </r>
  <r>
    <s v="#1539"/>
    <d v="2026-08-04T13:59:23"/>
    <d v="2026-08-04T13:59:23"/>
    <s v="Gerald Li"/>
    <x v="0"/>
    <s v="gerald.li856@icloud.com"/>
    <s v="USB-C Fast Charger 20W"/>
    <s v="Electronics"/>
    <s v="ELC-CHG-20"/>
    <n v="1"/>
    <n v="15.49"/>
    <m/>
    <n v="0"/>
    <n v="4.99"/>
    <n v="20.48"/>
    <s v="PayPal"/>
    <x v="2"/>
    <s v="pending"/>
    <s v="United States"/>
    <s v="Florida"/>
    <s v="Valid"/>
    <s v="North Randymouth"/>
  </r>
  <r>
    <s v="#1540"/>
    <d v="2026-08-04T14:07:01"/>
    <d v="2026-08-04T14:07:01"/>
    <s v="Natalie Dixon"/>
    <x v="0"/>
    <s v="natalie.dixon388@outlook.com"/>
    <s v="Leather Wallet - Brown"/>
    <s v="Accessories"/>
    <s v="ACC-WLT-BRN"/>
    <n v="1"/>
    <n v="19.989999999999998"/>
    <s v="VIP15"/>
    <n v="3"/>
    <n v="4.99"/>
    <n v="21.98"/>
    <s v="Google Pay"/>
    <x v="0"/>
    <s v="refunded"/>
    <s v="United States"/>
    <s v="Canada"/>
    <s v="Valid"/>
    <s v="Port Richardfurt"/>
  </r>
  <r>
    <s v="#1541"/>
    <d v="2026-08-04T14:03:09"/>
    <d v="2026-08-04T14:03:09"/>
    <s v="Amanda Robinson"/>
    <x v="0"/>
    <s v="amanda.robinson263@icloud.com"/>
    <s v="Kids Building Blocks Set"/>
    <s v="Toys"/>
    <s v="TOY-BLK-SET"/>
    <n v="2"/>
    <s v="$27.99"/>
    <m/>
    <n v="0"/>
    <n v="4.99"/>
    <n v="60.97"/>
    <s v="Credit Card"/>
    <x v="0"/>
    <s v="fulfilled"/>
    <s v="United States"/>
    <s v="Florida"/>
    <s v="Valid"/>
    <s v="Lake Allenburgh"/>
  </r>
  <r>
    <s v="#1542"/>
    <d v="2026-08-04T13:54:23"/>
    <d v="2026-08-04T13:54:23"/>
    <s v="Megan Dickson"/>
    <x v="0"/>
    <s v="megan.dickson508@gmail.com"/>
    <s v="Polarized Sunglasses"/>
    <s v="Accessories"/>
    <s v="ACC-SUN-01"/>
    <n v="1"/>
    <n v="16.989999999999998"/>
    <s v="WELCOME10"/>
    <s v="$1.70"/>
    <n v="5.99"/>
    <s v="$21.28"/>
    <s v="Apple Pay"/>
    <x v="0"/>
    <s v="fulfilled"/>
    <s v="United Kingdom"/>
    <m/>
    <s v="Not Required"/>
    <s v="Port Darrylville"/>
  </r>
  <r>
    <s v="#1543"/>
    <d v="2026-08-04T14:02:45"/>
    <d v="2026-08-04T14:02:45"/>
    <m/>
    <x v="0"/>
    <s v="samuel.smith76@outlook.com"/>
    <s v="Adjustable Dumbbell Set"/>
    <s v="Sports &amp; Outdoors"/>
    <s v="SP-DMB-ADJ"/>
    <n v="3"/>
    <n v="89.99"/>
    <m/>
    <n v="0"/>
    <n v="0"/>
    <n v="269.97000000000003"/>
    <s v="Credit Card"/>
    <x v="0"/>
    <s v="fulfilled"/>
    <s v="United Kingdom"/>
    <m/>
    <s v="Not Required"/>
    <s v="South Andrewmouth"/>
  </r>
  <r>
    <s v="#1544"/>
    <d v="2026-08-04T14:05:22"/>
    <d v="2026-08-04T14:05:22"/>
    <s v="Nancy Williams"/>
    <x v="0"/>
    <s v="nancy.williams148@outlook.com"/>
    <s v="Throw Blanket - Fleece"/>
    <s v="Home &amp; Kitchen"/>
    <s v="HK-BLK-FLC"/>
    <n v="1"/>
    <n v="17.989999999999998"/>
    <m/>
    <n v="0"/>
    <n v="4.99"/>
    <n v="22.98"/>
    <s v="PayPal"/>
    <x v="1"/>
    <s v="pending"/>
    <s v="United States"/>
    <s v="Georgia"/>
    <s v="Valid"/>
    <s v="North Austin"/>
  </r>
  <r>
    <s v="#1545"/>
    <d v="2026-08-04T13:59:42"/>
    <d v="2026-08-04T13:59:42"/>
    <s v="Alec Chambers"/>
    <x v="0"/>
    <s v="alec.chambers767@outlook.com"/>
    <s v="Scented Soy Candle - Vanilla"/>
    <s v="Home &amp; Kitchen"/>
    <s v="HK-CND-VAN"/>
    <n v="1"/>
    <n v="9.99"/>
    <s v="SAVE20"/>
    <n v="2"/>
    <n v="7.99"/>
    <n v="15.98"/>
    <s v="Credit Card"/>
    <x v="0"/>
    <s v="fulfilled"/>
    <s v="Canada"/>
    <m/>
    <s v="Not Required"/>
    <s v="Shawnton"/>
  </r>
  <r>
    <s v="#1546"/>
    <d v="2026-08-04T00:00:00"/>
    <s v="Aug 04, 2026"/>
    <s v="Kenneth Coleman"/>
    <x v="0"/>
    <s v="kenneth.coleman447@icloud.com"/>
    <s v="Kids Building Blocks Set"/>
    <s v="Toys"/>
    <s v="TOY-BLK-SET"/>
    <n v="1"/>
    <n v="27.99"/>
    <s v="FREESHIP"/>
    <n v="0"/>
    <n v="0"/>
    <n v="27.99"/>
    <s v="Google Pay"/>
    <x v="1"/>
    <s v="fulfilled"/>
    <s v="United States"/>
    <s v="California"/>
    <s v="Valid"/>
    <s v="New Amy"/>
  </r>
  <r>
    <s v="#1547"/>
    <d v="2026-04-08T00:00:00"/>
    <s v="08/04/2026"/>
    <s v="Nicholas Parker"/>
    <x v="0"/>
    <s v="nicholas.parker656@yahoo.com"/>
    <s v="Classic Cotton T-Shirt"/>
    <s v="Apparel"/>
    <s v="TSH-BLK-L"/>
    <n v="1"/>
    <n v="14.99"/>
    <m/>
    <n v="0"/>
    <n v="5.99"/>
    <n v="20.98"/>
    <s v="Apple Pay"/>
    <x v="1"/>
    <s v="fulfilled"/>
    <s v="United States"/>
    <s v="New York"/>
    <s v="Valid"/>
    <s v="East Carla"/>
  </r>
  <r>
    <s v="#1548"/>
    <d v="2026-08-04T00:00:00"/>
    <s v="04-08-2026 14:03"/>
    <s v="Timothy Maldonado"/>
    <x v="0"/>
    <s v="timothy.maldonado551@gmail.com"/>
    <s v="Non-Stick Frying Pan 10in"/>
    <s v="Home &amp; Kitchen"/>
    <s v="HK-PAN-10"/>
    <n v="2"/>
    <n v="24.99"/>
    <s v="SAVE20"/>
    <n v="10"/>
    <n v="5.99"/>
    <n v="45.97"/>
    <s v="Credit Card"/>
    <x v="0"/>
    <s v="refunded"/>
    <s v="United States"/>
    <s v="California"/>
    <s v="Valid"/>
    <s v="Andrewfurt"/>
  </r>
  <r>
    <s v="#1549"/>
    <d v="2026-08-04T13:59:16"/>
    <d v="2026-08-04T13:59:16"/>
    <s v="Aaron Thompson"/>
    <x v="0"/>
    <s v="aaron.thompson601@yahoo.com"/>
    <s v="Yoga Mat - Extra Thick"/>
    <s v="Sports &amp; Outdoors"/>
    <s v="SP-YGM-EX"/>
    <n v="1"/>
    <n v="22.99"/>
    <s v="FREESHIP"/>
    <n v="0"/>
    <n v="0"/>
    <n v="22.99"/>
    <s v="PayPal"/>
    <x v="0"/>
    <s v="pending"/>
    <s v="Canada"/>
    <m/>
    <s v="Not Required"/>
    <s v="West Kevin"/>
  </r>
  <r>
    <s v="#1550"/>
    <d v="2026-08-04T13:57:00"/>
    <d v="2026-08-04T13:57:00"/>
    <s v="Samantha Robinson"/>
    <x v="0"/>
    <s v="samantha.robinson35@icloud.com"/>
    <s v="Kids Building Blocks Set"/>
    <s v="Toys"/>
    <s v="TOY-BLK-SET"/>
    <n v="1"/>
    <n v="27.99"/>
    <s v="BFCM25"/>
    <n v="7"/>
    <n v="5.99"/>
    <n v="26.98"/>
    <s v="Apple Pay"/>
    <x v="3"/>
    <s v="pending"/>
    <s v="Australia"/>
    <m/>
    <s v="Not Required"/>
    <s v="Angelastad"/>
  </r>
  <r>
    <s v="#1551"/>
    <d v="2026-08-04T13:59:05"/>
    <d v="2026-08-04T13:59:05"/>
    <s v="Gerald Li"/>
    <x v="0"/>
    <s v="gerald.li856@icloud.com"/>
    <s v="Yoga Mat - Extra Thick"/>
    <s v="Sports &amp; Outdoors"/>
    <s v="SP-YGM-EX"/>
    <n v="1"/>
    <n v="22.99"/>
    <s v="SAVE20"/>
    <n v="4.5999999999999996"/>
    <n v="4.99"/>
    <s v="$23.38"/>
    <s v="Apple Pay"/>
    <x v="0"/>
    <s v="fulfilled"/>
    <s v="United States"/>
    <s v="Arizona"/>
    <s v="Valid"/>
    <s v="Lake Brittanymouth"/>
  </r>
  <r>
    <s v="#1552"/>
    <d v="2026-08-04T13:58:43"/>
    <d v="2026-08-04T13:58:43"/>
    <s v="Amanda Harris"/>
    <x v="0"/>
    <s v="amanda.harris197@gmail.com"/>
    <s v="Slim Fit Denim Jeans"/>
    <s v="Apparel"/>
    <s v="JNS-BLU-32"/>
    <n v="1"/>
    <n v="39.99"/>
    <s v="BFCM25"/>
    <n v="10"/>
    <n v="4.99"/>
    <n v="34.979999999999997"/>
    <s v="Credit Card"/>
    <x v="2"/>
    <s v="pending"/>
    <s v="United States"/>
    <s v="California"/>
    <s v="Valid"/>
    <s v="Port Lisa"/>
  </r>
  <r>
    <s v="#1553"/>
    <d v="2026-08-04T13:58:55"/>
    <d v="2026-08-04T13:58:55"/>
    <s v="SETH PRICE"/>
    <x v="0"/>
    <s v="seth.price179@gmail.com"/>
    <s v="Scented Soy Candle - Vanilla"/>
    <s v="Home &amp; Kitchen"/>
    <s v="HK-CND-VAN"/>
    <n v="1"/>
    <n v="9.99"/>
    <m/>
    <n v="0"/>
    <n v="7.99"/>
    <n v="17.98"/>
    <s v="PayPal"/>
    <x v="0"/>
    <s v="fulfilled"/>
    <s v="United States"/>
    <s v="Texas"/>
    <s v="Valid"/>
    <s v="Port Kimberlyborough"/>
  </r>
  <r>
    <s v="#1554"/>
    <d v="2026-08-04T14:05:20"/>
    <d v="2026-08-04T14:05:20"/>
    <s v="Kiara Burke"/>
    <x v="0"/>
    <s v="kiara.burke246@yahoo.com"/>
    <s v="Throw Blanket - Fleece  "/>
    <s v="Home &amp; Kitchen"/>
    <s v="HK-BLK-FLC"/>
    <n v="2"/>
    <n v="17.989999999999998"/>
    <s v="SAVE20"/>
    <n v="7.2"/>
    <n v="5.99"/>
    <n v="34.770000000000003"/>
    <s v="Shopify Payments"/>
    <x v="3"/>
    <s v="fulfilled"/>
    <s v="Germany"/>
    <m/>
    <s v="Not Required"/>
    <s v="Port James"/>
  </r>
  <r>
    <s v="#1555"/>
    <d v="2026-08-04T14:08:10"/>
    <d v="2026-08-04T14:08:10"/>
    <s v="Samantha Robinson"/>
    <x v="0"/>
    <s v="samantha.robinson35@icloud.com"/>
    <s v="Resistance Bands Set"/>
    <s v="Sports &amp; Outdoors"/>
    <s v="SP-RBS-SET"/>
    <n v="2"/>
    <n v="13.99"/>
    <m/>
    <n v="0"/>
    <n v="5.99"/>
    <s v="$33.97"/>
    <s v="Apple Pay"/>
    <x v="0"/>
    <s v="pending"/>
    <s v="Australia"/>
    <m/>
    <s v="Not Required"/>
    <s v="Lake Kaylee"/>
  </r>
  <r>
    <s v="#1556"/>
    <d v="2026-08-04T00:00:00"/>
    <s v="Aug 04, 2026"/>
    <s v="Anthony Mullen"/>
    <x v="0"/>
    <s v="anthony.mullen523@yahoo.com"/>
    <s v="Stainless Steel Water Bottle"/>
    <s v="Home &amp; Kitchen"/>
    <s v="HK-BTL-750"/>
    <n v="1"/>
    <n v="12.99"/>
    <m/>
    <n v="0"/>
    <n v="7.99"/>
    <n v="20.98"/>
    <s v="Apple Pay"/>
    <x v="1"/>
    <s v="fulfilled"/>
    <s v="United States"/>
    <s v="Arizona"/>
    <s v="Valid"/>
    <s v="New Aaronfort"/>
  </r>
  <r>
    <s v="#1557"/>
    <d v="2026-08-04T14:08:24"/>
    <d v="2026-08-04T14:08:24"/>
    <s v="Randy Wheeler"/>
    <x v="0"/>
    <s v="randy.wheeler304@icloud.com"/>
    <s v="Wireless Bluetooth Earbuds"/>
    <s v="Electronics"/>
    <s v="ELC-WBE-01"/>
    <n v="1"/>
    <n v="29.99"/>
    <s v="SAVE20"/>
    <n v="6"/>
    <n v="5.99"/>
    <n v="29.98"/>
    <s v="Credit Card"/>
    <x v="0"/>
    <s v="fulfilled"/>
    <s v="United States"/>
    <s v="North Carolina"/>
    <s v="Valid"/>
    <s v="East Nicole"/>
  </r>
  <r>
    <s v="#1558"/>
    <d v="2026-08-04T13:56:12"/>
    <d v="2026-08-04T13:56:12"/>
    <s v="Frank White"/>
    <x v="0"/>
    <s v="frank.white670@icloud.com"/>
    <s v="Running Shoes - Men's"/>
    <s v="Footwear"/>
    <s v="FTW-RUN-M"/>
    <n v="1"/>
    <n v="54.99"/>
    <s v="VIP15"/>
    <n v="8.25"/>
    <n v="5.99"/>
    <n v="52.73"/>
    <s v="Credit Card"/>
    <x v="0"/>
    <s v="fulfilled"/>
    <s v="United States"/>
    <s v="Georgia"/>
    <s v="Valid"/>
    <s v="Port Cherylhaven"/>
  </r>
  <r>
    <s v="#1559"/>
    <d v="2026-08-04T14:07:42"/>
    <d v="2026-08-04T14:07:42"/>
    <s v="Samuel Padilla"/>
    <x v="0"/>
    <s v="samuel.padilla79@gmail.com"/>
    <s v="Classic Cotton T-Shirt"/>
    <s v="Apparel"/>
    <s v="TSH-BLK-L"/>
    <n v="1"/>
    <n v="14.99"/>
    <s v="SAVE20"/>
    <n v="3"/>
    <n v="7.99"/>
    <n v="19.98"/>
    <s v="Credit Card"/>
    <x v="0"/>
    <s v="fulfilled"/>
    <s v="United States"/>
    <s v="Washington"/>
    <s v="Valid"/>
    <s v="Port Eileen"/>
  </r>
  <r>
    <s v="#1560"/>
    <d v="2026-08-04T00:00:00"/>
    <s v="04-08-2026 13:55"/>
    <s v="Mary Garcia"/>
    <x v="0"/>
    <s v="mary.garcia899@icloud.com"/>
    <s v="Classic Cotton T-Shirt"/>
    <s v="Apparel"/>
    <s v="TSH-BLK-M"/>
    <n v="1"/>
    <n v="14.99"/>
    <s v="SAVE20"/>
    <n v="3"/>
    <n v="7.99"/>
    <n v="19.98"/>
    <s v="PayPal"/>
    <x v="0"/>
    <s v="fulfilled"/>
    <s v="Canada"/>
    <m/>
    <s v="Not Required"/>
    <s v="South Jeremiah"/>
  </r>
  <r>
    <s v="#1561"/>
    <d v="2026-08-04T14:05:59"/>
    <d v="2026-08-04T14:05:59"/>
    <s v="Sandra Wilson"/>
    <x v="0"/>
    <s v="sandra.wilson554@outlook.com"/>
    <s v="Non-Stick Frying Pan 10in"/>
    <s v="Home &amp; Kitchen"/>
    <s v="HK-PAN-10"/>
    <n v="1"/>
    <n v="24.99"/>
    <s v="FREESHIP"/>
    <n v="0"/>
    <n v="0"/>
    <n v="24.99"/>
    <s v="PayPal"/>
    <x v="1"/>
    <s v="cancelled"/>
    <s v="Canada"/>
    <m/>
    <s v="Not Required"/>
    <s v="Port Jordan"/>
  </r>
  <r>
    <s v="#1562"/>
    <d v="2026-08-04T13:55:14"/>
    <d v="2026-08-04T13:55:14"/>
    <s v="Michael Hays"/>
    <x v="0"/>
    <s v="michael.hays590@gmail.com"/>
    <s v="Backpack - 25L"/>
    <s v="Accessories"/>
    <s v="ACC-BPK-25L"/>
    <n v="1"/>
    <n v="32.99"/>
    <m/>
    <n v="0"/>
    <n v="5.99"/>
    <n v="38.979999999999997"/>
    <s v="Shopify Payments"/>
    <x v="0"/>
    <s v="fulfilled"/>
    <s v="United States"/>
    <s v="Ohio"/>
    <s v="Valid"/>
    <s v="Contrerasview"/>
  </r>
  <r>
    <s v="#1563"/>
    <d v="2026-08-04T14:07:53"/>
    <d v="2026-08-04T14:07:53"/>
    <s v="Patricia Townsend"/>
    <x v="0"/>
    <s v="patricia.townsend96@yahoo.com"/>
    <s v="Classic Cotton T-Shirt"/>
    <s v="Apparel"/>
    <s v="TSH-BLK-L"/>
    <n v="2"/>
    <n v="14.99"/>
    <s v="FREESHIP"/>
    <n v="0"/>
    <n v="0"/>
    <n v="29.98"/>
    <s v="Google Pay"/>
    <x v="2"/>
    <s v="pending"/>
    <s v="United States"/>
    <s v="Florida"/>
    <s v="Valid"/>
    <s v="Reedmouth"/>
  </r>
  <r>
    <s v="#1564"/>
    <d v="2026-08-04T14:03:42"/>
    <d v="2026-08-04T14:03:42"/>
    <s v="Nicholas Jarvis"/>
    <x v="0"/>
    <s v="nicholas.jarvis112@icloud.com"/>
    <s v="Phone Case - Clear"/>
    <s v="Electronics"/>
    <s v="ELC-CSE-CLR"/>
    <n v="1"/>
    <n v="8.99"/>
    <m/>
    <n v="0"/>
    <n v="5.99"/>
    <n v="14.98"/>
    <s v="Google Pay"/>
    <x v="0"/>
    <s v="fulfilled"/>
    <s v="Canada"/>
    <m/>
    <s v="Not Required"/>
    <s v="North Anthonyland"/>
  </r>
  <r>
    <s v="#1565"/>
    <d v="2026-08-04T13:53:49"/>
    <d v="2026-08-04T13:53:49"/>
    <s v="Debbie Joseph"/>
    <x v="0"/>
    <s v="debbie.joseph531@outlook.com"/>
    <s v="Backpack - 25L"/>
    <s v="Accessories"/>
    <s v="ACC-BPK-25L"/>
    <n v="3"/>
    <n v="32.99"/>
    <s v="SAVE20"/>
    <n v="19.79"/>
    <n v="0"/>
    <s v="$79.18"/>
    <s v="PayPal"/>
    <x v="0"/>
    <s v="refunded"/>
    <s v="United States"/>
    <s v="Illinois"/>
    <s v="Valid"/>
    <s v="Hoodberg"/>
  </r>
  <r>
    <s v="#1566"/>
    <d v="2026-08-04T14:07:45"/>
    <d v="2026-08-04T14:07:45"/>
    <s v="Daniel Contreras"/>
    <x v="0"/>
    <s v="daniel.contreras749@yahoo.com"/>
    <s v="Yoga Mat - Extra Thick"/>
    <s v="Sports &amp; Outdoors"/>
    <s v="SP-YGM-EX"/>
    <n v="1"/>
    <n v="22.99"/>
    <s v="VIP15"/>
    <n v="3.45"/>
    <n v="4.99"/>
    <n v="24.53"/>
    <s v="PayPal"/>
    <x v="0"/>
    <s v="fulfilled"/>
    <s v="Australia"/>
    <m/>
    <s v="Not Required"/>
    <s v="West Philip"/>
  </r>
  <r>
    <s v="#1567"/>
    <d v="2026-08-04T13:57:47"/>
    <d v="2026-08-04T13:57:47"/>
    <s v="Timothy Hodges"/>
    <x v="0"/>
    <s v="timothy.hodges687@icloud.com"/>
    <s v="Running Shoes - Women's"/>
    <s v="Footwear"/>
    <s v="FTW-RUN-W"/>
    <n v="1"/>
    <s v="$54.99"/>
    <s v="VIP15"/>
    <n v="8.25"/>
    <n v="7.99"/>
    <n v="54.73"/>
    <s v="Apple Pay"/>
    <x v="3"/>
    <s v="fulfilled"/>
    <s v="Australia"/>
    <m/>
    <s v="Not Required"/>
    <s v="Port Cynthia"/>
  </r>
  <r>
    <s v="#1568"/>
    <d v="2026-08-04T13:59:08"/>
    <d v="2026-08-04T13:59:08"/>
    <s v="Heather Davis"/>
    <x v="0"/>
    <s v="heather.davis117@icloud.com"/>
    <s v="Kids Building Blocks Set"/>
    <s v="Toys"/>
    <s v="TOY-BLK-SET"/>
    <n v="1"/>
    <n v="27.99"/>
    <s v="SAVE20"/>
    <n v="5.6"/>
    <n v="7.99"/>
    <n v="30.38"/>
    <s v="Apple Pay"/>
    <x v="1"/>
    <s v="cancelled"/>
    <s v="Germany"/>
    <m/>
    <s v="Not Required"/>
    <s v="East Katelynberg"/>
  </r>
  <r>
    <s v="#1569"/>
    <d v="2026-08-04T13:54:17"/>
    <d v="2026-08-04T13:54:17"/>
    <s v="Robert Boyd"/>
    <x v="0"/>
    <s v="robert.boyd184@yahoo.com"/>
    <s v="Portable Power Bank 10000mAh"/>
    <s v="Electronics"/>
    <s v="ELC-PWB-10K"/>
    <n v="1"/>
    <n v="21.99"/>
    <s v="WELCOME10"/>
    <n v="2.2000000000000002"/>
    <n v="5.99"/>
    <n v="25.78"/>
    <s v="Google Pay"/>
    <x v="0"/>
    <s v="pending"/>
    <s v="Canada"/>
    <m/>
    <s v="Not Required"/>
    <s v="New Davidmouth"/>
  </r>
  <r>
    <s v="#1570"/>
    <d v="2026-08-04T13:59:53"/>
    <d v="2026-08-04T13:59:53"/>
    <s v="Rodriguez, Devon"/>
    <x v="0"/>
    <s v="devon.rodriguez635@outlook.com"/>
    <s v="Vitamin C Serum 30ml"/>
    <s v="Beauty"/>
    <s v="BTY-SRM-30"/>
    <n v="1"/>
    <n v="24.99"/>
    <m/>
    <n v="0"/>
    <n v="7.99"/>
    <n v="32.979999999999997"/>
    <s v="Apple Pay"/>
    <x v="0"/>
    <s v="fulfilled"/>
    <s v="United States"/>
    <s v="North Carolina"/>
    <s v="Valid"/>
    <s v="New Joseph"/>
  </r>
  <r>
    <s v="#1571"/>
    <d v="2026-08-04T14:04:48"/>
    <d v="2026-08-04T14:04:48"/>
    <s v="Shelly Griffith"/>
    <x v="0"/>
    <s v="shelly.griffith342@icloud.com"/>
    <s v="Classic Cotton T-Shirt"/>
    <s v="Apparel"/>
    <s v="TSH-BLK-L"/>
    <n v="1"/>
    <s v="$14.99"/>
    <s v="WELCOME10 "/>
    <n v="1.5"/>
    <n v="7.99"/>
    <n v="21.48"/>
    <s v="Shopify Payments"/>
    <x v="3"/>
    <s v="cancelled"/>
    <s v="Australia"/>
    <m/>
    <s v="Not Required"/>
    <s v="West Stephanie"/>
  </r>
  <r>
    <s v="#1572"/>
    <d v="2026-08-04T14:00:14"/>
    <d v="2026-08-04T14:00:14"/>
    <s v="Andrea Gallegos"/>
    <x v="1"/>
    <m/>
    <s v="Running Shoes - Men's"/>
    <s v="Footwear"/>
    <s v="FTW-RUN-M"/>
    <n v="1"/>
    <n v="54.99"/>
    <s v="FREESHIP"/>
    <s v="$0.00"/>
    <n v="0"/>
    <n v="54.99"/>
    <s v="PayPal"/>
    <x v="0"/>
    <s v="pending"/>
    <s v="Germany"/>
    <m/>
    <s v="Not Required"/>
    <s v="Ashleybury"/>
  </r>
  <r>
    <s v="#1573"/>
    <d v="2026-08-04T00:00:00"/>
    <s v="04-08-2026 14:00"/>
    <s v="Samuel Padilla"/>
    <x v="0"/>
    <s v="samuel.padilla79@gmail.com"/>
    <s v="Vitamin C Serum 30ml"/>
    <s v="Beauty"/>
    <s v="BTY-SRM-30"/>
    <n v="1"/>
    <n v="24.99"/>
    <m/>
    <n v="0"/>
    <n v="7.99"/>
    <n v="32.979999999999997"/>
    <s v="Apple Pay"/>
    <x v="0"/>
    <s v="cancelled"/>
    <s v="United States"/>
    <s v="NC"/>
    <s v="Valid"/>
    <s v="Cameronport"/>
  </r>
  <r>
    <s v="#1574"/>
    <d v="2026-08-04T14:05:31"/>
    <d v="2026-08-04T14:05:31"/>
    <s v="Brian Ruiz"/>
    <x v="0"/>
    <s v="brian.ruiz246@gmail.com"/>
    <s v="Vitamin C Serum 30ml"/>
    <s v="Beauty"/>
    <s v="BTY-SRM-30"/>
    <n v="1"/>
    <n v="24.99"/>
    <m/>
    <n v="0"/>
    <n v="7.99"/>
    <n v="32.979999999999997"/>
    <s v="Google Pay"/>
    <x v="0"/>
    <s v="refunded"/>
    <s v="Germany"/>
    <m/>
    <s v="Not Required"/>
    <s v="Ericchester"/>
  </r>
  <r>
    <s v="#1575"/>
    <d v="2026-08-04T13:56:43"/>
    <d v="2026-08-04T13:56:43"/>
    <s v="Timothy Curry"/>
    <x v="0"/>
    <s v="timothy.curry5@gmail.com"/>
    <s v="Scented Soy Candle - Vanilla"/>
    <s v="Home &amp; Kitchen"/>
    <s v="HK-CND-VAN"/>
    <n v="1"/>
    <s v="$9.99"/>
    <s v="BFCM25"/>
    <n v="2.5"/>
    <n v="4.99"/>
    <n v="12.48"/>
    <s v="Apple Pay"/>
    <x v="3"/>
    <s v="refunded"/>
    <s v="United States"/>
    <s v="Ohio"/>
    <s v="Valid"/>
    <s v="Port Paigeview"/>
  </r>
  <r>
    <s v="#1576"/>
    <d v="2026-08-04T13:57:25"/>
    <d v="2026-08-04T13:57:25"/>
    <s v="Kayla Lee"/>
    <x v="0"/>
    <s v="kayla.lee278@yahoo.com"/>
    <s v="Vitamin C Serum 30ml"/>
    <s v="Beauty"/>
    <s v="BTY-SRM-30"/>
    <n v="2"/>
    <n v="24.99"/>
    <s v="WELCOME10"/>
    <n v="5"/>
    <n v="5.99"/>
    <n v="50.97"/>
    <s v="Shopify Payments"/>
    <x v="0"/>
    <s v="fulfilled"/>
    <s v="United Kingdom"/>
    <m/>
    <s v="Not Required"/>
    <s v="Edwardsmouth"/>
  </r>
  <r>
    <s v="#1577"/>
    <d v="2026-08-04T13:56:34"/>
    <d v="2026-08-04T13:56:34"/>
    <s v="Megan Dickson"/>
    <x v="0"/>
    <s v="megan.dickson508@gmail.com"/>
    <s v="Backpack - 25L"/>
    <s v="Accessories"/>
    <s v="ACC-BPK-25L"/>
    <n v="1"/>
    <s v="$32.99"/>
    <m/>
    <n v="0"/>
    <n v="4.99"/>
    <n v="37.979999999999997"/>
    <s v="Google Pay"/>
    <x v="0"/>
    <s v="pending"/>
    <s v="United Kingdom"/>
    <m/>
    <s v="Not Required"/>
    <s v="Deckerton"/>
  </r>
  <r>
    <s v="#1578"/>
    <d v="2026-08-04T00:00:00"/>
    <s v="Aug 04, 2026"/>
    <s v="Kimberly Johnson"/>
    <x v="0"/>
    <s v="kimberly.johnson443@icloud.com"/>
    <s v="USB-C Fast Charger 20W"/>
    <s v="Electronics"/>
    <s v="ELC-CHG-20"/>
    <n v="1"/>
    <n v="15.49"/>
    <m/>
    <n v="0"/>
    <n v="5.99"/>
    <n v="21.48"/>
    <s v="Google Pay"/>
    <x v="2"/>
    <s v="fulfilled"/>
    <s v="Australia"/>
    <m/>
    <s v="Not Required"/>
    <s v="Maryburgh"/>
  </r>
  <r>
    <s v="#1579"/>
    <d v="2026-08-04T13:54:41"/>
    <d v="2026-08-04T13:54:41"/>
    <s v="Nicole Taylor"/>
    <x v="1"/>
    <m/>
    <s v="Wireless Bluetooth Earbuds"/>
    <s v="Electronics"/>
    <s v="ELC-WBE-01"/>
    <n v="1"/>
    <n v="29.99"/>
    <m/>
    <n v="0"/>
    <n v="7.99"/>
    <n v="37.979999999999997"/>
    <s v="Apple Pay"/>
    <x v="2"/>
    <s v="fulfilled"/>
    <s v="United States"/>
    <s v="North Carolina"/>
    <s v="Valid"/>
    <s v="East Andrew"/>
  </r>
  <r>
    <s v="#1580"/>
    <d v="2026-08-04T00:00:00"/>
    <s v="Aug 04, 2026"/>
    <s v="Brian Ruiz"/>
    <x v="0"/>
    <s v="brian.ruiz246@gmail.com"/>
    <s v="Non-Stick Frying Pan 10in"/>
    <s v="Home &amp; Kitchen"/>
    <s v="HK-PAN-10"/>
    <n v="1"/>
    <n v="24.99"/>
    <s v="WELCOME10"/>
    <n v="2.5"/>
    <n v="5.99"/>
    <s v="$28.48"/>
    <s v="PayPal"/>
    <x v="2"/>
    <s v="fulfilled"/>
    <s v="Germany"/>
    <m/>
    <s v="Not Required"/>
    <s v="Hermanbury"/>
  </r>
  <r>
    <s v="#1581"/>
    <d v="2026-08-04T13:58:53"/>
    <d v="2026-08-04T13:58:53"/>
    <s v="Darin Alvarez"/>
    <x v="0"/>
    <s v="darin.alvarez843@gmail.com"/>
    <s v="Polarized Sunglasses"/>
    <s v="Accessories"/>
    <s v="ACC-SUN-01"/>
    <n v="1"/>
    <n v="16.989999999999998"/>
    <s v="BFCM25"/>
    <n v="4.25"/>
    <n v="7.99"/>
    <n v="20.73"/>
    <s v="Shopify Payments"/>
    <x v="0"/>
    <s v="refunded"/>
    <s v="Canada"/>
    <m/>
    <s v="Not Required"/>
    <s v="Alanfort"/>
  </r>
  <r>
    <s v="#1582"/>
    <d v="2026-08-04T13:59:49"/>
    <d v="2026-08-04T13:59:49"/>
    <s v="mary phillips"/>
    <x v="1"/>
    <m/>
    <s v="Polarized Sunglasses"/>
    <s v="Accessories"/>
    <s v="ACC-SUN-01"/>
    <n v="2"/>
    <n v="16.989999999999998"/>
    <s v="SAVE20"/>
    <n v="6.8"/>
    <n v="4.99"/>
    <n v="32.17"/>
    <s v="Shopify Payments"/>
    <x v="1"/>
    <s v="fulfilled"/>
    <s v="United States"/>
    <s v="New York"/>
    <s v="Valid"/>
    <s v="East Thomasview"/>
  </r>
  <r>
    <s v="#1583"/>
    <d v="2026-08-04T14:02:34"/>
    <d v="2026-08-04T14:02:34"/>
    <s v="Joel Williams"/>
    <x v="0"/>
    <s v="joel.williams850@gmail.com"/>
    <s v="Wireless Bluetooth Earbuds"/>
    <s v="Electronics"/>
    <s v="ELC-WBE-01"/>
    <n v="1"/>
    <s v="$29.99"/>
    <m/>
    <n v="0"/>
    <n v="4.99"/>
    <n v="34.979999999999997"/>
    <s v="Shopify Payments"/>
    <x v="0"/>
    <s v="fulfilled"/>
    <s v="United States"/>
    <s v="Florida"/>
    <s v="Valid"/>
    <s v="Lake Marilyn"/>
  </r>
  <r>
    <s v="#1584"/>
    <d v="2026-08-04T14:04:11"/>
    <d v="2026-08-04T14:04:11"/>
    <s v="Brian Ruiz"/>
    <x v="0"/>
    <s v="brian.ruiz246@gmail.com"/>
    <s v="Resistance Bands Set"/>
    <s v="Sports &amp; Outdoors"/>
    <s v="SP-RBS-SET"/>
    <n v="2"/>
    <n v="13.99"/>
    <m/>
    <n v="0"/>
    <n v="4.99"/>
    <n v="32.97"/>
    <s v="Credit Card"/>
    <x v="2"/>
    <s v="fulfilled"/>
    <s v="Germany"/>
    <m/>
    <s v="Not Required"/>
    <s v="Leahfort"/>
  </r>
  <r>
    <s v="#1585"/>
    <d v="2026-08-04T14:03:26"/>
    <d v="2026-08-04T14:03:26"/>
    <s v="Ronald Johnson"/>
    <x v="0"/>
    <s v="ronald.johnson972@icloud.com"/>
    <s v="Resistance Bands Set"/>
    <s v="Sports &amp; Outdoors"/>
    <s v="SP-RBS-SET"/>
    <n v="1"/>
    <n v="13.99"/>
    <s v="SAVE20"/>
    <n v="2.8"/>
    <n v="4.99"/>
    <n v="16.18"/>
    <s v="Credit Card"/>
    <x v="0"/>
    <s v="fulfilled"/>
    <s v="Germany"/>
    <m/>
    <s v="Not Required"/>
    <s v="Hamptonbury"/>
  </r>
  <r>
    <s v="#1586"/>
    <d v="2026-08-04T13:53:48"/>
    <d v="2026-08-04T13:53:48"/>
    <s v="Kenneth Davis"/>
    <x v="1"/>
    <m/>
    <s v="Running Shoes   Men's"/>
    <s v="Footwear"/>
    <s v="FTW-RUN-M"/>
    <n v="2"/>
    <n v="54.99"/>
    <s v="SAVE20"/>
    <s v="$22.00"/>
    <n v="0"/>
    <n v="87.98"/>
    <s v="Google Pay"/>
    <x v="1"/>
    <s v="fulfilled"/>
    <s v="United States"/>
    <s v="NY"/>
    <s v="Valid"/>
    <s v="South Jeremyside"/>
  </r>
  <r>
    <s v="#1587"/>
    <d v="2026-04-08T00:00:00"/>
    <s v="08/04/2026"/>
    <s v="Lauren Nguyen"/>
    <x v="0"/>
    <s v="lauren.nguyen819@outlook.com"/>
    <s v="Resistance Bands Set"/>
    <s v="Sports &amp; Outdoors"/>
    <s v="SP-RBS-SET"/>
    <n v="1"/>
    <n v="13.99"/>
    <m/>
    <n v="0"/>
    <n v="4.99"/>
    <n v="18.98"/>
    <s v="Google Pay"/>
    <x v="3"/>
    <s v="refunded"/>
    <s v="United Kingdom"/>
    <m/>
    <s v="Not Required"/>
    <s v="Lake Ashley"/>
  </r>
  <r>
    <s v="#1588"/>
    <d v="2026-08-04T00:00:00"/>
    <s v="2026-08-04"/>
    <s v="Thomas Rivera"/>
    <x v="0"/>
    <s v="thomas.rivera720@yahoo.com"/>
    <s v="Facial Cleanser 200ml"/>
    <s v="Beauty"/>
    <s v="BTY-CLN-200"/>
    <n v="1"/>
    <n v="13.49"/>
    <m/>
    <n v="0"/>
    <n v="7.99"/>
    <n v="21.48"/>
    <s v="Credit Card"/>
    <x v="0"/>
    <s v="fulfilled"/>
    <s v="United States"/>
    <s v="California"/>
    <s v="Valid"/>
    <s v="East Scott"/>
  </r>
  <r>
    <s v="#1589"/>
    <d v="2026-08-04T13:54:18"/>
    <d v="2026-08-04T13:54:18"/>
    <s v="Matthew Riley"/>
    <x v="0"/>
    <s v="matthew.riley309@yahoo.com"/>
    <s v="Backpack - 25L"/>
    <s v="Accessories"/>
    <s v="ACC-BPK-25L"/>
    <n v="1"/>
    <n v="32.99"/>
    <m/>
    <n v="0"/>
    <n v="7.99"/>
    <n v="40.98"/>
    <s v="Apple Pay"/>
    <x v="0"/>
    <s v="refunded"/>
    <s v="Canada"/>
    <m/>
    <s v="Not Required"/>
    <s v="Josehaven"/>
  </r>
  <r>
    <s v="#1590"/>
    <d v="2026-08-04T00:00:00"/>
    <s v="04-08-2026 13:54"/>
    <s v="kaitlyn hernandez"/>
    <x v="0"/>
    <s v="kaitlyn.hernandez192@gmail.com"/>
    <s v="Wireless Bluetooth Earbuds"/>
    <s v="Electronics"/>
    <s v="ELC-WBE-01"/>
    <n v="1"/>
    <n v="29.99"/>
    <s v="WELCOME10"/>
    <n v="3"/>
    <n v="5.99"/>
    <n v="32.979999999999997"/>
    <s v="Credit Card"/>
    <x v="0"/>
    <s v="pending"/>
    <s v="Pakistan"/>
    <m/>
    <s v="Not Required"/>
    <s v="Ianside"/>
  </r>
  <r>
    <s v="#1591"/>
    <d v="2026-08-04T00:00:00"/>
    <s v="Aug 04, 2026"/>
    <s v="Jesus Mason"/>
    <x v="0"/>
    <s v="jesus.mason798@icloud.com"/>
    <s v="Ceramic Coffee Mug Set (4pc)"/>
    <s v="Home &amp; Kitchen"/>
    <s v="HK-MUG-4PK"/>
    <n v="1"/>
    <n v="18.989999999999998"/>
    <s v="VIP15"/>
    <n v="2.85"/>
    <n v="4.99"/>
    <s v="$21.13"/>
    <s v="Credit Card"/>
    <x v="2"/>
    <s v="fulfilled"/>
    <s v="United States"/>
    <s v="Georgia"/>
    <s v="Valid"/>
    <s v="Ramirezfurt"/>
  </r>
  <r>
    <s v="#1592"/>
    <d v="2026-08-04T13:56:36"/>
    <d v="2026-08-04T13:56:36"/>
    <s v="Lisa Zuniga"/>
    <x v="0"/>
    <s v="lisa.zuniga825@outlook.com"/>
    <s v="Classic Cotton T-Shirt"/>
    <s v="Apparel"/>
    <s v="TSH-BLK-L"/>
    <n v="2"/>
    <n v="14.99"/>
    <m/>
    <n v="0"/>
    <n v="7.99"/>
    <n v="37.97"/>
    <s v="Shopify Payments"/>
    <x v="0"/>
    <s v="refunded"/>
    <s v="Germany"/>
    <m/>
    <s v="Not Required"/>
    <s v="Tyronemouth"/>
  </r>
  <r>
    <s v="#1593"/>
    <d v="2026-08-04T13:56:39"/>
    <d v="2026-08-04T13:56:39"/>
    <s v="Sergio Turner"/>
    <x v="0"/>
    <s v="sergio.turner744@outlook.com"/>
    <s v="Ceramic Coffee Mug Set (4pc)"/>
    <s v="Home &amp; Kitchen"/>
    <s v="HK-MUG-4PK"/>
    <n v="2"/>
    <n v="18.989999999999998"/>
    <s v="BFCM25"/>
    <n v="9.49"/>
    <n v="4.99"/>
    <n v="33.479999999999997"/>
    <s v="Apple Pay"/>
    <x v="1"/>
    <s v="fulfilled"/>
    <s v="Germany"/>
    <m/>
    <s v="Not Required"/>
    <s v="Angelaville"/>
  </r>
  <r>
    <s v="#1594"/>
    <d v="2026-08-04T14:06:20"/>
    <d v="2026-08-04T14:06:20"/>
    <s v="Anthony Parker"/>
    <x v="0"/>
    <s v="anthony.parker256@icloud.com"/>
    <s v="Backpack - 25L"/>
    <s v="Accessories"/>
    <s v="ACC-BPK-25L"/>
    <n v="2"/>
    <n v="32.99"/>
    <s v="FREESHIP"/>
    <n v="0"/>
    <n v="0"/>
    <n v="65.98"/>
    <s v="Google Pay"/>
    <x v="0"/>
    <s v="pending"/>
    <s v="United Kingdom"/>
    <m/>
    <s v="Not Required"/>
    <s v="Wallerland"/>
  </r>
  <r>
    <s v="#1595"/>
    <d v="2026-04-08T00:00:00"/>
    <s v="08/04/2026"/>
    <s v="Angela Carr"/>
    <x v="0"/>
    <s v="angela.carr488@yahoo.com"/>
    <s v="USB-C Fast Charger 20W"/>
    <s v="Electronics"/>
    <s v="ELC-CHG-20"/>
    <n v="1"/>
    <n v="15.49"/>
    <m/>
    <n v="0"/>
    <n v="4.99"/>
    <n v="20.48"/>
    <s v="Google Pay"/>
    <x v="0"/>
    <s v="fulfilled"/>
    <s v="United States"/>
    <s v="WA"/>
    <s v="Valid"/>
    <s v="South Melissa"/>
  </r>
  <r>
    <s v="#1596"/>
    <d v="2026-08-04T13:58:43"/>
    <d v="2026-08-04T13:58:43"/>
    <s v="Stephanie Mcdonald"/>
    <x v="0"/>
    <s v="stephanie.mcdonald873@icloud.com"/>
    <s v="Ceramic Coffee Mug Set (4pc)"/>
    <s v="Home &amp; Kitchen"/>
    <s v="HK-MUG-4PK"/>
    <n v="1"/>
    <n v="18.989999999999998"/>
    <s v="FREESHIP"/>
    <n v="0"/>
    <n v="0"/>
    <n v="18.989999999999998"/>
    <s v="Google Pay"/>
    <x v="1"/>
    <s v="fulfilled"/>
    <s v="Australia"/>
    <m/>
    <s v="Not Required"/>
    <s v="Wilsonstad"/>
  </r>
  <r>
    <s v="#1597"/>
    <d v="2026-08-04T00:00:00"/>
    <s v="04-08-2026 13:56"/>
    <s v="Omar Sanders"/>
    <x v="0"/>
    <s v="omar.sanders208@outlook.com"/>
    <s v="Stainless Steel Water Bottle"/>
    <s v="Home &amp; Kitchen"/>
    <s v="HK-BTL-750"/>
    <n v="1"/>
    <n v="12.99"/>
    <s v="FREESHIP"/>
    <n v="0"/>
    <n v="0"/>
    <n v="12.99"/>
    <s v="Shopify Payments"/>
    <x v="2"/>
    <s v="fulfilled"/>
    <s v="United Kingdom"/>
    <m/>
    <s v="Not Required"/>
    <s v="East Pamela"/>
  </r>
  <r>
    <s v="#1598"/>
    <d v="2026-08-04T00:00:00"/>
    <s v="2026-08-04"/>
    <s v="Jennifer Burke"/>
    <x v="0"/>
    <s v="jennifer.burke472@icloud.com"/>
    <s v="Stainless Steel Water Bottle"/>
    <s v="Home &amp; Kitchen"/>
    <s v="HK-BTL-750"/>
    <n v="1"/>
    <n v="12.99"/>
    <s v="WELCOME10"/>
    <n v="1.3"/>
    <n v="5.99"/>
    <n v="17.68"/>
    <s v="Shopify Payments"/>
    <x v="3"/>
    <s v="fulfilled"/>
    <s v="Pakistan"/>
    <m/>
    <s v="Not Required"/>
    <s v="Banksshire"/>
  </r>
  <r>
    <s v="#1599"/>
    <d v="2026-08-04T14:01:23"/>
    <d v="2026-08-04T14:01:23"/>
    <s v="Lauren Nguyen"/>
    <x v="0"/>
    <s v="lauren.nguyen819@outlook.com"/>
    <s v="Wireless Mouse"/>
    <s v="Electronics"/>
    <s v="ELC-MSE-WL"/>
    <n v="2"/>
    <n v="11.99"/>
    <s v="FREESHIP"/>
    <n v="0"/>
    <n v="0"/>
    <n v="23.98"/>
    <s v="PayPal"/>
    <x v="0"/>
    <s v="refunded"/>
    <s v="United Kingdom"/>
    <m/>
    <s v="Not Required"/>
    <s v="East Aprilshire"/>
  </r>
  <r>
    <s v="#1600"/>
    <d v="2026-08-04T13:54:51"/>
    <d v="2026-08-04T13:54:51"/>
    <s v="Jesus Mason"/>
    <x v="0"/>
    <s v="jesus.mason798@icloud.com"/>
    <s v="Classic Cotton T-Shirt"/>
    <s v="Apparel"/>
    <s v="TSH-BLK-L"/>
    <n v="4"/>
    <n v="14.99"/>
    <m/>
    <n v="0"/>
    <n v="7.99"/>
    <n v="67.95"/>
    <s v="Shopify Payments"/>
    <x v="1"/>
    <s v="refunded"/>
    <s v="United States"/>
    <s v="California"/>
    <s v="Valid"/>
    <s v="Sarahmouth"/>
  </r>
  <r>
    <s v="#1601"/>
    <d v="2026-08-04T14:07:21"/>
    <d v="2026-08-04T14:07:21"/>
    <s v="Tasha Morales"/>
    <x v="0"/>
    <s v="tasha.morales378@outlook.com"/>
    <s v="Resistance Bands Set"/>
    <s v="Sports &amp; Outdoors"/>
    <s v="SP-RBS-SET"/>
    <n v="1"/>
    <n v="13.99"/>
    <s v="WELCOME10"/>
    <n v="1.4"/>
    <n v="5.99"/>
    <n v="18.579999999999998"/>
    <s v="PayPal"/>
    <x v="0"/>
    <s v="cancelled"/>
    <s v="United States"/>
    <s v="Arizona"/>
    <s v="Valid"/>
    <s v="New Katherine"/>
  </r>
  <r>
    <s v="#1602"/>
    <d v="2026-08-04T14:04:05"/>
    <d v="2026-08-04T14:04:05"/>
    <s v="Sarah Hart"/>
    <x v="0"/>
    <s v="sarah.hart267@yahoo.com"/>
    <s v="Portable Power Bank 10000mAh"/>
    <s v="Electronics"/>
    <s v="ELC-PWB-10K"/>
    <n v="1"/>
    <s v="$21.99"/>
    <s v="SAVE20"/>
    <n v="4.4000000000000004"/>
    <n v="4.99"/>
    <n v="22.58"/>
    <s v="Shopify Payments"/>
    <x v="0"/>
    <s v="fulfilled"/>
    <s v="United Kingdom"/>
    <m/>
    <s v="Not Required"/>
    <s v="Alexisville"/>
  </r>
  <r>
    <s v="#1603"/>
    <d v="2026-08-04T14:01:47"/>
    <d v="2026-08-04T14:01:47"/>
    <s v="Timothy Hodges"/>
    <x v="0"/>
    <s v="timothy.hodges687@icloud.com"/>
    <s v="Throw Blanket - Fleece"/>
    <s v="Home &amp; Kitchen"/>
    <s v="HK-BLK-FLC"/>
    <n v="2"/>
    <n v="17.989999999999998"/>
    <m/>
    <n v="0"/>
    <n v="7.99"/>
    <n v="43.97"/>
    <s v="PayPal"/>
    <x v="2"/>
    <s v="fulfilled"/>
    <s v="Australia"/>
    <m/>
    <s v="Not Required"/>
    <s v="Taylortown"/>
  </r>
  <r>
    <s v="#1604"/>
    <d v="2026-08-04T14:06:19"/>
    <d v="2026-08-04T14:06:19"/>
    <m/>
    <x v="0"/>
    <s v="samuel.padilla79@gmail.com"/>
    <s v="Adjustable Dumbbell Set"/>
    <s v="Sports &amp; Outdoors"/>
    <s v="SP-DMB-ADJ"/>
    <n v="1"/>
    <n v="89.99"/>
    <m/>
    <n v="0"/>
    <n v="0"/>
    <n v="89.99"/>
    <s v="Apple Pay"/>
    <x v="0"/>
    <s v="fulfilled"/>
    <s v="United States"/>
    <s v="Washington"/>
    <s v="Valid"/>
    <s v="West Douglas"/>
  </r>
  <r>
    <s v="#1605"/>
    <d v="2026-08-04T13:58:58"/>
    <d v="2026-08-04T13:58:58"/>
    <s v="Brady Garcia"/>
    <x v="0"/>
    <s v="brady.garcia57@yahoo.com"/>
    <s v="Vitamin C Serum 30ml"/>
    <s v="Beauty"/>
    <s v="BTY-SRM-30"/>
    <n v="1"/>
    <n v="24.99"/>
    <s v="WELCOME10"/>
    <n v="2.5"/>
    <n v="7.99"/>
    <n v="30.48"/>
    <s v="Credit Card"/>
    <x v="1"/>
    <s v="pending"/>
    <s v="Australia"/>
    <m/>
    <s v="Not Required"/>
    <s v="Elliottchester"/>
  </r>
  <r>
    <s v="#1606"/>
    <d v="2026-08-04T13:58:13"/>
    <d v="2026-08-04T13:58:13"/>
    <s v="Christopher Harrington"/>
    <x v="0"/>
    <s v="christopher.harrington960@gmail.com"/>
    <s v="Polarized Sunglasses"/>
    <s v="Accessories"/>
    <s v="ACC-SUN-01"/>
    <n v="2"/>
    <n v="16.989999999999998"/>
    <s v="FREESHIP"/>
    <s v="$0.00"/>
    <n v="0"/>
    <n v="33.979999999999997"/>
    <s v="Shopify Payments"/>
    <x v="0"/>
    <s v="pending"/>
    <s v="Australia"/>
    <m/>
    <s v="Not Required"/>
    <s v="Dalestad"/>
  </r>
  <r>
    <s v="#1607"/>
    <d v="2026-08-04T14:02:11"/>
    <d v="2026-08-04T14:02:11"/>
    <s v="Brooke Crawford"/>
    <x v="0"/>
    <s v="brooke.crawford896@outlook.com"/>
    <s v="Leather Wallet - Brown"/>
    <s v="Accessories"/>
    <s v="ACC-WLT-BRN"/>
    <n v="1"/>
    <n v="19.989999999999998"/>
    <m/>
    <n v="0"/>
    <n v="4.99"/>
    <n v="24.98"/>
    <s v="Shopify Payments"/>
    <x v="2"/>
    <s v="cancelled"/>
    <s v="Pakistan"/>
    <m/>
    <s v="Not Required"/>
    <s v="Allentown"/>
  </r>
  <r>
    <s v="#1608"/>
    <d v="2026-08-04T14:04:14"/>
    <d v="2026-08-04T14:04:14"/>
    <s v="Sara Hernandez"/>
    <x v="0"/>
    <s v="sara.hernandez651@icloud.com"/>
    <s v="Classic Cotton T-Shirt"/>
    <s v="Apparel"/>
    <s v="TSH-BLK-L"/>
    <n v="1"/>
    <n v="14.99"/>
    <s v="FREESHIP"/>
    <n v="0"/>
    <n v="0"/>
    <n v="14.99"/>
    <s v="Shopify Payments"/>
    <x v="0"/>
    <s v="cancelled"/>
    <s v="United States"/>
    <s v="New York"/>
    <s v="Valid"/>
    <s v="Port Valerie"/>
  </r>
  <r>
    <s v="#1609"/>
    <d v="2026-08-04T14:05:24"/>
    <d v="2026-08-04T14:05:24"/>
    <s v="Taylor Davis"/>
    <x v="1"/>
    <m/>
    <s v="Wireless Mouse"/>
    <s v="Electronics"/>
    <s v="ELC-MSE-WL"/>
    <n v="1"/>
    <n v="11.99"/>
    <m/>
    <n v="0"/>
    <n v="5.99"/>
    <n v="17.98"/>
    <s v="PayPal"/>
    <x v="3"/>
    <s v="refunded"/>
    <s v="United States"/>
    <s v="FL"/>
    <s v="Valid"/>
    <s v="Baileyfort"/>
  </r>
  <r>
    <s v="#1610"/>
    <d v="2026-08-04T13:59:32"/>
    <d v="2026-08-04T13:59:32"/>
    <s v="Brittney Conway"/>
    <x v="0"/>
    <s v="brittney.conway383@outlook.com"/>
    <s v="Scented Soy Candle - Vanilla"/>
    <s v="Home &amp; Kitchen"/>
    <s v="HK-CND-VAN"/>
    <n v="1"/>
    <n v="9.99"/>
    <m/>
    <n v="0"/>
    <n v="7.99"/>
    <n v="17.98"/>
    <s v="PayPal"/>
    <x v="0"/>
    <s v="refunded"/>
    <s v="United States"/>
    <s v="Florida"/>
    <s v="Valid"/>
    <s v="Sullivanside"/>
  </r>
  <r>
    <s v="#1611"/>
    <d v="2026-08-04T13:58:20"/>
    <d v="2026-08-04T13:58:20"/>
    <s v="Michael Hays"/>
    <x v="0"/>
    <s v="michael.hays590@gmail.com"/>
    <s v="Classic Cotton T-Shirt"/>
    <s v="Apparel"/>
    <s v="TSH-BLK-L"/>
    <n v="1"/>
    <n v="14.99"/>
    <s v="VIP15"/>
    <n v="2.25"/>
    <n v="4.99"/>
    <n v="17.73"/>
    <s v="Credit Card"/>
    <x v="0"/>
    <s v="pending"/>
    <s v="United States"/>
    <s v="Texas"/>
    <s v="Valid"/>
    <s v="Leblanchaven"/>
  </r>
  <r>
    <s v="#1612"/>
    <d v="2026-08-04T14:05:18"/>
    <d v="2026-08-04T14:05:18"/>
    <s v="Timothy Weaver"/>
    <x v="0"/>
    <s v="timothy.weaver591@gmail.com"/>
    <s v="Leather Wallet - Brown"/>
    <s v="Accessories"/>
    <s v="ACC-WLT-BRN"/>
    <n v="2"/>
    <n v="19.989999999999998"/>
    <m/>
    <n v="0"/>
    <n v="7.99"/>
    <n v="47.97"/>
    <s v="Apple Pay"/>
    <x v="1"/>
    <s v="refunded"/>
    <s v="Australia"/>
    <m/>
    <s v="Not Required"/>
    <s v="Billyton"/>
  </r>
  <r>
    <s v="#1613"/>
    <d v="2026-08-04T13:55:42"/>
    <d v="2026-08-04T13:55:42"/>
    <s v="Amanda Rodriguez"/>
    <x v="0"/>
    <s v="amanda.rodriguez770@yahoo.com"/>
    <s v="Hooded Sweatshirt"/>
    <s v="Apparel"/>
    <s v="APR-HOD-GRY"/>
    <n v="1"/>
    <n v="34.99"/>
    <m/>
    <n v="0"/>
    <n v="4.99"/>
    <n v="39.979999999999997"/>
    <s v="PayPal"/>
    <x v="1"/>
    <s v="pending"/>
    <s v="United States"/>
    <s v="GA"/>
    <s v="Valid"/>
    <s v="West Joseph"/>
  </r>
  <r>
    <s v="#1614"/>
    <d v="2026-08-04T13:54:12"/>
    <d v="2026-08-04T13:54:12"/>
    <s v="Daniel Hill"/>
    <x v="1"/>
    <m/>
    <s v="Classic Cotton T-Shirt"/>
    <s v="Apparel"/>
    <s v="TSH-BLK-L"/>
    <n v="1"/>
    <n v="14.99"/>
    <s v="WELCOME10"/>
    <n v="1.5"/>
    <n v="4.99"/>
    <s v="$18.48"/>
    <s v="Apple Pay"/>
    <x v="0"/>
    <s v="pending"/>
    <s v="Australia"/>
    <m/>
    <s v="Not Required"/>
    <s v="Calvinshire"/>
  </r>
  <r>
    <s v="#1615"/>
    <d v="2026-08-04T14:03:37"/>
    <d v="2026-08-04T14:03:37"/>
    <s v="Matthew Riley"/>
    <x v="0"/>
    <s v="matthew.riley309@yahoo.com"/>
    <s v="Running Shoes - Men's"/>
    <s v="Footwear"/>
    <s v="FTW-RUN-M"/>
    <n v="1"/>
    <n v="54.99"/>
    <m/>
    <n v="0"/>
    <n v="4.99"/>
    <n v="59.98"/>
    <s v="Shopify Payments"/>
    <x v="3"/>
    <s v="pending"/>
    <s v="Canada"/>
    <m/>
    <s v="Not Required"/>
    <s v="Millerton"/>
  </r>
  <r>
    <s v="#1616"/>
    <d v="2026-08-04T00:00:00"/>
    <s v="04-08-2026 14:05"/>
    <s v="Heather Davis"/>
    <x v="0"/>
    <s v="heather.davis117@icloud.com"/>
    <s v="Backpack - 25L"/>
    <s v="Accessories"/>
    <s v="ACC-BPK-25L"/>
    <n v="2"/>
    <n v="32.99"/>
    <m/>
    <n v="0"/>
    <n v="5.99"/>
    <s v="$71.97"/>
    <s v="PayPal"/>
    <x v="2"/>
    <s v="refunded"/>
    <s v="Germany"/>
    <m/>
    <s v="Not Required"/>
    <s v="Lake Jacob"/>
  </r>
  <r>
    <s v="#1617"/>
    <d v="2026-04-08T00:00:00"/>
    <s v="08/04/2026"/>
    <s v="James Mason"/>
    <x v="0"/>
    <s v="james.mason603@gmail.com"/>
    <s v="Scented Soy Candle - Vanilla"/>
    <s v="Home &amp; Kitchen"/>
    <s v="HK-CND-VAN"/>
    <n v="2"/>
    <n v="9.99"/>
    <m/>
    <n v="0"/>
    <n v="4.99"/>
    <n v="24.97"/>
    <s v="Apple Pay"/>
    <x v="1"/>
    <s v="fulfilled"/>
    <s v="Pakistan"/>
    <m/>
    <s v="Not Required"/>
    <s v="Williamsshire"/>
  </r>
  <r>
    <s v="#1618"/>
    <d v="2026-08-04T13:56:00"/>
    <d v="2026-08-04T13:56:00"/>
    <s v="Christopher Martin"/>
    <x v="0"/>
    <s v="christopher.martin10@gmail.com"/>
    <s v="Slim Fit Denim Jeans"/>
    <s v="Apparel"/>
    <s v="JNS-BLU-32"/>
    <n v="1"/>
    <n v="39.99"/>
    <s v="FREESHIP"/>
    <s v="$0.00"/>
    <n v="0"/>
    <n v="39.99"/>
    <s v="Apple Pay"/>
    <x v="0"/>
    <s v="fulfilled"/>
    <s v="United States"/>
    <s v="Florida"/>
    <s v="Valid"/>
    <s v="Brittanyburgh"/>
  </r>
  <r>
    <s v="#1619"/>
    <d v="2026-04-08T00:00:00"/>
    <s v="08/04/2026"/>
    <s v="Peter Alvarez"/>
    <x v="0"/>
    <s v="peter.alvarez465@yahoo.com"/>
    <s v="Phone Case - Clear"/>
    <s v="Electronics"/>
    <s v="ELC-CSE-CLR"/>
    <n v="1"/>
    <n v="8.99"/>
    <s v="BFCM25"/>
    <n v="2.25"/>
    <n v="5.99"/>
    <n v="12.73"/>
    <s v="Credit Card"/>
    <x v="3"/>
    <s v="fulfilled"/>
    <s v="United States"/>
    <s v="Illinois"/>
    <s v="Valid"/>
    <s v="Vincentborough"/>
  </r>
  <r>
    <s v="#1620"/>
    <d v="2026-08-04T13:55:24"/>
    <d v="2026-08-04T13:55:24"/>
    <s v="Darin Alvarez"/>
    <x v="0"/>
    <s v="darin.alvarez843@gmail.com"/>
    <s v="USB-C Fast Charger 20W"/>
    <s v="Electronics"/>
    <s v="ELC-CHG-20"/>
    <n v="2"/>
    <n v="15.49"/>
    <s v="WELCOME10"/>
    <n v="3.1"/>
    <n v="7.99"/>
    <n v="35.869999999999997"/>
    <s v="Credit Card"/>
    <x v="2"/>
    <s v="fulfilled"/>
    <s v="Canada"/>
    <m/>
    <s v="Not Required"/>
    <s v="South Justin"/>
  </r>
  <r>
    <s v="#1621"/>
    <d v="2026-08-04T14:06:09"/>
    <d v="2026-08-04T14:06:09"/>
    <s v="Ryan Jones"/>
    <x v="0"/>
    <s v="ryan.jones314@gmail.com"/>
    <s v="Running Shoes - Women's"/>
    <s v="Footwear"/>
    <s v="FTW-RUN-W"/>
    <n v="3"/>
    <s v="$54.99"/>
    <m/>
    <n v="0"/>
    <n v="0"/>
    <n v="164.97"/>
    <s v="Credit Card"/>
    <x v="0"/>
    <s v="fulfilled"/>
    <s v="Australia"/>
    <m/>
    <s v="Not Required"/>
    <s v="Mariaport"/>
  </r>
  <r>
    <s v="#1622"/>
    <d v="2026-08-04T14:01:33"/>
    <d v="2026-08-04T14:01:33"/>
    <s v="Stephanie Mcgee"/>
    <x v="0"/>
    <s v="stephanie.mcgee557@outlook.com"/>
    <s v="Hooded Sweatshirt"/>
    <s v="Apparel"/>
    <s v="APR-HOD-GRY"/>
    <n v="1"/>
    <n v="34.99"/>
    <m/>
    <n v="0"/>
    <n v="5.99"/>
    <n v="40.98"/>
    <s v="PayPal"/>
    <x v="1"/>
    <s v="fulfilled"/>
    <s v="Australia"/>
    <m/>
    <s v="Not Required"/>
    <s v="Catherineside"/>
  </r>
  <r>
    <s v="#1623"/>
    <d v="2026-08-04T13:58:20"/>
    <d v="2026-08-04T13:58:20"/>
    <s v="Mark Woods"/>
    <x v="0"/>
    <s v="mark.woods108@yahoo.com"/>
    <s v="Ceramic Coffee Mug Set (4pc)"/>
    <s v="Home &amp; Kitchen"/>
    <s v="HK-MUG-4PK"/>
    <n v="2"/>
    <n v="18.989999999999998"/>
    <s v="BFCM25"/>
    <n v="9.49"/>
    <n v="5.99"/>
    <n v="34.479999999999997"/>
    <s v="Credit Card"/>
    <x v="2"/>
    <s v="pending"/>
    <s v="United States"/>
    <s v="GA"/>
    <s v="Valid"/>
    <s v="New James"/>
  </r>
  <r>
    <s v="#1624"/>
    <d v="2026-08-04T13:55:58"/>
    <d v="2026-08-04T13:55:58"/>
    <s v="Morgan Johnson"/>
    <x v="1"/>
    <m/>
    <s v="Backpack - 25L"/>
    <s v="Accessories"/>
    <s v="ACC-BPK-25L"/>
    <n v="3"/>
    <n v="32.99"/>
    <m/>
    <n v="0"/>
    <n v="0"/>
    <n v="98.97"/>
    <s v="Shopify Payments"/>
    <x v="2"/>
    <s v="fulfilled"/>
    <s v="Canada"/>
    <m/>
    <s v="Not Required"/>
    <s v="Thomaston"/>
  </r>
  <r>
    <s v="#1625"/>
    <d v="2026-08-04T14:02:34"/>
    <d v="2026-08-04T14:02:34"/>
    <s v="thomas vazquez"/>
    <x v="0"/>
    <s v="thomas.vazquez673@icloud.com"/>
    <s v="Wireless Mouse"/>
    <s v="Electronics"/>
    <s v="ELC-MSE-WL"/>
    <n v="1"/>
    <n v="11.99"/>
    <m/>
    <n v="0"/>
    <n v="4.99"/>
    <n v="16.98"/>
    <s v="PayPal"/>
    <x v="0"/>
    <s v="fulfilled"/>
    <s v="Germany"/>
    <m/>
    <s v="Not Required"/>
    <s v="New Oliviaborough"/>
  </r>
  <r>
    <s v="#1626"/>
    <d v="2026-04-08T00:00:00"/>
    <s v="08/04/2026"/>
    <s v="Amanda Harris"/>
    <x v="0"/>
    <s v="amanda.harris197@gmail.com"/>
    <s v="Portable Power Bank 10000mAh"/>
    <s v="Electronics"/>
    <s v="ELC-PWB-10K"/>
    <n v="2"/>
    <n v="21.99"/>
    <m/>
    <n v="0"/>
    <n v="4.99"/>
    <n v="48.97"/>
    <s v="Apple Pay"/>
    <x v="3"/>
    <s v="fulfilled"/>
    <s v="United States"/>
    <s v="Illinois"/>
    <s v="Valid"/>
    <s v="Jenniferborough"/>
  </r>
  <r>
    <s v="#1627"/>
    <d v="2026-08-04T14:01:44"/>
    <d v="2026-08-04T14:01:44"/>
    <s v="Cody Murray"/>
    <x v="0"/>
    <s v="cody.murray456@gmail.com"/>
    <s v="Kids Building Blocks Set"/>
    <s v="Toys"/>
    <s v="TOY-BLK-SET"/>
    <n v="4"/>
    <n v="27.99"/>
    <m/>
    <n v="0"/>
    <n v="0"/>
    <n v="111.96"/>
    <s v="PayPal"/>
    <x v="0"/>
    <s v="pending"/>
    <s v="United Kingdom"/>
    <m/>
    <s v="Not Required"/>
    <s v="Sierrachester"/>
  </r>
  <r>
    <s v="#1628"/>
    <d v="2026-08-04T13:53:27"/>
    <d v="2026-08-04T13:53:27"/>
    <s v="Robert Lopez"/>
    <x v="0"/>
    <s v="robert.lopez980@outlook.com"/>
    <s v="Facial Cleanser 200ml"/>
    <s v="Beauty"/>
    <s v="BTY-CLN-200"/>
    <n v="1"/>
    <n v="13.49"/>
    <m/>
    <n v="0"/>
    <n v="4.99"/>
    <n v="18.48"/>
    <s v="PayPal"/>
    <x v="0"/>
    <s v="fulfilled"/>
    <s v="Germany"/>
    <m/>
    <s v="Not Required"/>
    <s v="Port Jeffreymouth"/>
  </r>
  <r>
    <s v="#1629"/>
    <d v="2026-04-08T00:00:00"/>
    <s v="08/04/2026"/>
    <s v="Rose Campos"/>
    <x v="0"/>
    <s v="rose.campos542@gmail.com"/>
    <s v="Throw Blanket - Fleece"/>
    <s v="Home &amp; Kitchen"/>
    <s v="HK-BLK-FLC"/>
    <n v="2"/>
    <n v="17.989999999999998"/>
    <m/>
    <n v="0"/>
    <n v="5.99"/>
    <n v="41.97"/>
    <s v="Credit Card"/>
    <x v="0"/>
    <s v="fulfilled"/>
    <s v="Canada"/>
    <m/>
    <s v="Not Required"/>
    <s v="Ryanton"/>
  </r>
  <r>
    <s v="#1630"/>
    <d v="2026-04-08T00:00:00"/>
    <s v="08/04/2026"/>
    <s v="Miller, Alexandria"/>
    <x v="0"/>
    <s v="alexandria.miller414@outlook.com"/>
    <s v="Adjustable Dumbbell Set"/>
    <s v="Sports &amp; Outdoors"/>
    <s v="SP-DMB-ADJ"/>
    <n v="1"/>
    <n v="89.99"/>
    <s v="VIP15"/>
    <n v="13.5"/>
    <n v="0"/>
    <n v="76.489999999999995"/>
    <s v="Google Pay"/>
    <x v="0"/>
    <s v="fulfilled"/>
    <s v="Australia"/>
    <m/>
    <s v="Not Required"/>
    <s v="Evansfort"/>
  </r>
  <r>
    <s v="#1631"/>
    <d v="2026-08-04T13:59:26"/>
    <d v="2026-08-04T13:59:26"/>
    <s v="Kayla Cruz"/>
    <x v="0"/>
    <s v="kayla.cruz151@outlook.com"/>
    <s v="Kids Building Blocks Set"/>
    <s v="Toys"/>
    <s v="TOY-BLK-SET"/>
    <n v="1"/>
    <n v="27.99"/>
    <m/>
    <n v="0"/>
    <n v="7.99"/>
    <n v="35.979999999999997"/>
    <s v="Credit Card"/>
    <x v="1"/>
    <s v="fulfilled"/>
    <s v="Pakistan"/>
    <m/>
    <s v="Not Required"/>
    <s v="Anitamouth"/>
  </r>
  <r>
    <s v="#1633"/>
    <d v="2026-08-04T13:58:56"/>
    <d v="2026-08-04T13:58:56"/>
    <s v="Gloria Ballard"/>
    <x v="0"/>
    <s v="gloria.ballard194@outlook.com"/>
    <s v="Leather Wallet - Brown"/>
    <s v="Accessories"/>
    <s v="ACC-WLT-BRN"/>
    <n v="1"/>
    <n v="19.989999999999998"/>
    <s v="VIP15"/>
    <n v="3"/>
    <n v="5.99"/>
    <n v="22.98"/>
    <s v="Credit Card"/>
    <x v="3"/>
    <s v="refunded"/>
    <s v="Germany"/>
    <m/>
    <s v="Not Required"/>
    <s v="East Jenniferport"/>
  </r>
  <r>
    <s v="#1634"/>
    <d v="2026-08-04T14:00:41"/>
    <d v="2026-08-04T14:00:41"/>
    <s v="THOMAS ROJAS"/>
    <x v="0"/>
    <s v="thomas.rojas667@icloud.com"/>
    <s v="Vitamin C Serum 30ml"/>
    <s v="Beauty"/>
    <s v="BTY-SRM-30"/>
    <n v="1"/>
    <n v="24.99"/>
    <m/>
    <n v="0"/>
    <n v="5.99"/>
    <n v="30.98"/>
    <s v="Shopify Payments"/>
    <x v="1"/>
    <s v="fulfilled"/>
    <s v="United States"/>
    <s v="California"/>
    <s v="Valid"/>
    <s v="Williamsborough"/>
  </r>
  <r>
    <s v="#1635"/>
    <d v="2026-08-04T13:57:48"/>
    <d v="2026-08-04T13:57:48"/>
    <s v="Timothy Santos"/>
    <x v="0"/>
    <s v="timothy.santos549@outlook.com"/>
    <s v="Kids Building Blocks Set"/>
    <s v="Toys"/>
    <s v="TOY-BLK-SET"/>
    <n v="1"/>
    <n v="27.99"/>
    <s v="WELCOME10"/>
    <n v="2.8"/>
    <n v="4.99"/>
    <s v="$30.18"/>
    <s v="Google Pay"/>
    <x v="1"/>
    <s v="refunded"/>
    <s v="United Kingdom"/>
    <m/>
    <s v="Not Required"/>
    <s v="New Kelly"/>
  </r>
  <r>
    <s v="#1636"/>
    <d v="2026-08-04T14:01:54"/>
    <d v="2026-08-04T14:01:54"/>
    <s v="Franco, Charles"/>
    <x v="0"/>
    <s v="charles.franco761@outlook.com"/>
    <s v="Slim Fit Denim Jeans"/>
    <s v="Apparel"/>
    <s v="JNS-BLU-32"/>
    <n v="3"/>
    <n v="39.99"/>
    <m/>
    <s v="$0.00"/>
    <n v="0"/>
    <n v="119.97"/>
    <s v="Shopify Payments"/>
    <x v="0"/>
    <s v="fulfilled"/>
    <s v="United States"/>
    <s v="Florida"/>
    <s v="Valid"/>
    <s v="North Kristineview"/>
  </r>
  <r>
    <s v="#1637"/>
    <d v="2026-08-04T13:59:08"/>
    <d v="2026-08-04T13:59:08"/>
    <s v="Kaitlyn Hernandez"/>
    <x v="0"/>
    <s v="kaitlyn.hernandez192@gmail.com"/>
    <s v="Running Shoes - Men's"/>
    <s v="Footwear"/>
    <s v="FTW-RUN-M"/>
    <n v="1"/>
    <n v="54.99"/>
    <m/>
    <n v="0"/>
    <n v="7.99"/>
    <n v="62.98"/>
    <s v="PayPal"/>
    <x v="0"/>
    <s v="pending"/>
    <s v="Pakistan"/>
    <m/>
    <s v="Not Required"/>
    <s v="East Seanbury"/>
  </r>
  <r>
    <s v="#1638"/>
    <d v="2026-04-08T00:00:00"/>
    <s v="08/04/2026"/>
    <s v="David Duke"/>
    <x v="0"/>
    <s v="david.duke814@icloud.com"/>
    <s v="Stainless Steel Water Bottle"/>
    <s v="Home &amp; Kitchen"/>
    <s v="HK-BTL-750"/>
    <n v="1"/>
    <n v="12.99"/>
    <m/>
    <s v="$0.00"/>
    <n v="7.99"/>
    <n v="20.98"/>
    <s v="Shopify Payments"/>
    <x v="2"/>
    <s v="fulfilled"/>
    <s v="United States"/>
    <s v="North Carolina"/>
    <s v="Valid"/>
    <s v="Hallmouth"/>
  </r>
  <r>
    <s v="#1639"/>
    <d v="2026-08-04T00:00:00"/>
    <s v="2026-08-04"/>
    <s v="Kimberly Cordova"/>
    <x v="0"/>
    <s v="kimberly.cordova508@icloud.com"/>
    <s v="Ceramic Coffee Mug Set (4pc)"/>
    <s v="Home &amp; Kitchen"/>
    <s v="HK-MUG-4PK"/>
    <n v="2"/>
    <n v="18.989999999999998"/>
    <m/>
    <n v="0"/>
    <n v="7.99"/>
    <n v="45.97"/>
    <s v="Google Pay"/>
    <x v="1"/>
    <s v="cancelled"/>
    <s v="Pakistan"/>
    <m/>
    <s v="Not Required"/>
    <s v="Shannonmouth"/>
  </r>
  <r>
    <s v="#1640"/>
    <d v="2026-08-04T14:02:22"/>
    <d v="2026-08-04T14:02:22"/>
    <s v="Joe Taylor"/>
    <x v="0"/>
    <s v="joe.taylor714@yahoo.com"/>
    <s v="Classic Cotton T-Shirt"/>
    <s v="Apparel"/>
    <s v="TSH-BLK-L"/>
    <n v="2"/>
    <n v="14.99"/>
    <s v="FREESHIP"/>
    <n v="0"/>
    <n v="0"/>
    <n v="29.98"/>
    <s v="Google Pay"/>
    <x v="0"/>
    <s v="fulfilled"/>
    <s v="Germany"/>
    <m/>
    <s v="Not Required"/>
    <s v="West Juliefort"/>
  </r>
  <r>
    <s v="#1641"/>
    <d v="2026-08-04T00:00:00"/>
    <s v="04-08-2026 14:08"/>
    <s v="Brian Ruiz"/>
    <x v="0"/>
    <s v="brian.ruiz246@gmail.com"/>
    <s v="Kids Building Blocks Set"/>
    <s v="Toys"/>
    <s v="TOY-BLK-SET"/>
    <n v="1"/>
    <s v="$27.99"/>
    <s v="WELCOME10"/>
    <n v="2.8"/>
    <n v="7.99"/>
    <n v="33.18"/>
    <s v="Apple Pay"/>
    <x v="3"/>
    <s v="fulfilled"/>
    <s v="Germany"/>
    <m/>
    <s v="Not Required"/>
    <s v="Edwardton"/>
  </r>
  <r>
    <s v="#1642"/>
    <d v="2026-04-08T00:00:00"/>
    <s v="08/04/2026"/>
    <s v="Tracy Adams"/>
    <x v="0"/>
    <s v="tracy.adams712@icloud.com"/>
    <s v="Backpack - 25L"/>
    <s v="Accessories"/>
    <s v="ACC-BPK-25L"/>
    <n v="3"/>
    <n v="32.99"/>
    <m/>
    <n v="0"/>
    <n v="0"/>
    <n v="98.97"/>
    <s v="Shopify Payments"/>
    <x v="0"/>
    <s v="fulfilled"/>
    <s v="United States"/>
    <s v="Florida"/>
    <s v="Valid"/>
    <s v="Lake Ian"/>
  </r>
  <r>
    <s v="#1643"/>
    <d v="2026-08-04T13:53:44"/>
    <d v="2026-08-04T13:53:44"/>
    <s v="David Duke"/>
    <x v="0"/>
    <s v="david.duke814@icloud.com"/>
    <s v="Non-Stick Frying Pan 10in"/>
    <s v="Home &amp; Kitchen"/>
    <s v="HK-PAN-10"/>
    <n v="2"/>
    <n v="24.99"/>
    <s v="WELCOME10"/>
    <n v="5"/>
    <n v="4.99"/>
    <n v="49.97"/>
    <s v="Google Pay"/>
    <x v="0"/>
    <s v="fulfilled"/>
    <s v="United States"/>
    <s v="NY"/>
    <s v="Valid"/>
    <s v="Lake Patriciamouth"/>
  </r>
  <r>
    <s v="#1644"/>
    <d v="2026-08-04T13:56:38"/>
    <d v="2026-08-04T13:56:38"/>
    <s v="Pam Hudson"/>
    <x v="0"/>
    <s v="pam.hudson109@gmail.com"/>
    <s v="Wireless Bluetooth Earbuds"/>
    <s v="Electronics"/>
    <s v="ELC-WBE-01"/>
    <n v="2"/>
    <n v="29.99"/>
    <s v="WELCOME10"/>
    <s v="$6.00"/>
    <n v="7.99"/>
    <s v="$61.97"/>
    <s v="Apple Pay"/>
    <x v="0"/>
    <s v="fulfilled"/>
    <s v="United States"/>
    <s v="Ohio"/>
    <s v="Valid"/>
    <s v="Heidifurt"/>
  </r>
  <r>
    <s v="#1645"/>
    <d v="2026-08-04T13:53:52"/>
    <d v="2026-08-04T13:53:52"/>
    <s v="Jaime Vargas"/>
    <x v="0"/>
    <s v="jaime.vargas795@outlook.com"/>
    <s v="Adjustable Dumbbell Set"/>
    <s v="Sports &amp; Outdoors"/>
    <s v="SP-DMB-ADJ"/>
    <n v="2"/>
    <n v="89.99"/>
    <m/>
    <n v="0"/>
    <n v="0"/>
    <s v="$179.98"/>
    <s v="Apple Pay"/>
    <x v="3"/>
    <s v="cancelled"/>
    <s v="United Kingdom"/>
    <m/>
    <s v="Not Required"/>
    <s v="Alexview"/>
  </r>
  <r>
    <s v="#1646"/>
    <d v="2026-08-04T14:06:20"/>
    <d v="2026-08-04T14:06:20"/>
    <s v="Patrick Stevens"/>
    <x v="0"/>
    <s v="patrick.stevens218@gmail.com"/>
    <s v="Running Shoes - Women's"/>
    <s v="Footwear"/>
    <s v="FTW-RUN-W"/>
    <n v="1"/>
    <n v="54.99"/>
    <s v="VIP15"/>
    <n v="8.25"/>
    <n v="7.99"/>
    <n v="54.73"/>
    <s v="PayPal"/>
    <x v="0"/>
    <s v="refunded"/>
    <s v="Pakistan"/>
    <m/>
    <s v="Not Required"/>
    <s v="Kylieside"/>
  </r>
  <r>
    <s v="#1647"/>
    <d v="2026-08-04T14:03:12"/>
    <d v="2026-08-04T14:03:12"/>
    <s v="James Castro"/>
    <x v="0"/>
    <s v="james.castro923@icloud.com"/>
    <s v="Phone Case - Clear"/>
    <s v="Electronics"/>
    <s v="ELC-CSE-CLR"/>
    <n v="1"/>
    <n v="8.99"/>
    <s v="FREESHIP"/>
    <n v="0"/>
    <n v="0"/>
    <n v="8.99"/>
    <s v="Google Pay"/>
    <x v="0"/>
    <s v="fulfilled"/>
    <s v="Pakistan"/>
    <m/>
    <s v="Not Required"/>
    <s v="Thomasburgh"/>
  </r>
  <r>
    <s v="#1648"/>
    <d v="2026-08-04T13:57:55"/>
    <d v="2026-08-04T13:57:55"/>
    <s v="Timothy Hodges"/>
    <x v="0"/>
    <s v="timothy.hodges687@icloud.com"/>
    <s v="Hooded Sweatshirt"/>
    <s v="Apparel"/>
    <s v="APR-HOD-GRY"/>
    <n v="1"/>
    <n v="34.99"/>
    <m/>
    <n v="0"/>
    <n v="5.99"/>
    <n v="40.98"/>
    <s v="Credit Card"/>
    <x v="0"/>
    <s v="fulfilled"/>
    <s v="Australia"/>
    <m/>
    <s v="Not Required"/>
    <s v="Gregorymouth"/>
  </r>
  <r>
    <s v="#1649"/>
    <d v="2026-08-04T14:02:07"/>
    <d v="2026-08-04T14:02:07"/>
    <s v="Nicole Taylor"/>
    <x v="0"/>
    <s v="nicole.taylor607@icloud.com"/>
    <s v="Throw Blanket - Fleece"/>
    <s v="Home &amp; Kitchen"/>
    <s v="HK-BLK-FLC"/>
    <n v="1"/>
    <n v="17.989999999999998"/>
    <m/>
    <n v="0"/>
    <n v="7.99"/>
    <n v="25.98"/>
    <s v="Apple Pay"/>
    <x v="0"/>
    <s v="fulfilled"/>
    <s v="United States"/>
    <s v="Arizona"/>
    <s v="Valid"/>
    <s v="West Michael"/>
  </r>
  <r>
    <s v="#1650"/>
    <d v="2026-04-08T00:00:00"/>
    <s v="08/04/2026"/>
    <s v="Alan Davis"/>
    <x v="0"/>
    <s v="alan.davis483@icloud.com"/>
    <s v="Scented Soy Candle - Vanilla"/>
    <s v="Home &amp; Kitchen"/>
    <s v="HK-CND-VAN"/>
    <n v="1"/>
    <n v="9.99"/>
    <s v="FREESHIP"/>
    <n v="0"/>
    <n v="0"/>
    <n v="9.99"/>
    <s v="Shopify Payments"/>
    <x v="0"/>
    <s v="cancelled"/>
    <s v="Canada"/>
    <m/>
    <s v="Not Required"/>
    <s v="South Justin"/>
  </r>
  <r>
    <s v="#1651"/>
    <d v="2026-08-04T14:05:45"/>
    <d v="2026-08-04T14:05:45"/>
    <s v="Kevin Williams"/>
    <x v="0"/>
    <s v="kevin.williams971@yahoo.com"/>
    <s v="Backpack - 25L"/>
    <s v="Accessories"/>
    <s v="ACC-BPK-25L"/>
    <n v="2"/>
    <n v="32.99"/>
    <m/>
    <n v="0"/>
    <n v="4.99"/>
    <n v="70.97"/>
    <s v="Credit Card"/>
    <x v="0"/>
    <s v="refunded"/>
    <s v="Pakistan"/>
    <m/>
    <s v="Not Required"/>
    <s v="South Laurenland"/>
  </r>
  <r>
    <s v="#1653"/>
    <d v="2026-08-04T00:00:00"/>
    <s v="04-08-2026 13:53"/>
    <s v="Melinda Williams"/>
    <x v="1"/>
    <m/>
    <s v="Classic Cotton T-Shirt"/>
    <s v="Apparel"/>
    <s v="TSH-BLK-L"/>
    <n v="1"/>
    <n v="14.99"/>
    <m/>
    <n v="0"/>
    <n v="4.99"/>
    <n v="19.98"/>
    <s v="Credit Card"/>
    <x v="0"/>
    <s v="fulfilled"/>
    <s v="United States"/>
    <s v="Ohio"/>
    <s v="Valid"/>
    <s v="South Tinastad"/>
  </r>
  <r>
    <s v="#1654"/>
    <d v="2026-04-08T00:00:00"/>
    <s v="08/04/2026"/>
    <s v="Cheryl Coleman"/>
    <x v="0"/>
    <s v="cheryl.coleman261@icloud.com"/>
    <s v="Resistance Bands Set"/>
    <s v="Sports &amp; Outdoors"/>
    <s v="SP-RBS-SET"/>
    <n v="1"/>
    <n v="13.99"/>
    <m/>
    <n v="0"/>
    <n v="4.99"/>
    <n v="18.98"/>
    <s v="Shopify Payments"/>
    <x v="3"/>
    <s v="pending"/>
    <s v="Pakistan"/>
    <m/>
    <s v="Not Required"/>
    <s v="Meganfort"/>
  </r>
  <r>
    <s v="#1655"/>
    <d v="2026-08-04T00:00:00"/>
    <s v="04-08-2026 13:58"/>
    <s v="Taylor Davis"/>
    <x v="0"/>
    <s v="taylor.davis403@outlook.com"/>
    <s v="Wireless Mouse"/>
    <s v="Electronics"/>
    <s v="ELC-MSE-WL"/>
    <n v="2"/>
    <n v="11.99"/>
    <m/>
    <n v="0"/>
    <n v="4.99"/>
    <n v="28.97"/>
    <s v="PayPal"/>
    <x v="0"/>
    <s v="refunded"/>
    <s v="United States"/>
    <s v="North Carolina"/>
    <s v="Valid"/>
    <s v="Lake Evan"/>
  </r>
  <r>
    <s v="#1656"/>
    <d v="2026-08-04T13:55:52"/>
    <d v="2026-08-04T13:55:52"/>
    <s v="Anthony Vaughn"/>
    <x v="1"/>
    <m/>
    <s v="Ceramic Coffee Mug Set (4pc)"/>
    <s v="Home &amp; Kitchen"/>
    <s v="HK-MUG-4PK"/>
    <n v="1"/>
    <n v="18.989999999999998"/>
    <m/>
    <n v="0"/>
    <n v="5.99"/>
    <n v="24.98"/>
    <s v="PayPal"/>
    <x v="2"/>
    <s v="fulfilled"/>
    <s v="Germany"/>
    <m/>
    <s v="Not Required"/>
    <s v="West Karen"/>
  </r>
  <r>
    <s v="#1657"/>
    <d v="2026-08-04T14:04:28"/>
    <d v="2026-08-04T14:04:28"/>
    <s v="George Green"/>
    <x v="1"/>
    <m/>
    <s v="Portable Power Bank 10000mAh"/>
    <s v="Electronics"/>
    <s v="ELC-PWB-10K"/>
    <n v="1"/>
    <n v="21.99"/>
    <m/>
    <n v="0"/>
    <n v="7.99"/>
    <n v="29.98"/>
    <s v="Google Pay"/>
    <x v="1"/>
    <s v="fulfilled"/>
    <s v="United States"/>
    <s v="North Carolina"/>
    <s v="Valid"/>
    <s v="Port Williamstad"/>
  </r>
  <r>
    <s v="#1658"/>
    <d v="2026-08-04T13:57:03"/>
    <d v="2026-08-04T13:57:03"/>
    <s v="Amanda Robinson"/>
    <x v="0"/>
    <s v="amanda.robinson263@icloud.com"/>
    <s v="Throw Blanket - Fleece"/>
    <s v="Home &amp; Kitchen"/>
    <s v="HK-BLK-FLC"/>
    <n v="1"/>
    <n v="17.989999999999998"/>
    <m/>
    <n v="0"/>
    <n v="4.99"/>
    <n v="22.98"/>
    <s v="PayPal"/>
    <x v="0"/>
    <s v="refunded"/>
    <s v="United States"/>
    <s v="NY"/>
    <s v="Valid"/>
    <s v="Courtneyview"/>
  </r>
  <r>
    <s v="#1659"/>
    <d v="2026-04-08T00:00:00"/>
    <s v="08/04/2026"/>
    <s v="Lindsay Shaw"/>
    <x v="0"/>
    <s v="lindsay.shaw178@icloud.com"/>
    <s v="Classic Cotton T-Shirt"/>
    <s v="Apparel"/>
    <s v="TSH-BLK-M"/>
    <n v="1"/>
    <n v="14.99"/>
    <m/>
    <n v="0"/>
    <n v="7.99"/>
    <n v="22.98"/>
    <s v="Shopify Payments"/>
    <x v="3"/>
    <s v="fulfilled"/>
    <s v="United Kingdom"/>
    <m/>
    <s v="Not Required"/>
    <s v="Carrollchester"/>
  </r>
  <r>
    <s v="#1660"/>
    <d v="2026-08-04T14:06:55"/>
    <d v="2026-08-04T14:06:55"/>
    <s v="Christy Phillips"/>
    <x v="0"/>
    <s v="christy.phillips291@gmail.com"/>
    <s v="Non-Stick Frying Pan 10in"/>
    <s v="Home &amp; Kitchen"/>
    <s v="HK-PAN-10"/>
    <n v="1"/>
    <n v="24.99"/>
    <m/>
    <n v="0"/>
    <n v="5.99"/>
    <n v="30.98"/>
    <s v="Apple Pay"/>
    <x v="3"/>
    <s v="fulfilled"/>
    <s v="Pakistan"/>
    <m/>
    <s v="Not Required"/>
    <s v="Davidchester"/>
  </r>
  <r>
    <s v="#1661"/>
    <d v="2026-08-04T14:07:16"/>
    <d v="2026-08-04T14:07:16"/>
    <s v="Sandra Wilson"/>
    <x v="0"/>
    <s v="sandra.wilson840@outlook.com"/>
    <s v="Facial Cleanser 200ml"/>
    <s v="Beauty"/>
    <s v="BTY-CLN-200"/>
    <n v="1"/>
    <n v="13.49"/>
    <m/>
    <n v="0"/>
    <n v="5.99"/>
    <n v="19.48"/>
    <s v="PayPal"/>
    <x v="0"/>
    <s v="pending"/>
    <s v="United States"/>
    <s v="Washington"/>
    <s v="Valid"/>
    <s v="Lake Tracybury"/>
  </r>
  <r>
    <s v="#1662"/>
    <d v="2026-08-04T14:07:23"/>
    <d v="2026-08-04T14:07:23"/>
    <s v="Johnathan Sloan"/>
    <x v="0"/>
    <s v="johnathan.sloan721@outlook.com"/>
    <s v="Resistance Bands Set"/>
    <s v="Sports &amp; Outdoors"/>
    <s v="SP-RBS-SET"/>
    <n v="1"/>
    <n v="13.99"/>
    <s v="SAVE20 "/>
    <n v="2.8"/>
    <n v="7.99"/>
    <n v="19.18"/>
    <s v="Google Pay"/>
    <x v="0"/>
    <s v="fulfilled"/>
    <s v="Pakistan"/>
    <m/>
    <s v="Not Required"/>
    <s v="North Jefferyberg"/>
  </r>
  <r>
    <s v="#1663"/>
    <d v="2026-08-04T14:02:20"/>
    <d v="2026-08-04T14:02:20"/>
    <s v="Kyle Rice"/>
    <x v="0"/>
    <s v="kyle.rice164@icloud.com"/>
    <s v="Ceramic Coffee Mug Set (4pc)"/>
    <s v="Home &amp; Kitchen"/>
    <s v="HK-MUG-4PK"/>
    <n v="1"/>
    <n v="18.989999999999998"/>
    <m/>
    <n v="0"/>
    <n v="5.99"/>
    <n v="24.98"/>
    <s v="PayPal"/>
    <x v="3"/>
    <s v="pending"/>
    <s v="Canada"/>
    <m/>
    <s v="Not Required"/>
    <s v="East Jenniferchester"/>
  </r>
  <r>
    <s v="#1664"/>
    <d v="2026-08-04T13:57:52"/>
    <d v="2026-08-04T13:57:52"/>
    <s v="Dustin Mccoy"/>
    <x v="0"/>
    <s v="dustin.mccoy570@gmail.com"/>
    <s v="Resistance Bands Set"/>
    <s v="Sports &amp; Outdoors"/>
    <s v="SP-RBS-SET"/>
    <n v="1"/>
    <n v="13.99"/>
    <s v="BFCM25"/>
    <n v="3.5"/>
    <n v="4.99"/>
    <n v="15.48"/>
    <s v="Apple Pay"/>
    <x v="0"/>
    <s v="fulfilled"/>
    <s v="Canada"/>
    <m/>
    <s v="Not Required"/>
    <s v="Larryfort"/>
  </r>
  <r>
    <s v="#1665"/>
    <d v="2026-08-04T14:03:42"/>
    <d v="2026-08-04T14:03:42"/>
    <s v="Megan Dickson"/>
    <x v="0"/>
    <s v="megan.dickson508@gmail.com"/>
    <s v="Vitamin C Serum 30ml"/>
    <s v="Beauty"/>
    <s v="BTY-SRM-30"/>
    <n v="1"/>
    <s v="$24.99"/>
    <m/>
    <n v="0"/>
    <n v="7.99"/>
    <n v="32.979999999999997"/>
    <s v="Google Pay"/>
    <x v="3"/>
    <s v="fulfilled"/>
    <s v="United Kingdom"/>
    <m/>
    <s v="Not Required"/>
    <s v="Cindytown"/>
  </r>
  <r>
    <s v="#1666"/>
    <d v="2026-08-04T14:02:45"/>
    <d v="2026-08-04T14:02:45"/>
    <s v="Tasha Morales"/>
    <x v="0"/>
    <s v="tasha.morales378@outlook.com"/>
    <s v="Kids Building Blocks Set"/>
    <s v="Toys"/>
    <s v="TOY-BLK-SET"/>
    <n v="1"/>
    <n v="27.99"/>
    <s v="BFCM25"/>
    <n v="7"/>
    <n v="4.99"/>
    <n v="25.98"/>
    <s v="Shopify Payments"/>
    <x v="0"/>
    <s v="fulfilled"/>
    <s v="United States"/>
    <s v="North Carolina"/>
    <s v="Valid"/>
    <s v="North Kayla"/>
  </r>
  <r>
    <s v="#1667"/>
    <d v="2026-08-04T14:02:02"/>
    <d v="2026-08-04T14:02:02"/>
    <m/>
    <x v="0"/>
    <s v="amanda.rodriguez770@yahoo.com"/>
    <s v="Ceramic Coffee Mug Set (4pc)"/>
    <s v="Home &amp; Kitchen"/>
    <s v="HK-MUG-4PK"/>
    <n v="1"/>
    <s v="$18.99"/>
    <s v="BFCM25"/>
    <n v="4.75"/>
    <n v="5.99"/>
    <n v="20.23"/>
    <s v="Apple Pay"/>
    <x v="0"/>
    <s v="fulfilled"/>
    <s v="United States"/>
    <s v="North Carolina"/>
    <s v="Valid"/>
    <s v="Savannahburgh"/>
  </r>
  <r>
    <s v="#1668"/>
    <d v="2026-08-04T14:04:02"/>
    <d v="2026-08-04T14:04:02"/>
    <s v="Diane Campos"/>
    <x v="0"/>
    <s v="diane.campos325@gmail.com"/>
    <s v="Phone Case - Clear"/>
    <s v="Electronics"/>
    <s v="ELC-CSE-CLR"/>
    <n v="1"/>
    <n v="8.99"/>
    <s v="VIP15"/>
    <n v="1.35"/>
    <n v="5.99"/>
    <n v="13.63"/>
    <s v="Google Pay"/>
    <x v="0"/>
    <s v="pending"/>
    <s v="United States"/>
    <s v="GA"/>
    <s v="Valid"/>
    <s v="Matthewberg"/>
  </r>
  <r>
    <s v="#1669"/>
    <d v="2026-08-04T13:54:01"/>
    <d v="2026-08-04T13:54:01"/>
    <s v="Patrick Stevens"/>
    <x v="0"/>
    <s v="patrick.stevens218@gmail.com"/>
    <s v="Facial Cleanser 200ml"/>
    <s v="Beauty"/>
    <s v="BTY-CLN-200"/>
    <n v="1"/>
    <n v="13.49"/>
    <m/>
    <n v="0"/>
    <n v="4.99"/>
    <n v="18.48"/>
    <s v="Apple Pay"/>
    <x v="2"/>
    <s v="pending"/>
    <s v="Pakistan"/>
    <m/>
    <s v="Not Required"/>
    <s v="Schultzfort"/>
  </r>
  <r>
    <s v="#1670"/>
    <d v="2026-08-04T13:58:13"/>
    <d v="2026-08-04T13:58:13"/>
    <s v="Patricia Townsend"/>
    <x v="0"/>
    <s v="patricia.townsend96@yahoo.com"/>
    <s v="Facial Cleanser 200ml"/>
    <s v="Beauty"/>
    <s v="BTY-CLN-200"/>
    <n v="2"/>
    <n v="13.49"/>
    <m/>
    <n v="0"/>
    <n v="4.99"/>
    <n v="31.97"/>
    <s v="Credit Card"/>
    <x v="2"/>
    <s v="refunded"/>
    <s v="United States"/>
    <s v="Florida"/>
    <s v="Valid"/>
    <s v="South David"/>
  </r>
  <r>
    <s v="#1671"/>
    <d v="2026-08-04T13:59:13"/>
    <d v="2026-08-04T13:59:13"/>
    <s v="Samuel Smith"/>
    <x v="1"/>
    <m/>
    <s v="Vitamin C Serum 30ml"/>
    <s v="Beauty"/>
    <s v="BTY-SRM-30"/>
    <n v="3"/>
    <n v="24.99"/>
    <s v="SAVE20"/>
    <n v="14.99"/>
    <n v="4.99"/>
    <n v="64.97"/>
    <s v="Shopify Payments"/>
    <x v="0"/>
    <s v="refunded"/>
    <s v="United Kingdom"/>
    <m/>
    <s v="Not Required"/>
    <s v="Grayview"/>
  </r>
  <r>
    <s v="#1672"/>
    <d v="2026-08-04T13:58:34"/>
    <d v="2026-08-04T13:58:34"/>
    <s v="Jesus Mason"/>
    <x v="1"/>
    <m/>
    <s v="Yoga Mat - Extra Thick"/>
    <s v="Sports &amp; Outdoors"/>
    <s v="SP-YGM-EX"/>
    <n v="1"/>
    <n v="22.99"/>
    <s v="FREESHIP"/>
    <s v="$0.00"/>
    <n v="0"/>
    <n v="22.99"/>
    <s v="Apple Pay"/>
    <x v="2"/>
    <s v="fulfilled"/>
    <s v="United States"/>
    <s v="Ohio"/>
    <s v="Valid"/>
    <s v="New Andrew"/>
  </r>
  <r>
    <s v="#1673"/>
    <d v="2026-08-04T14:02:53"/>
    <d v="2026-08-04T14:02:53"/>
    <s v="Thomas Rivera"/>
    <x v="0"/>
    <s v="thomas.rivera720@yahoo.com"/>
    <s v="Classic Cotton T-Shirt"/>
    <s v="Apparel"/>
    <s v="TSH-BLK-L"/>
    <n v="1"/>
    <n v="14.99"/>
    <m/>
    <n v="0"/>
    <n v="5.99"/>
    <n v="20.98"/>
    <s v="Apple Pay"/>
    <x v="1"/>
    <s v="refunded"/>
    <s v="United States"/>
    <s v="Florida"/>
    <s v="Valid"/>
    <s v="Matthewmouth"/>
  </r>
  <r>
    <s v="#1674"/>
    <d v="2026-08-04T13:59:09"/>
    <d v="2026-08-04T13:59:09"/>
    <s v="Mary Meza"/>
    <x v="0"/>
    <s v="mary.meza759@gmail.com"/>
    <s v="Running Shoes - Women's"/>
    <s v="Footwear"/>
    <s v="FTW-RUN-W"/>
    <n v="1"/>
    <n v="54.99"/>
    <s v="WELCOME10"/>
    <n v="5.5"/>
    <n v="7.99"/>
    <n v="57.48"/>
    <s v="PayPal"/>
    <x v="0"/>
    <s v="cancelled"/>
    <s v="Canada"/>
    <m/>
    <s v="Not Required"/>
    <s v="Lake Ashley"/>
  </r>
  <r>
    <s v="#1675"/>
    <d v="2026-08-04T00:00:00"/>
    <s v="Aug 04, 2026"/>
    <s v="David Torres"/>
    <x v="0"/>
    <s v="david.torres833@outlook.com"/>
    <s v="Classic Cotton T-Shirt"/>
    <s v="Apparel"/>
    <s v="TSH-BLK-L"/>
    <n v="1"/>
    <n v="14.99"/>
    <s v="VIP15"/>
    <n v="2.25"/>
    <n v="5.99"/>
    <n v="18.73"/>
    <s v="Apple Pay"/>
    <x v="2"/>
    <s v="fulfilled"/>
    <s v="United States"/>
    <s v="Washington"/>
    <s v="Valid"/>
    <s v="Foxburgh"/>
  </r>
  <r>
    <s v="#1676"/>
    <d v="2026-08-04T14:01:42"/>
    <d v="2026-08-04T14:01:42"/>
    <s v="Jesus Mason"/>
    <x v="0"/>
    <s v="jesus.mason798@icloud.com"/>
    <s v="Running Shoes - Men's"/>
    <s v="Footwear"/>
    <s v="FTW-RUN-M"/>
    <n v="1"/>
    <s v="$54.99"/>
    <m/>
    <n v="0"/>
    <n v="4.99"/>
    <n v="59.98"/>
    <s v="Credit Card"/>
    <x v="0"/>
    <s v="pending"/>
    <s v="United States"/>
    <s v="IL"/>
    <s v="Valid"/>
    <s v="North Derek"/>
  </r>
  <r>
    <s v="#1677"/>
    <d v="2026-08-04T14:01:03"/>
    <d v="2026-08-04T14:01:03"/>
    <s v="Andrea Martinez"/>
    <x v="0"/>
    <s v="andrea.martinez756@yahoo.com"/>
    <s v="Running Shoes - Women's"/>
    <s v="Footwear"/>
    <s v="FTW-RUN-W"/>
    <n v="2"/>
    <n v="54.99"/>
    <s v="SAVE20"/>
    <n v="22"/>
    <n v="0"/>
    <s v="$87.98"/>
    <s v="Shopify Payments"/>
    <x v="0"/>
    <s v="fulfilled"/>
    <s v="Australia"/>
    <m/>
    <s v="Not Required"/>
    <s v="South Jeffrey"/>
  </r>
  <r>
    <s v="#1678"/>
    <d v="2026-08-04T13:59:14"/>
    <d v="2026-08-04T13:59:14"/>
    <s v="Ruth Duncan"/>
    <x v="0"/>
    <s v="ruth.duncan434@icloud.com"/>
    <s v="Polarized Sunglasses"/>
    <s v="Accessories"/>
    <s v="ACC-SUN-01"/>
    <n v="2"/>
    <n v="16.989999999999998"/>
    <s v="BFCM25"/>
    <n v="8.49"/>
    <n v="7.99"/>
    <s v="$33.48"/>
    <s v="Credit Card"/>
    <x v="3"/>
    <s v="fulfilled"/>
    <s v="Australia"/>
    <m/>
    <s v="Not Required"/>
    <s v="West Deborahshire"/>
  </r>
  <r>
    <s v="#1679"/>
    <d v="2026-08-04T13:55:32"/>
    <d v="2026-08-04T13:55:32"/>
    <s v="Anthony Mullen"/>
    <x v="0"/>
    <s v="anthony.mullen523@yahoo.com"/>
    <s v="Facial Cleanser 200ml"/>
    <s v="Beauty"/>
    <s v="BTY-CLN-200"/>
    <n v="1"/>
    <n v="13.49"/>
    <s v="FREESHIP"/>
    <n v="0"/>
    <n v="0"/>
    <n v="13.49"/>
    <s v="PayPal"/>
    <x v="3"/>
    <s v="fulfilled"/>
    <s v="United States"/>
    <s v="Arizona"/>
    <s v="Valid"/>
    <s v="New Robynberg"/>
  </r>
  <r>
    <s v="#1680"/>
    <d v="2026-08-04T14:05:50"/>
    <d v="2026-08-04T14:05:50"/>
    <s v="Jon Lambert"/>
    <x v="0"/>
    <s v="jon.lambert231@icloud.com"/>
    <s v="Classic Cotton T-Shirt"/>
    <s v="Apparel"/>
    <s v="TSH-BLK-L"/>
    <n v="1"/>
    <n v="14.99"/>
    <m/>
    <n v="0"/>
    <n v="5.99"/>
    <n v="20.98"/>
    <s v="Credit Card"/>
    <x v="0"/>
    <s v="fulfilled"/>
    <s v="United States"/>
    <s v="California"/>
    <s v="Valid"/>
    <s v="New Christian"/>
  </r>
  <r>
    <s v="#1681"/>
    <d v="2026-08-04T00:00:00"/>
    <s v="04-08-2026 14:06"/>
    <s v="Amanda Harris"/>
    <x v="0"/>
    <s v="amanda.harris197@gmail.com"/>
    <s v="Wireless Mouse"/>
    <s v="Electronics"/>
    <s v="ELC-MSE-WL"/>
    <n v="1"/>
    <n v="11.99"/>
    <s v="VIP15"/>
    <n v="1.8"/>
    <n v="5.99"/>
    <n v="16.18"/>
    <s v="PayPal"/>
    <x v="0"/>
    <s v="cancelled"/>
    <s v="United States"/>
    <s v="Georgia"/>
    <s v="Valid"/>
    <s v="Mirandaside"/>
  </r>
  <r>
    <s v="#1682"/>
    <d v="2026-08-04T13:55:27"/>
    <d v="2026-08-04T13:55:27"/>
    <s v="KIMBERLY TORRES"/>
    <x v="0"/>
    <s v="kimberly.torres39@yahoo.com"/>
    <s v="Vitamin C Serum 30ml"/>
    <s v="Beauty"/>
    <s v="BTY-SRM-30"/>
    <n v="1"/>
    <n v="24.99"/>
    <m/>
    <n v="0"/>
    <n v="4.99"/>
    <s v="$29.98"/>
    <s v="Credit Card"/>
    <x v="0"/>
    <s v="fulfilled"/>
    <s v="Australia"/>
    <m/>
    <s v="Not Required"/>
    <s v="Cassandraville"/>
  </r>
  <r>
    <s v="#1683"/>
    <d v="2026-08-04T00:00:00"/>
    <s v="04-08-2026 14:05"/>
    <s v="Sean Frank"/>
    <x v="0"/>
    <s v="sean.frank587@icloud.com"/>
    <s v="Throw Blanket - Fleece"/>
    <s v="Home &amp; Kitchen"/>
    <s v="HK-BLK-FLC"/>
    <n v="1"/>
    <n v="17.989999999999998"/>
    <s v="VIP15"/>
    <n v="2.7"/>
    <n v="7.99"/>
    <n v="23.28"/>
    <s v="PayPal"/>
    <x v="0"/>
    <s v="fulfilled"/>
    <s v="Australia"/>
    <m/>
    <s v="Not Required"/>
    <s v="East Steventon"/>
  </r>
  <r>
    <s v="#1684"/>
    <d v="2026-08-04T14:00:18"/>
    <d v="2026-08-04T14:00:18"/>
    <s v="Jon Lambert"/>
    <x v="0"/>
    <s v="jon.lambert231@icloud.com"/>
    <s v="Classic Cotton T-Shirt"/>
    <s v="Apparel"/>
    <s v="TSH-BLK-M"/>
    <n v="1"/>
    <n v="14.99"/>
    <m/>
    <n v="0"/>
    <n v="4.99"/>
    <n v="19.98"/>
    <s v="Apple Pay"/>
    <x v="0"/>
    <s v="refunded"/>
    <s v="United States"/>
    <s v="Arizona"/>
    <s v="Valid"/>
    <s v="Kevinbury"/>
  </r>
  <r>
    <s v="#1685"/>
    <d v="2026-08-04T13:55:08"/>
    <d v="2026-08-04T13:55:08"/>
    <s v="Brian Ruiz"/>
    <x v="0"/>
    <s v="brian.ruiz246@gmail.com"/>
    <s v="Classic Cotton T-Shirt"/>
    <s v="Apparel"/>
    <s v="TSH-BLK-L"/>
    <n v="1"/>
    <n v="14.99"/>
    <s v="WELCOME10"/>
    <n v="1.5"/>
    <n v="4.99"/>
    <n v="18.48"/>
    <s v="Google Pay"/>
    <x v="0"/>
    <s v="fulfilled"/>
    <s v="Germany"/>
    <m/>
    <s v="Not Required"/>
    <s v="East Drewmouth"/>
  </r>
  <r>
    <s v="#1686"/>
    <d v="2026-08-04T14:03:47"/>
    <d v="2026-08-04T14:03:47"/>
    <s v="Tyler Williams"/>
    <x v="0"/>
    <s v="tyler.williams938@outlook.com"/>
    <s v="Polarized Sunglasses"/>
    <s v="Accessories"/>
    <s v="ACC-SUN-01"/>
    <n v="1"/>
    <s v="$16.99"/>
    <m/>
    <n v="0"/>
    <n v="7.99"/>
    <s v="$24.98"/>
    <s v="PayPal"/>
    <x v="3"/>
    <s v="cancelled"/>
    <s v="Australia"/>
    <m/>
    <s v="Not Required"/>
    <s v="Garnerborough"/>
  </r>
  <r>
    <s v="#1687"/>
    <d v="2026-08-04T13:53:45"/>
    <d v="2026-08-04T13:53:45"/>
    <s v="Glenn Mcmahon"/>
    <x v="0"/>
    <s v="glenn.mcmahon733@yahoo.com"/>
    <s v="Adjustable Dumbbell Set"/>
    <s v="Sports &amp; Outdoors"/>
    <s v="SP-DMB-ADJ"/>
    <n v="3"/>
    <n v="89.99"/>
    <m/>
    <n v="0"/>
    <n v="0"/>
    <n v="269.97000000000003"/>
    <s v="Google Pay"/>
    <x v="3"/>
    <s v="cancelled"/>
    <s v="United States"/>
    <s v="Illinois"/>
    <s v="Valid"/>
    <s v="New Gregory"/>
  </r>
  <r>
    <s v="#1688"/>
    <d v="2026-08-04T14:00:31"/>
    <d v="2026-08-04T14:00:31"/>
    <s v="Dustin Mccoy"/>
    <x v="0"/>
    <s v="dustin.mccoy570@gmail.com"/>
    <s v="Throw Blanket - Fleece"/>
    <s v="Home &amp; Kitchen"/>
    <s v="HK-BLK-FLC"/>
    <n v="1"/>
    <n v="17.989999999999998"/>
    <s v="BFCM25"/>
    <n v="4.5"/>
    <n v="4.99"/>
    <n v="18.48"/>
    <s v="Google Pay"/>
    <x v="0"/>
    <s v="fulfilled"/>
    <s v="Canada"/>
    <m/>
    <s v="Not Required"/>
    <s v="New Ashley"/>
  </r>
  <r>
    <s v="#1689"/>
    <d v="2026-08-04T14:05:33"/>
    <d v="2026-08-04T14:05:33"/>
    <s v="Dominique Huerta"/>
    <x v="0"/>
    <s v="dominique.huerta708@outlook.com"/>
    <s v="Throw Blanket - Fleece"/>
    <s v="Home &amp; Kitchen"/>
    <s v="HK-BLK-FLC"/>
    <n v="1"/>
    <n v="17.989999999999998"/>
    <s v="BFCM25"/>
    <n v="4.5"/>
    <n v="7.99"/>
    <n v="21.48"/>
    <s v="Apple Pay"/>
    <x v="2"/>
    <s v="cancelled"/>
    <s v="United Kingdom"/>
    <m/>
    <s v="Not Required"/>
    <s v="Haynesfurt"/>
  </r>
  <r>
    <s v="#1690"/>
    <d v="2026-08-04T14:03:19"/>
    <d v="2026-08-04T14:03:19"/>
    <s v="Tara Jackson"/>
    <x v="0"/>
    <s v="tara.jackson708@outlook.com"/>
    <s v="Adjustable Dumbbell Set"/>
    <s v="Sports &amp; Outdoors"/>
    <s v="SP-DMB-ADJ"/>
    <n v="1"/>
    <n v="89.99"/>
    <s v="FREESHIP"/>
    <s v="$0.00"/>
    <n v="0"/>
    <n v="89.99"/>
    <s v="Apple Pay"/>
    <x v="3"/>
    <s v="fulfilled"/>
    <s v="Canada"/>
    <m/>
    <s v="Not Required"/>
    <s v="Georgeside"/>
  </r>
  <r>
    <s v="#1691"/>
    <d v="2026-08-04T13:59:30"/>
    <d v="2026-08-04T13:59:30"/>
    <s v="Sheryl Nguyen"/>
    <x v="0"/>
    <s v="sheryl.nguyen272@outlook.com"/>
    <s v="Adjustable Dumbbell Set"/>
    <s v="Sports &amp; Outdoors"/>
    <s v="SP-DMB-ADJ"/>
    <n v="2"/>
    <n v="89.99"/>
    <s v="BFCM25"/>
    <n v="44.99"/>
    <n v="0"/>
    <n v="134.99"/>
    <s v="Shopify Payments"/>
    <x v="3"/>
    <s v="refunded"/>
    <s v="United States"/>
    <s v="North Carolina"/>
    <s v="Valid"/>
    <s v="New David"/>
  </r>
  <r>
    <s v="#1692"/>
    <d v="2026-08-04T14:06:23"/>
    <d v="2026-08-04T14:06:23"/>
    <s v="Jason Miller"/>
    <x v="0"/>
    <s v="jason.miller334@outlook.com"/>
    <s v="Phone Case - Clear"/>
    <s v="Electronics"/>
    <s v="ELC-CSE-CLR"/>
    <n v="2"/>
    <s v="$8.99"/>
    <s v="BFCM25"/>
    <n v="4.5"/>
    <n v="5.99"/>
    <n v="19.47"/>
    <s v="Credit Card"/>
    <x v="0"/>
    <s v="fulfilled"/>
    <s v="Australia"/>
    <m/>
    <s v="Not Required"/>
    <s v="Lake Andrewshire"/>
  </r>
  <r>
    <s v="#1693"/>
    <d v="2026-08-04T14:00:16"/>
    <d v="2026-08-04T14:00:16"/>
    <s v="Jack Bryant"/>
    <x v="0"/>
    <s v="jack.bryant173@gmail.com"/>
    <s v="Phone Case - Clear"/>
    <s v="Electronics"/>
    <s v="ELC-CSE-CLR"/>
    <n v="1"/>
    <n v="8.99"/>
    <s v="SAVE20"/>
    <n v="1.8"/>
    <n v="4.99"/>
    <n v="12.18"/>
    <s v="Credit Card"/>
    <x v="3"/>
    <s v="fulfilled"/>
    <s v="Germany"/>
    <m/>
    <s v="Not Required"/>
    <s v="Ambertown"/>
  </r>
  <r>
    <s v="#1694"/>
    <d v="2026-08-04T13:58:00"/>
    <d v="2026-08-04T13:58:00"/>
    <s v="Taylor Lee"/>
    <x v="0"/>
    <s v="taylor.lee613@gmail.com"/>
    <s v="Classic Cotton T-Shirt"/>
    <s v="Apparel"/>
    <s v="TSH-BLK-M"/>
    <n v="1"/>
    <n v="14.99"/>
    <s v="SAVE20"/>
    <n v="3"/>
    <n v="4.99"/>
    <n v="16.98"/>
    <s v="Credit Card"/>
    <x v="1"/>
    <s v="refunded"/>
    <s v="United Kingdom"/>
    <m/>
    <s v="Not Required"/>
    <s v="South Henrystad"/>
  </r>
  <r>
    <s v="#1695"/>
    <d v="2026-08-04T00:00:00"/>
    <s v="04-08-2026 13:59"/>
    <s v="Ryan Gonzalez"/>
    <x v="0"/>
    <s v="ryan.gonzalez192@gmail.com"/>
    <s v="Slim Fit Denim Jeans"/>
    <s v="Apparel"/>
    <s v="JNS-BLU-32"/>
    <n v="2"/>
    <n v="39.99"/>
    <m/>
    <n v="0"/>
    <n v="0"/>
    <s v="$79.98"/>
    <s v="Google Pay"/>
    <x v="2"/>
    <s v="cancelled"/>
    <s v="United States"/>
    <s v="Florida"/>
    <s v="Valid"/>
    <s v="Thompsonport"/>
  </r>
  <r>
    <s v="#1696"/>
    <d v="2026-08-04T13:58:01"/>
    <d v="2026-08-04T13:58:01"/>
    <s v="David Mcknight"/>
    <x v="0"/>
    <s v="david.mcknight827@gmail.com"/>
    <s v="Slim Fit Denim Jeans"/>
    <s v="Apparel"/>
    <s v="JNS-BLU-32"/>
    <n v="2"/>
    <n v="39.99"/>
    <m/>
    <n v="0"/>
    <n v="0"/>
    <n v="79.98"/>
    <s v="PayPal"/>
    <x v="0"/>
    <s v="fulfilled"/>
    <s v="United States"/>
    <s v="Ohio"/>
    <s v="Valid"/>
    <s v="Lake Michael"/>
  </r>
  <r>
    <s v="#1697"/>
    <d v="2026-08-04T14:05:10"/>
    <d v="2026-08-04T14:05:10"/>
    <s v="Sandra Potter"/>
    <x v="0"/>
    <s v="sandra.potter166@yahoo.com"/>
    <s v="Kids Building Blocks Set"/>
    <s v="Toys"/>
    <s v="TOY-BLK-SET"/>
    <n v="2"/>
    <n v="27.99"/>
    <s v="SAVE20"/>
    <n v="11.2"/>
    <n v="7.99"/>
    <n v="52.77"/>
    <s v="Credit Card"/>
    <x v="0"/>
    <s v="refunded"/>
    <s v="United States"/>
    <s v="FL"/>
    <s v="Valid"/>
    <s v="North Barbaratown"/>
  </r>
  <r>
    <s v="#1698"/>
    <d v="2026-08-04T00:00:00"/>
    <s v="2026-08-04"/>
    <s v="Donald Davis"/>
    <x v="0"/>
    <s v="donald.davis404@icloud.com"/>
    <s v="Running Shoes - Men's"/>
    <s v="Footwear"/>
    <s v="FTW-RUN-M"/>
    <n v="1"/>
    <n v="54.99"/>
    <m/>
    <n v="0"/>
    <n v="7.99"/>
    <n v="62.98"/>
    <s v="Apple Pay"/>
    <x v="0"/>
    <s v="fulfilled"/>
    <s v="Canada"/>
    <m/>
    <s v="Not Required"/>
    <s v="South Madison"/>
  </r>
  <r>
    <s v="#1699"/>
    <d v="2026-08-04T14:06:08"/>
    <d v="2026-08-04T14:06:08"/>
    <s v="Joel Davidson"/>
    <x v="0"/>
    <s v="joel.davidson94@icloud.com"/>
    <s v="Wireless Bluetooth Earbuds"/>
    <s v="Electronics"/>
    <s v="ELC-WBE-01"/>
    <n v="1"/>
    <n v="29.99"/>
    <s v="VIP15"/>
    <n v="4.5"/>
    <n v="4.99"/>
    <n v="30.48"/>
    <s v="Apple Pay"/>
    <x v="2"/>
    <s v="fulfilled"/>
    <s v="United States"/>
    <s v="WA"/>
    <s v="Valid"/>
    <s v="South Francisco"/>
  </r>
  <r>
    <s v="#1700"/>
    <d v="2026-08-04T13:55:17"/>
    <d v="2026-08-04T13:55:17"/>
    <s v="Debra Thomas"/>
    <x v="0"/>
    <s v="debra.thomas509@icloud.com"/>
    <s v="Yoga Mat - Extra Thick"/>
    <s v="Sports &amp; Outdoors"/>
    <s v="SP-YGM-EX"/>
    <n v="1"/>
    <n v="22.99"/>
    <m/>
    <n v="0"/>
    <n v="4.99"/>
    <n v="27.98"/>
    <s v="Credit Card"/>
    <x v="0"/>
    <s v="cancelled"/>
    <s v="United States"/>
    <s v="California"/>
    <s v="Valid"/>
    <s v="Port Nancymouth"/>
  </r>
  <r>
    <s v="#1701"/>
    <d v="2026-08-04T13:54:28"/>
    <d v="2026-08-04T13:54:28"/>
    <s v="James Miller"/>
    <x v="0"/>
    <s v="james.miller866@yahoo.com"/>
    <s v="Backpack - 25L  "/>
    <s v="Accessories"/>
    <s v="ACC-BPK-25L"/>
    <n v="2"/>
    <s v="$32.99"/>
    <m/>
    <n v="0"/>
    <n v="4.99"/>
    <n v="70.97"/>
    <s v="Google Pay"/>
    <x v="2"/>
    <s v="fulfilled"/>
    <s v="Pakistan"/>
    <m/>
    <s v="Not Required"/>
    <s v="Port Karenshire"/>
  </r>
  <r>
    <s v="#1702"/>
    <d v="2026-08-04T13:54:01"/>
    <d v="2026-08-04T13:54:01"/>
    <m/>
    <x v="0"/>
    <s v="rose.english118@icloud.com"/>
    <s v="Polarized Sunglasses"/>
    <s v="Accessories"/>
    <s v="ACC-SUN-01"/>
    <n v="1"/>
    <n v="16.989999999999998"/>
    <m/>
    <n v="0"/>
    <n v="7.99"/>
    <n v="24.98"/>
    <s v="Apple Pay"/>
    <x v="0"/>
    <s v="pending"/>
    <s v="Germany"/>
    <m/>
    <s v="Not Required"/>
    <s v="New Richard"/>
  </r>
  <r>
    <s v="#1703"/>
    <d v="2026-08-04T13:57:19"/>
    <d v="2026-08-04T13:57:19"/>
    <s v="Luke Keller"/>
    <x v="0"/>
    <s v="luke.keller471@icloud.com"/>
    <s v="Leather Wallet - Brown"/>
    <s v="Accessories"/>
    <s v="ACC-WLT-BRN"/>
    <n v="1"/>
    <n v="19.989999999999998"/>
    <s v="FREESHIP"/>
    <n v="0"/>
    <n v="0"/>
    <n v="19.989999999999998"/>
    <s v="Shopify Payments"/>
    <x v="3"/>
    <s v="pending"/>
    <s v="United States"/>
    <s v="Georgia"/>
    <s v="Valid"/>
    <s v="Port Crystalmouth"/>
  </r>
  <r>
    <s v="#1704"/>
    <d v="2026-08-04T00:00:00"/>
    <s v="Aug 04, 2026"/>
    <s v="Allen Diaz"/>
    <x v="0"/>
    <s v="allen.diaz546@gmail.com"/>
    <s v="Wireless Mouse"/>
    <s v="Electronics"/>
    <s v="ELC-MSE-WL"/>
    <n v="2"/>
    <n v="11.99"/>
    <s v="SAVE20"/>
    <n v="4.8"/>
    <n v="5.99"/>
    <n v="25.17"/>
    <s v="Shopify Payments"/>
    <x v="0"/>
    <s v="refunded"/>
    <s v="United States"/>
    <s v="Florida"/>
    <s v="Valid"/>
    <s v="East Sharon"/>
  </r>
  <r>
    <s v="#1705"/>
    <d v="2026-08-04T13:59:37"/>
    <d v="2026-08-04T13:59:37"/>
    <s v="Sandra Wilson"/>
    <x v="1"/>
    <m/>
    <s v="Leather Wallet - Brown"/>
    <s v="Accessories"/>
    <s v="ACC-WLT-BRN"/>
    <n v="1"/>
    <n v="19.989999999999998"/>
    <s v="VIP15"/>
    <n v="3"/>
    <n v="4.99"/>
    <n v="21.98"/>
    <s v="Google Pay"/>
    <x v="0"/>
    <s v="fulfilled"/>
    <s v="Canada"/>
    <m/>
    <s v="Not Required"/>
    <s v="Erichaven"/>
  </r>
  <r>
    <s v="#1706"/>
    <d v="2026-04-08T00:00:00"/>
    <s v="08/04/2026"/>
    <s v="Anthony Krueger"/>
    <x v="0"/>
    <s v="anthony.krueger812@yahoo.com"/>
    <s v="Throw Blanket - Fleece"/>
    <s v="Home &amp; Kitchen"/>
    <s v="HK-BLK-FLC"/>
    <n v="1"/>
    <n v="17.989999999999998"/>
    <m/>
    <n v="0"/>
    <n v="5.99"/>
    <n v="23.98"/>
    <s v="Google Pay"/>
    <x v="3"/>
    <s v="refunded"/>
    <s v="Pakistan"/>
    <m/>
    <s v="Not Required"/>
    <s v="North Daniel"/>
  </r>
  <r>
    <s v="#1707"/>
    <d v="2026-08-04T14:02:45"/>
    <d v="2026-08-04T14:02:45"/>
    <s v="Jacqueline Richmond"/>
    <x v="0"/>
    <s v="jacqueline.richmond595@outlook.com"/>
    <s v="Scented Soy Candle - Vanilla"/>
    <s v="Home &amp; Kitchen"/>
    <s v="HK-CND-VAN"/>
    <n v="1"/>
    <n v="9.99"/>
    <s v="BFCM25"/>
    <n v="2.5"/>
    <n v="5.99"/>
    <n v="13.48"/>
    <s v="Credit Card"/>
    <x v="0"/>
    <s v="fulfilled"/>
    <s v="United States"/>
    <s v="Georgia"/>
    <s v="Valid"/>
    <s v="East Heidi"/>
  </r>
  <r>
    <s v="#1708"/>
    <d v="2026-08-04T14:07:09"/>
    <d v="2026-08-04T14:07:09"/>
    <s v="William Houston"/>
    <x v="0"/>
    <s v="william.houston340@outlook.com"/>
    <s v="Leather Wallet - Brown"/>
    <s v="Accessories"/>
    <s v="ACC-WLT-BRN"/>
    <n v="1"/>
    <n v="19.989999999999998"/>
    <m/>
    <n v="0"/>
    <n v="7.99"/>
    <n v="27.98"/>
    <s v="Shopify Payments"/>
    <x v="0"/>
    <s v="refunded"/>
    <s v="United States"/>
    <s v="TX"/>
    <s v="Valid"/>
    <s v="Mariaport"/>
  </r>
  <r>
    <s v="#1709"/>
    <d v="2026-08-04T13:54:46"/>
    <d v="2026-08-04T13:54:46"/>
    <s v="Kristina Cook"/>
    <x v="0"/>
    <s v="kristina.cook392@outlook.com"/>
    <s v="Throw Blanket - Fleece"/>
    <s v="Home &amp; Kitchen"/>
    <s v="HK-BLK-FLC"/>
    <n v="2"/>
    <s v="$17.99"/>
    <s v="SAVE20"/>
    <n v="7.2"/>
    <n v="4.99"/>
    <n v="33.770000000000003"/>
    <s v="PayPal"/>
    <x v="0"/>
    <s v="refunded"/>
    <s v="United States"/>
    <s v="Florida"/>
    <s v="Valid"/>
    <s v="Port Charles"/>
  </r>
  <r>
    <s v="#1710"/>
    <d v="2026-08-04T14:02:20"/>
    <d v="2026-08-04T14:02:20"/>
    <s v="Samuel Lee"/>
    <x v="0"/>
    <s v="samuel.lee63@icloud.com"/>
    <s v="Classic Cotton T-Shirt"/>
    <s v="Apparel"/>
    <s v="TSH-BLK-M"/>
    <n v="1"/>
    <s v="$14.99"/>
    <s v="VIP15"/>
    <s v="$2.25"/>
    <n v="5.99"/>
    <n v="18.73"/>
    <s v="Shopify Payments"/>
    <x v="3"/>
    <s v="cancelled"/>
    <s v="Australia"/>
    <m/>
    <s v="Not Required"/>
    <s v="Campbellborough"/>
  </r>
  <r>
    <s v="#1711"/>
    <d v="2026-08-04T14:02:07"/>
    <d v="2026-08-04T14:02:07"/>
    <s v="Joshua Chavez"/>
    <x v="0"/>
    <s v="joshua.chavez332@outlook.com"/>
    <s v="Throw Blanket - Fleece"/>
    <s v="Home &amp; Kitchen"/>
    <s v="HK-BLK-FLC"/>
    <n v="1"/>
    <n v="17.989999999999998"/>
    <m/>
    <n v="0"/>
    <n v="4.99"/>
    <n v="22.98"/>
    <s v="Google Pay"/>
    <x v="0"/>
    <s v="cancelled"/>
    <s v="United States"/>
    <s v="Georgia"/>
    <s v="Valid"/>
    <s v="East Sarahfort"/>
  </r>
  <r>
    <s v="#1712"/>
    <d v="2026-08-04T13:59:48"/>
    <d v="2026-08-04T13:59:48"/>
    <s v="David Hayden"/>
    <x v="0"/>
    <s v="david.hayden411@outlook.com"/>
    <s v="Resistance Bands Set"/>
    <s v="Sports &amp; Outdoors"/>
    <s v="SP-RBS-SET"/>
    <n v="1"/>
    <n v="13.99"/>
    <s v="SAVE20"/>
    <n v="2.8"/>
    <n v="5.99"/>
    <n v="17.18"/>
    <s v="Apple Pay"/>
    <x v="2"/>
    <s v="cancelled"/>
    <s v="Australia"/>
    <m/>
    <s v="Not Required"/>
    <s v="New Daniel"/>
  </r>
  <r>
    <s v="#1713"/>
    <d v="2026-08-04T14:03:19"/>
    <d v="2026-08-04T14:03:19"/>
    <s v="Christian Leonard"/>
    <x v="0"/>
    <s v="christian.leonard732@gmail.com"/>
    <s v="Portable Power Bank 10000mAh"/>
    <s v="Electronics"/>
    <s v="ELC-PWB-10K"/>
    <n v="1"/>
    <n v="21.99"/>
    <m/>
    <n v="0"/>
    <n v="7.99"/>
    <n v="29.98"/>
    <s v="Shopify Payments"/>
    <x v="1"/>
    <s v="fulfilled"/>
    <s v="United States"/>
    <s v="Florida"/>
    <s v="Valid"/>
    <s v="Katietown"/>
  </r>
  <r>
    <s v="#1714"/>
    <d v="2026-08-04T14:03:27"/>
    <d v="2026-08-04T14:03:27"/>
    <s v="Julie Hoffman"/>
    <x v="0"/>
    <s v="julie.hoffman913@gmail.com"/>
    <s v="Polarized Sunglasses"/>
    <s v="Accessories"/>
    <s v="ACC-SUN-01"/>
    <n v="1"/>
    <n v="16.989999999999998"/>
    <s v="BFCM25"/>
    <n v="4.25"/>
    <n v="5.99"/>
    <n v="18.73"/>
    <s v="Credit Card"/>
    <x v="3"/>
    <s v="fulfilled"/>
    <s v="United States"/>
    <s v="Arizona"/>
    <s v="Valid"/>
    <s v="New Jefferyton"/>
  </r>
  <r>
    <s v="#1715"/>
    <d v="2026-08-04T14:05:35"/>
    <d v="2026-08-04T14:05:35"/>
    <s v="Jennifer Burke"/>
    <x v="0"/>
    <s v="jennifer.burke472@icloud.com"/>
    <s v="Kids Building Blocks Set"/>
    <s v="Toys"/>
    <s v="TOY-BLK-SET"/>
    <n v="4"/>
    <n v="27.99"/>
    <m/>
    <n v="0"/>
    <n v="0"/>
    <n v="111.96"/>
    <s v="Google Pay"/>
    <x v="3"/>
    <s v="fulfilled"/>
    <s v="Pakistan"/>
    <m/>
    <s v="Not Required"/>
    <s v="Solomonchester"/>
  </r>
  <r>
    <s v="#1716"/>
    <d v="2026-08-04T13:57:39"/>
    <d v="2026-08-04T13:57:39"/>
    <s v="Rita Hall"/>
    <x v="0"/>
    <s v="rita.hall18@outlook.com"/>
    <s v="Wireless Mouse"/>
    <s v="Electronics"/>
    <s v="ELC-MSE-WL"/>
    <n v="1"/>
    <n v="11.99"/>
    <s v="SAVE20"/>
    <n v="2.4"/>
    <n v="4.99"/>
    <n v="14.58"/>
    <s v="Shopify Payments"/>
    <x v="0"/>
    <s v="fulfilled"/>
    <s v="United States"/>
    <s v="North Carolina"/>
    <s v="Valid"/>
    <s v="North Markhaven"/>
  </r>
  <r>
    <s v="#1717"/>
    <d v="2026-08-04T13:59:45"/>
    <d v="2026-08-04T13:59:45"/>
    <s v="James Andrade"/>
    <x v="0"/>
    <s v="james.andrade258@icloud.com"/>
    <s v="Ceramic Coffee Mug Set (4pc)"/>
    <s v="Home &amp; Kitchen"/>
    <s v="HK-MUG-4PK"/>
    <n v="1"/>
    <n v="18.989999999999998"/>
    <m/>
    <n v="0"/>
    <n v="4.99"/>
    <n v="23.98"/>
    <s v="PayPal"/>
    <x v="0"/>
    <s v="cancelled"/>
    <s v="Germany"/>
    <m/>
    <s v="Not Required"/>
    <s v="West Karen"/>
  </r>
  <r>
    <s v="#1718"/>
    <d v="2026-08-04T14:05:21"/>
    <d v="2026-08-04T14:05:21"/>
    <s v="Stacey Gonzales"/>
    <x v="0"/>
    <s v="stacey.gonzales655@icloud.com"/>
    <s v="Wireless Mouse"/>
    <s v="Electronics"/>
    <s v="ELC-MSE-WL"/>
    <n v="1"/>
    <n v="11.99"/>
    <m/>
    <n v="0"/>
    <n v="5.99"/>
    <n v="17.98"/>
    <s v="PayPal"/>
    <x v="2"/>
    <s v="fulfilled"/>
    <s v="United States"/>
    <s v="North Carolina"/>
    <s v="Valid"/>
    <s v="North Jamesfort"/>
  </r>
  <r>
    <s v="#1720"/>
    <d v="2026-08-04T14:03:12"/>
    <d v="2026-08-04T14:03:12"/>
    <s v="Gregory Vega"/>
    <x v="0"/>
    <s v="gregory.vega882@outlook.com"/>
    <s v="Hooded Sweatshirt"/>
    <s v="Apparel"/>
    <s v="APR-HOD-GRY"/>
    <n v="1"/>
    <n v="34.99"/>
    <m/>
    <s v="$0.00"/>
    <n v="5.99"/>
    <n v="40.98"/>
    <s v="Credit Card"/>
    <x v="2"/>
    <s v="cancelled"/>
    <s v="Pakistan"/>
    <m/>
    <s v="Not Required"/>
    <s v="East Julianshire"/>
  </r>
  <r>
    <s v="#1721"/>
    <d v="2026-08-04T13:57:53"/>
    <d v="2026-08-04T13:57:53"/>
    <s v="JAMES CASTRO"/>
    <x v="0"/>
    <s v="james.castro923@icloud.com"/>
    <s v="Kids Building Blocks Set"/>
    <s v="Toys"/>
    <s v="TOY-BLK-SET"/>
    <n v="1"/>
    <n v="27.99"/>
    <m/>
    <n v="0"/>
    <n v="5.99"/>
    <n v="33.979999999999997"/>
    <s v="Shopify Payments"/>
    <x v="0"/>
    <s v="fulfilled"/>
    <s v="Pakistan"/>
    <m/>
    <s v="Not Required"/>
    <s v="New Christopherview"/>
  </r>
  <r>
    <s v="#1722"/>
    <d v="2026-08-04T14:05:44"/>
    <d v="2026-08-04T14:05:44"/>
    <s v="Kenneth Davis"/>
    <x v="0"/>
    <s v="kenneth.davis106@yahoo.com"/>
    <s v="Hooded Sweatshirt"/>
    <s v="Apparel"/>
    <s v="APR-HOD-GRY"/>
    <n v="2"/>
    <n v="34.99"/>
    <s v="WELCOME10"/>
    <n v="7"/>
    <n v="7.99"/>
    <n v="70.97"/>
    <s v="Shopify Payments"/>
    <x v="0"/>
    <s v="fulfilled"/>
    <s v="United States"/>
    <s v="Texas"/>
    <s v="Valid"/>
    <s v="South Travis"/>
  </r>
  <r>
    <s v="#1723"/>
    <d v="2026-08-04T13:57:24"/>
    <d v="2026-08-04T13:57:24"/>
    <s v="Amanda Rodriguez"/>
    <x v="0"/>
    <s v="amanda.rodriguez770@yahoo.com"/>
    <s v="Classic Cotton T-Shirt"/>
    <s v="Apparel"/>
    <s v="TSH-BLK-L"/>
    <n v="1"/>
    <n v="14.99"/>
    <s v="BFCM25"/>
    <n v="3.75"/>
    <n v="7.99"/>
    <n v="19.23"/>
    <s v="Shopify Payments"/>
    <x v="0"/>
    <s v="fulfilled"/>
    <s v="United States"/>
    <s v="California"/>
    <s v="Valid"/>
    <s v="Cervantesmouth"/>
  </r>
  <r>
    <s v="#1724"/>
    <d v="2026-08-04T13:59:30"/>
    <d v="2026-08-04T13:59:30"/>
    <s v="Chad Smith"/>
    <x v="0"/>
    <s v="chad.smith773@icloud.com"/>
    <s v="Vitamin C Serum 30ml"/>
    <s v="Beauty"/>
    <s v="BTY-SRM-30"/>
    <n v="2"/>
    <n v="24.99"/>
    <s v="SAVE20"/>
    <n v="10"/>
    <n v="7.99"/>
    <n v="47.97"/>
    <s v="Google Pay"/>
    <x v="1"/>
    <s v="cancelled"/>
    <s v="Pakistan"/>
    <m/>
    <s v="Not Required"/>
    <s v="Trevorside"/>
  </r>
  <r>
    <s v="#1725"/>
    <d v="2026-08-04T13:56:42"/>
    <d v="2026-08-04T13:56:42"/>
    <s v="Joshua Thompson"/>
    <x v="0"/>
    <s v="joshua.thompson522@outlook.com"/>
    <s v="Slim Fit Denim Jeans"/>
    <s v="Apparel"/>
    <s v="JNS-BLU-32"/>
    <n v="1"/>
    <n v="39.99"/>
    <m/>
    <n v="0"/>
    <n v="7.99"/>
    <n v="47.98"/>
    <s v="PayPal"/>
    <x v="0"/>
    <s v="fulfilled"/>
    <s v="Pakistan"/>
    <m/>
    <s v="Not Required"/>
    <s v="West Derekport"/>
  </r>
  <r>
    <s v="#1726"/>
    <d v="2026-08-04T14:03:08"/>
    <d v="2026-08-04T14:03:08"/>
    <s v="Ann Byrd"/>
    <x v="0"/>
    <s v="ann.byrd498@icloud.com"/>
    <s v="Classic Cotton T-Shirt"/>
    <s v="Apparel"/>
    <s v="TSH-BLK-M"/>
    <n v="1"/>
    <n v="14.99"/>
    <m/>
    <n v="0"/>
    <n v="5.99"/>
    <s v="$20.98"/>
    <s v="PayPal"/>
    <x v="2"/>
    <s v="fulfilled"/>
    <s v="Australia"/>
    <m/>
    <s v="Not Required"/>
    <s v="Johnhaven"/>
  </r>
  <r>
    <s v="#1727"/>
    <d v="2026-08-04T14:07:44"/>
    <d v="2026-08-04T14:07:44"/>
    <s v="Joshua Chavez"/>
    <x v="1"/>
    <m/>
    <s v="Polarized Sunglasses"/>
    <s v="Accessories"/>
    <s v="ACC-SUN-01"/>
    <n v="3"/>
    <n v="16.989999999999998"/>
    <s v="WELCOME10"/>
    <n v="5.0999999999999996"/>
    <n v="4.99"/>
    <n v="50.86"/>
    <s v="Apple Pay"/>
    <x v="2"/>
    <s v="fulfilled"/>
    <s v="United States"/>
    <s v="Georgia"/>
    <s v="Valid"/>
    <s v="Boyerfort"/>
  </r>
  <r>
    <s v="#1728"/>
    <d v="2026-08-04T13:55:00"/>
    <d v="2026-08-04T13:55:00"/>
    <s v="James Mason"/>
    <x v="0"/>
    <s v="james.mason603@gmail.com"/>
    <s v="Vitamin C Serum 30ml"/>
    <s v="Beauty"/>
    <s v="BTY-SRM-30"/>
    <n v="1"/>
    <n v="24.99"/>
    <s v="VIP15"/>
    <n v="3.75"/>
    <n v="7.99"/>
    <n v="29.23"/>
    <s v="PayPal"/>
    <x v="0"/>
    <s v="refunded"/>
    <s v="Pakistan"/>
    <m/>
    <s v="Not Required"/>
    <s v="Hernandezshire"/>
  </r>
  <r>
    <s v="#1729"/>
    <d v="2026-08-04T14:08:05"/>
    <d v="2026-08-04T14:08:05"/>
    <s v="Amanda Rodriguez"/>
    <x v="0"/>
    <s v="amanda.rodriguez770@yahoo.com"/>
    <s v="Portable Power Bank 10000mAh"/>
    <s v="Electronics"/>
    <s v="ELC-PWB-10K"/>
    <n v="1"/>
    <n v="21.99"/>
    <m/>
    <n v="0"/>
    <n v="4.99"/>
    <n v="26.98"/>
    <s v="PayPal"/>
    <x v="2"/>
    <s v="fulfilled"/>
    <s v="United States"/>
    <s v="New York"/>
    <s v="Valid"/>
    <s v="Houstonstad"/>
  </r>
  <r>
    <s v="#1730"/>
    <d v="2026-08-04T00:00:00"/>
    <s v="Aug 04, 2026"/>
    <s v="Mary Bradley"/>
    <x v="0"/>
    <s v="mary.bradley289@gmail.com"/>
    <s v="Vitamin C Serum 30ml"/>
    <s v="Beauty"/>
    <s v="BTY-SRM-30"/>
    <n v="2"/>
    <s v="$24.99"/>
    <m/>
    <n v="0"/>
    <n v="4.99"/>
    <n v="54.97"/>
    <s v="Apple Pay"/>
    <x v="0"/>
    <s v="pending"/>
    <s v="United Kingdom"/>
    <m/>
    <s v="Not Required"/>
    <s v="Port Robin"/>
  </r>
  <r>
    <s v="#1731"/>
    <d v="2026-08-04T14:01:31"/>
    <d v="2026-08-04T14:01:31"/>
    <s v="KENNETH DAVIS"/>
    <x v="0"/>
    <s v="kenneth.davis106@yahoo.com"/>
    <s v="Slim Fit Denim Jeans"/>
    <s v="Apparel"/>
    <s v="JNS-BLU-32"/>
    <n v="1"/>
    <n v="39.99"/>
    <m/>
    <n v="0"/>
    <n v="5.99"/>
    <n v="45.98"/>
    <s v="Google Pay"/>
    <x v="1"/>
    <s v="cancelled"/>
    <s v="United States"/>
    <s v="Florida"/>
    <s v="Valid"/>
    <s v="Dylanmouth"/>
  </r>
  <r>
    <s v="#1732"/>
    <d v="2026-08-04T14:06:25"/>
    <d v="2026-08-04T14:06:25"/>
    <s v="ANGELA CARR"/>
    <x v="0"/>
    <s v="angela.carr488@yahoo.com"/>
    <s v="Adjustable Dumbbell Set"/>
    <s v="Sports &amp; Outdoors"/>
    <s v="SP-DMB-ADJ"/>
    <n v="1"/>
    <n v="89.99"/>
    <m/>
    <n v="0"/>
    <n v="0"/>
    <n v="89.99"/>
    <s v="Shopify Payments"/>
    <x v="3"/>
    <s v="pending"/>
    <s v="United States"/>
    <s v="Washington"/>
    <s v="Valid"/>
    <s v="South Jasonside"/>
  </r>
  <r>
    <s v="#1733"/>
    <d v="2026-08-04T13:55:58"/>
    <d v="2026-08-04T13:55:58"/>
    <s v="John Carson"/>
    <x v="0"/>
    <s v="john.carson203@yahoo.com"/>
    <s v="Vitamin C Serum 30ml"/>
    <s v="Beauty"/>
    <s v="BTY-SRM-30"/>
    <n v="4"/>
    <n v="24.99"/>
    <s v="VIP15"/>
    <n v="14.99"/>
    <n v="0"/>
    <n v="84.97"/>
    <s v="Shopify Payments"/>
    <x v="3"/>
    <s v="fulfilled"/>
    <s v="United States"/>
    <s v="New York"/>
    <s v="Valid"/>
    <s v="Justinfurt"/>
  </r>
  <r>
    <s v="#1734"/>
    <d v="2026-08-04T14:06:44"/>
    <d v="2026-08-04T14:06:44"/>
    <s v="Danielle Johnson"/>
    <x v="0"/>
    <s v="danielle.johnson52@yahoo.com"/>
    <s v="Vitamin C Serum 30ml"/>
    <s v="Beauty"/>
    <s v="BTY-SRM-30"/>
    <n v="1"/>
    <n v="24.99"/>
    <m/>
    <n v="0"/>
    <n v="4.99"/>
    <n v="29.98"/>
    <s v="Google Pay"/>
    <x v="0"/>
    <s v="cancelled"/>
    <s v="United States"/>
    <s v="Arizona"/>
    <s v="Valid"/>
    <s v="Mauriceland"/>
  </r>
  <r>
    <s v="#1735"/>
    <d v="2026-08-04T13:55:01"/>
    <d v="2026-08-04T13:55:01"/>
    <s v="Gerald Li"/>
    <x v="0"/>
    <s v="gerald.li856@icloud.com"/>
    <s v="Kids Building Blocks Set"/>
    <s v="Toys"/>
    <s v="TOY-BLK-SET"/>
    <n v="1"/>
    <n v="27.99"/>
    <s v="WELCOME10"/>
    <n v="2.8"/>
    <n v="5.99"/>
    <n v="31.18"/>
    <s v="Google Pay"/>
    <x v="3"/>
    <s v="fulfilled"/>
    <s v="United States"/>
    <s v="Florida"/>
    <s v="Valid"/>
    <s v="North Kelly"/>
  </r>
  <r>
    <s v="#1736"/>
    <d v="2026-08-04T13:55:35"/>
    <d v="2026-08-04T13:55:35"/>
    <s v="Cody Murray"/>
    <x v="0"/>
    <s v="cody.murray456@gmail.com"/>
    <s v="Facial Cleanser 200ml"/>
    <s v="Beauty"/>
    <s v="BTY-CLN-200"/>
    <n v="1"/>
    <n v="13.49"/>
    <m/>
    <n v="0"/>
    <n v="7.99"/>
    <n v="21.48"/>
    <s v="Credit Card"/>
    <x v="1"/>
    <s v="pending"/>
    <s v="United Kingdom"/>
    <m/>
    <s v="Not Required"/>
    <s v="East Thomasberg"/>
  </r>
  <r>
    <s v="#1737"/>
    <d v="2026-08-04T14:07:38"/>
    <d v="2026-08-04T14:07:38"/>
    <s v="Janet Martinez"/>
    <x v="0"/>
    <s v="janet.martinez20@yahoo.com"/>
    <s v="Ceramic Coffee Mug Set (4pc)"/>
    <s v="Home &amp; Kitchen"/>
    <s v="HK-MUG-4PK"/>
    <n v="1"/>
    <n v="18.989999999999998"/>
    <s v="FREESHIP"/>
    <n v="0"/>
    <n v="0"/>
    <n v="18.989999999999998"/>
    <s v="Google Pay"/>
    <x v="1"/>
    <s v="fulfilled"/>
    <s v="United States"/>
    <s v="IL"/>
    <s v="Valid"/>
    <s v="Millerland"/>
  </r>
  <r>
    <s v="#1738"/>
    <d v="2026-08-04T13:53:42"/>
    <d v="2026-08-04T13:53:42"/>
    <s v="Dustin Mccoy"/>
    <x v="0"/>
    <s v="dustin.mccoy570@gmail.com"/>
    <s v="Stainless Steel Water Bottle"/>
    <s v="Home &amp; Kitchen"/>
    <s v="HK-BTL-750"/>
    <n v="1"/>
    <n v="12.99"/>
    <s v="SAVE20"/>
    <n v="2.6"/>
    <n v="5.99"/>
    <n v="16.38"/>
    <s v="Credit Card"/>
    <x v="0"/>
    <s v="pending"/>
    <s v="Canada"/>
    <m/>
    <s v="Not Required"/>
    <s v="Williamhaven"/>
  </r>
  <r>
    <s v="#1739"/>
    <d v="2026-08-04T14:01:23"/>
    <d v="2026-08-04T14:01:23"/>
    <s v="Joshua Medina"/>
    <x v="0"/>
    <s v="joshua.medina38@yahoo.com"/>
    <s v="Resistance Bands Set"/>
    <s v="Sports &amp; Outdoors"/>
    <s v="SP-RBS-SET"/>
    <n v="1"/>
    <n v="13.99"/>
    <m/>
    <n v="0"/>
    <n v="4.99"/>
    <n v="18.98"/>
    <s v="Apple Pay"/>
    <x v="0"/>
    <s v="refunded"/>
    <s v="United Kingdom"/>
    <m/>
    <s v="Not Required"/>
    <s v="Lake Jamesbury"/>
  </r>
  <r>
    <s v="#1740"/>
    <d v="2026-08-04T14:03:47"/>
    <d v="2026-08-04T14:03:47"/>
    <s v="Kayla Lee"/>
    <x v="0"/>
    <s v="kayla.lee278@yahoo.com"/>
    <s v="Phone Case - Clear"/>
    <s v="Electronics"/>
    <s v="ELC-CSE-CLR"/>
    <n v="1"/>
    <n v="8.99"/>
    <m/>
    <n v="0"/>
    <n v="4.99"/>
    <n v="13.98"/>
    <s v="Credit Card"/>
    <x v="0"/>
    <s v="cancelled"/>
    <s v="United Kingdom"/>
    <m/>
    <s v="Not Required"/>
    <s v="Port Markport"/>
  </r>
  <r>
    <s v="#1741"/>
    <d v="2026-08-04T13:57:13"/>
    <d v="2026-08-04T13:57:13"/>
    <s v="Christopher Harris"/>
    <x v="0"/>
    <s v="christopher.harris618@yahoo.com"/>
    <s v="Hooded Sweatshirt"/>
    <s v="Apparel"/>
    <s v="APR-HOD-GRY"/>
    <n v="2"/>
    <n v="34.99"/>
    <s v="WELCOME10"/>
    <n v="7"/>
    <n v="4.99"/>
    <n v="67.97"/>
    <s v="Apple Pay"/>
    <x v="3"/>
    <s v="refunded"/>
    <s v="Australia"/>
    <m/>
    <s v="Not Required"/>
    <s v="Port Nicholasport"/>
  </r>
  <r>
    <s v="#1742"/>
    <d v="2026-08-04T14:00:54"/>
    <d v="2026-08-04T14:00:54"/>
    <s v="Rodney Lamb"/>
    <x v="0"/>
    <s v="rodney.lamb872@icloud.com"/>
    <s v="Polarized Sunglasses"/>
    <s v="Accessories"/>
    <s v="ACC-SUN-01"/>
    <n v="1"/>
    <n v="16.989999999999998"/>
    <s v="BFCM25"/>
    <n v="4.25"/>
    <n v="7.99"/>
    <n v="20.73"/>
    <s v="Google Pay"/>
    <x v="2"/>
    <s v="cancelled"/>
    <s v="Australia"/>
    <m/>
    <s v="Not Required"/>
    <s v="East Corey"/>
  </r>
  <r>
    <s v="#1743"/>
    <d v="2026-08-04T00:00:00"/>
    <s v="04-08-2026 14:00"/>
    <s v="Joshua Miller"/>
    <x v="0"/>
    <s v="joshua.miller362@gmail.com"/>
    <s v="Throw Blanket - Fleece"/>
    <s v="Home &amp; Kitchen"/>
    <s v="HK-BLK-FLC"/>
    <n v="1"/>
    <n v="17.989999999999998"/>
    <s v="VIP15"/>
    <n v="2.7"/>
    <n v="5.99"/>
    <n v="21.28"/>
    <s v="Apple Pay"/>
    <x v="0"/>
    <s v="pending"/>
    <s v="Canada"/>
    <m/>
    <s v="Not Required"/>
    <s v="Alexandrachester"/>
  </r>
  <r>
    <s v="#1744"/>
    <d v="2026-08-04T13:58:00"/>
    <d v="2026-08-04T13:58:00"/>
    <s v="Natalie Roberts"/>
    <x v="0"/>
    <s v="natalie.roberts628@yahoo.com"/>
    <s v="Facial Cleanser 200ml"/>
    <s v="Beauty"/>
    <s v="BTY-CLN-200"/>
    <n v="2"/>
    <n v="13.49"/>
    <s v="SAVE20"/>
    <s v="$5.40"/>
    <n v="7.99"/>
    <n v="29.57"/>
    <s v="PayPal"/>
    <x v="1"/>
    <s v="pending"/>
    <s v="United States"/>
    <s v="Illinois"/>
    <s v="Valid"/>
    <s v="Velasquezville"/>
  </r>
  <r>
    <s v="#1745"/>
    <d v="2026-08-04T13:56:11"/>
    <d v="2026-08-04T13:56:11"/>
    <s v="Samuel Smith"/>
    <x v="0"/>
    <s v="samuel.smith76@outlook.com"/>
    <s v="Running Shoes - Men's"/>
    <s v="Footwear"/>
    <s v="FTW-RUN-M"/>
    <n v="1"/>
    <n v="54.99"/>
    <s v="SAVE20"/>
    <n v="11"/>
    <n v="5.99"/>
    <n v="49.98"/>
    <s v="Credit Card"/>
    <x v="0"/>
    <s v="pending"/>
    <s v="United Kingdom"/>
    <m/>
    <s v="Not Required"/>
    <s v="Richardshire"/>
  </r>
  <r>
    <s v="#1746"/>
    <d v="2026-08-04T14:01:16"/>
    <d v="2026-08-04T14:01:16"/>
    <s v="TINA SINGH"/>
    <x v="0"/>
    <s v="tina.singh98@icloud.com"/>
    <s v="Yoga Mat - Extra Thick"/>
    <s v="Sports &amp; Outdoors"/>
    <s v="SP-YGM-EX"/>
    <n v="4"/>
    <n v="22.99"/>
    <s v="WELCOME10"/>
    <n v="9.1999999999999993"/>
    <n v="0"/>
    <s v="$82.76"/>
    <s v="Credit Card"/>
    <x v="0"/>
    <s v="fulfilled"/>
    <s v="United States"/>
    <s v="Texas"/>
    <s v="Valid"/>
    <s v="North Amandafurt"/>
  </r>
  <r>
    <s v="#1747"/>
    <d v="2026-08-04T14:00:08"/>
    <d v="2026-08-04T14:00:08"/>
    <s v="Joel Davidson"/>
    <x v="0"/>
    <s v="joel.davidson94@icloud.com"/>
    <s v="Ceramic Coffee Mug Set (4pc)  "/>
    <s v="Home &amp; Kitchen"/>
    <s v="HK-MUG-4PK"/>
    <n v="1"/>
    <n v="18.989999999999998"/>
    <m/>
    <n v="0"/>
    <n v="7.99"/>
    <n v="26.98"/>
    <s v="Shopify Payments"/>
    <x v="3"/>
    <s v="pending"/>
    <s v="United States"/>
    <s v="Arizona"/>
    <s v="Valid"/>
    <s v="Deborahton"/>
  </r>
  <r>
    <s v="#1748"/>
    <d v="2026-08-04T14:07:23"/>
    <d v="2026-08-04T14:07:23"/>
    <s v="Anthony Mullen"/>
    <x v="0"/>
    <s v="anthony.mullen523@yahoo.com"/>
    <s v="Vitamin C Serum 30ml"/>
    <s v="Beauty"/>
    <s v="BTY-SRM-30"/>
    <n v="1"/>
    <n v="24.99"/>
    <s v="BFCM25"/>
    <n v="6.25"/>
    <n v="5.99"/>
    <n v="24.73"/>
    <s v="Shopify Payments"/>
    <x v="0"/>
    <s v="cancelled"/>
    <s v="United States"/>
    <s v="Ohio"/>
    <s v="Valid"/>
    <s v="Cameronberg"/>
  </r>
  <r>
    <s v="#1749"/>
    <d v="2026-08-04T13:57:03"/>
    <d v="2026-08-04T13:57:03"/>
    <s v="Ronald Stanley"/>
    <x v="0"/>
    <s v="ronald.stanley7@yahoo.com"/>
    <s v="Backpack - 25L"/>
    <s v="Accessories"/>
    <s v="ACC-BPK-25L"/>
    <n v="1"/>
    <n v="32.99"/>
    <s v="BFCM25"/>
    <n v="8.25"/>
    <n v="4.99"/>
    <n v="29.73"/>
    <s v="Shopify Payments"/>
    <x v="0"/>
    <s v="fulfilled"/>
    <s v="United States"/>
    <s v="Texas"/>
    <s v="Valid"/>
    <s v="South Maria"/>
  </r>
  <r>
    <s v="#1750"/>
    <d v="2026-08-04T13:54:02"/>
    <d v="2026-08-04T13:54:02"/>
    <s v="Michael Davis"/>
    <x v="0"/>
    <s v="michael.davis313@outlook.com"/>
    <s v="Ceramic Coffee Mug Set (4pc)"/>
    <s v="Home &amp; Kitchen"/>
    <s v="HK-MUG-4PK"/>
    <n v="2"/>
    <s v="$18.99"/>
    <m/>
    <n v="0"/>
    <n v="5.99"/>
    <n v="43.97"/>
    <s v="Shopify Payments"/>
    <x v="0"/>
    <s v="fulfilled"/>
    <s v="United States"/>
    <s v="Texas"/>
    <s v="Valid"/>
    <s v="Masseyton"/>
  </r>
  <r>
    <s v="#1751"/>
    <d v="2026-08-04T13:54:02"/>
    <d v="2026-08-04T13:54:02"/>
    <s v="Amanda Harris"/>
    <x v="0"/>
    <s v="amanda.harris197@gmail.com"/>
    <s v="Yoga Mat - Extra Thick"/>
    <s v="Sports &amp; Outdoors"/>
    <s v="SP-YGM-EX"/>
    <n v="1"/>
    <n v="22.99"/>
    <m/>
    <n v="0"/>
    <n v="4.99"/>
    <n v="27.98"/>
    <s v="Credit Card"/>
    <x v="3"/>
    <s v="fulfilled"/>
    <s v="United States"/>
    <s v="California"/>
    <s v="Valid"/>
    <s v="Zacharyfurt"/>
  </r>
  <r>
    <s v="#1752"/>
    <d v="2026-08-04T14:08:15"/>
    <d v="2026-08-04T14:08:15"/>
    <s v="Christy Phillips"/>
    <x v="0"/>
    <s v="christy.phillips291@gmail.com"/>
    <s v="Wireless Bluetooth Earbuds"/>
    <s v="Electronics"/>
    <s v="ELC-WBE-01"/>
    <n v="2"/>
    <s v="$29.99"/>
    <s v="VIP15"/>
    <n v="9"/>
    <n v="4.99"/>
    <n v="55.97"/>
    <s v="Shopify Payments"/>
    <x v="3"/>
    <s v="fulfilled"/>
    <s v="Pakistan"/>
    <m/>
    <s v="Not Required"/>
    <s v="East Lindseyside"/>
  </r>
  <r>
    <s v="#1753"/>
    <d v="2026-08-04T14:08:22"/>
    <d v="2026-08-04T14:08:22"/>
    <s v="Kelly Wyatt"/>
    <x v="0"/>
    <s v="kelly.wyatt277@yahoo.com"/>
    <s v="Wireless Bluetooth Earbuds"/>
    <s v="Electronics"/>
    <s v="ELC-WBE-01"/>
    <n v="2"/>
    <s v="$29.99"/>
    <s v="SAVE20"/>
    <n v="12"/>
    <n v="4.99"/>
    <n v="52.97"/>
    <s v="Shopify Payments"/>
    <x v="0"/>
    <s v="cancelled"/>
    <s v="Germany"/>
    <m/>
    <s v="Not Required"/>
    <s v="Lake Beverlyside"/>
  </r>
  <r>
    <s v="#1754"/>
    <d v="2026-04-08T00:00:00"/>
    <s v="08/04/2026"/>
    <s v="Randy Wheeler"/>
    <x v="0"/>
    <s v="randy.wheeler304@icloud.com"/>
    <s v="Adjustable Dumbbell Set"/>
    <s v="Sports &amp; Outdoors"/>
    <s v="SP-DMB-ADJ"/>
    <n v="1"/>
    <n v="89.99"/>
    <m/>
    <n v="0"/>
    <n v="0"/>
    <n v="89.99"/>
    <s v="Google Pay"/>
    <x v="2"/>
    <s v="refunded"/>
    <s v="United States"/>
    <s v="New York"/>
    <s v="Valid"/>
    <s v="Lake Michael"/>
  </r>
  <r>
    <s v="#1755"/>
    <d v="2026-04-08T00:00:00"/>
    <s v="08/04/2026"/>
    <s v="Melinda Williams"/>
    <x v="0"/>
    <s v="melinda.williams310@icloud.com"/>
    <s v="Throw Blanket - Fleece"/>
    <s v="Home &amp; Kitchen"/>
    <s v="HK-BLK-FLC"/>
    <n v="1"/>
    <n v="17.989999999999998"/>
    <s v="SAVE20"/>
    <s v="$3.60"/>
    <n v="7.99"/>
    <n v="22.38"/>
    <s v="PayPal"/>
    <x v="3"/>
    <s v="fulfilled"/>
    <s v="United States"/>
    <s v="New York"/>
    <s v="Valid"/>
    <s v="South Brianmouth"/>
  </r>
  <r>
    <s v="#1756"/>
    <d v="2026-08-04T14:02:02"/>
    <d v="2026-08-04T14:02:02"/>
    <s v="Kristina Thompson"/>
    <x v="0"/>
    <s v="kristina.thompson501@icloud.com"/>
    <s v="Throw Blanket - Fleece"/>
    <s v="Home &amp; Kitchen"/>
    <s v="HK-BLK-FLC"/>
    <n v="2"/>
    <n v="17.989999999999998"/>
    <s v="FREESHIP"/>
    <n v="0"/>
    <n v="0"/>
    <n v="35.979999999999997"/>
    <s v="Google Pay"/>
    <x v="0"/>
    <s v="fulfilled"/>
    <s v="United States"/>
    <s v="Canada"/>
    <s v="Valid"/>
    <s v="Heatherfort"/>
  </r>
  <r>
    <s v="#1757"/>
    <d v="2026-08-04T14:03:18"/>
    <d v="2026-08-04T14:03:18"/>
    <s v="Anthony Parker"/>
    <x v="0"/>
    <s v="anthony.parker256@icloud.com"/>
    <s v="Portable Power Bank 10000mAh"/>
    <s v="Electronics"/>
    <s v="ELC-PWB-10K"/>
    <n v="1"/>
    <n v="21.99"/>
    <s v="BFCM25"/>
    <n v="5.5"/>
    <n v="5.99"/>
    <n v="22.48"/>
    <s v="Apple Pay"/>
    <x v="3"/>
    <s v="fulfilled"/>
    <s v="United Kingdom"/>
    <m/>
    <s v="Not Required"/>
    <s v="Justinberg"/>
  </r>
  <r>
    <s v="#1758"/>
    <d v="2026-08-04T00:00:00"/>
    <s v="2026-08-04"/>
    <s v="Ian Morris"/>
    <x v="0"/>
    <s v="ian.morris90@outlook.com"/>
    <s v="Scented Soy Candle - Vanilla"/>
    <s v="Home &amp; Kitchen"/>
    <s v="HK-CND-VAN"/>
    <n v="1"/>
    <n v="9.99"/>
    <s v="VIP15"/>
    <n v="1.5"/>
    <n v="4.99"/>
    <n v="13.48"/>
    <s v="Credit Card"/>
    <x v="1"/>
    <s v="refunded"/>
    <s v="Pakistan"/>
    <m/>
    <s v="Not Required"/>
    <s v="Andersontown"/>
  </r>
  <r>
    <s v="#1759"/>
    <d v="2026-08-04T14:02:48"/>
    <d v="2026-08-04T14:02:48"/>
    <s v="Nicholas Jarvis"/>
    <x v="0"/>
    <s v="nicholas.jarvis112@icloud.com"/>
    <s v="Phone Case - Clear"/>
    <s v="Electronics"/>
    <s v="ELC-CSE-CLR"/>
    <n v="1"/>
    <n v="8.99"/>
    <s v="FREESHIP"/>
    <s v="$0.00"/>
    <n v="0"/>
    <n v="8.99"/>
    <s v="Credit Card"/>
    <x v="0"/>
    <s v="fulfilled"/>
    <s v="Canada"/>
    <m/>
    <s v="Not Required"/>
    <s v="Danaport"/>
  </r>
  <r>
    <s v="#1760"/>
    <d v="2026-08-04T13:57:12"/>
    <d v="2026-08-04T13:57:12"/>
    <s v="Christy Phillips"/>
    <x v="0"/>
    <s v="christy.phillips291@gmail.com"/>
    <s v="Portable Power Bank 10000mAh"/>
    <s v="Electronics"/>
    <s v="ELC-PWB-10K"/>
    <n v="1"/>
    <n v="21.99"/>
    <s v="SAVE20"/>
    <n v="4.4000000000000004"/>
    <n v="7.99"/>
    <n v="25.58"/>
    <s v="PayPal"/>
    <x v="2"/>
    <s v="refunded"/>
    <s v="Pakistan"/>
    <m/>
    <s v="Not Required"/>
    <s v="South Aaronstad"/>
  </r>
  <r>
    <s v="#1761"/>
    <d v="2026-08-04T14:07:16"/>
    <d v="2026-08-04T14:07:16"/>
    <s v="James Miller"/>
    <x v="0"/>
    <s v="james.miller866@yahoo.com"/>
    <s v="Classic Cotton T-Shirt"/>
    <s v="Apparel"/>
    <s v="TSH-BLK-M"/>
    <n v="1"/>
    <n v="14.99"/>
    <m/>
    <n v="0"/>
    <n v="5.99"/>
    <n v="20.98"/>
    <s v="Credit Card"/>
    <x v="0"/>
    <s v="fulfilled"/>
    <s v="Pakistan"/>
    <m/>
    <s v="Not Required"/>
    <s v="Amandafurt"/>
  </r>
  <r>
    <s v="#1762"/>
    <d v="2026-08-04T13:56:37"/>
    <d v="2026-08-04T13:56:37"/>
    <s v="Nicole Taylor"/>
    <x v="0"/>
    <s v="nicole.taylor607@icloud.com"/>
    <s v="Non-Stick Frying Pan 10in"/>
    <s v="Home &amp; Kitchen"/>
    <s v="HK-PAN-10"/>
    <n v="1"/>
    <n v="24.99"/>
    <s v="SAVE20"/>
    <n v="5"/>
    <n v="4.99"/>
    <n v="24.98"/>
    <s v="Apple Pay"/>
    <x v="0"/>
    <s v="cancelled"/>
    <s v="United States"/>
    <s v="Arizona"/>
    <s v="Valid"/>
    <s v="Caseyhaven"/>
  </r>
  <r>
    <s v="#1763"/>
    <d v="2026-08-04T13:56:13"/>
    <d v="2026-08-04T13:56:13"/>
    <m/>
    <x v="0"/>
    <s v="kimberly.cordova508@icloud.com"/>
    <s v="Vitamin C Serum 30ml"/>
    <s v="Beauty"/>
    <s v="BTY-SRM-30"/>
    <n v="2"/>
    <n v="24.99"/>
    <s v="WELCOME10"/>
    <n v="5"/>
    <n v="7.99"/>
    <n v="52.97"/>
    <s v="Credit Card"/>
    <x v="0"/>
    <s v="pending"/>
    <s v="Pakistan"/>
    <m/>
    <s v="Not Required"/>
    <s v="Tamaraside"/>
  </r>
  <r>
    <s v="#1764"/>
    <d v="2026-08-04T14:03:40"/>
    <d v="2026-08-04T14:03:40"/>
    <s v="Lindsay Shaw"/>
    <x v="1"/>
    <m/>
    <s v="Scented Soy Candle - Vanilla"/>
    <s v="Home &amp; Kitchen"/>
    <s v="HK-CND-VAN"/>
    <n v="1"/>
    <n v="9.99"/>
    <m/>
    <n v="0"/>
    <n v="4.99"/>
    <n v="14.98"/>
    <s v="Google Pay"/>
    <x v="0"/>
    <s v="fulfilled"/>
    <s v="United Kingdom"/>
    <m/>
    <s v="Not Required"/>
    <s v="Lake Rhondaton"/>
  </r>
  <r>
    <s v="#1765"/>
    <d v="2026-08-04T13:55:01"/>
    <d v="2026-08-04T13:55:01"/>
    <s v="Brian Gardner"/>
    <x v="0"/>
    <s v="brian.gardner260@outlook.com"/>
    <s v="Scented Soy Candle - Vanilla"/>
    <s v="Home &amp; Kitchen"/>
    <s v="HK-CND-VAN"/>
    <n v="1"/>
    <n v="9.99"/>
    <s v="VIP15"/>
    <n v="1.5"/>
    <n v="5.99"/>
    <n v="14.48"/>
    <s v="Apple Pay"/>
    <x v="2"/>
    <s v="fulfilled"/>
    <s v="United States"/>
    <s v="Ohio"/>
    <s v="Valid"/>
    <s v="Chelseafurt"/>
  </r>
  <r>
    <s v="#1766"/>
    <d v="2026-08-04T14:04:05"/>
    <d v="2026-08-04T14:04:05"/>
    <s v="Cody Murray"/>
    <x v="0"/>
    <s v="cody.murray456@gmail.com"/>
    <s v="Running Shoes - Men's"/>
    <s v="Footwear"/>
    <s v="FTW-RUN-M"/>
    <n v="2"/>
    <s v="$54.99"/>
    <s v="SAVE20"/>
    <n v="22"/>
    <n v="0"/>
    <n v="87.98"/>
    <s v="Apple Pay"/>
    <x v="1"/>
    <s v="cancelled"/>
    <s v="United Kingdom"/>
    <m/>
    <s v="Not Required"/>
    <s v="East David"/>
  </r>
  <r>
    <s v="#1767"/>
    <d v="2026-08-04T13:55:51"/>
    <d v="2026-08-04T13:55:51"/>
    <s v="Sandra Potter"/>
    <x v="0"/>
    <s v="sandra.potter166@yahoo.com"/>
    <s v="Wireless Mouse"/>
    <s v="Electronics"/>
    <s v="ELC-MSE-WL"/>
    <n v="1"/>
    <n v="11.99"/>
    <m/>
    <n v="0"/>
    <n v="5.99"/>
    <n v="17.98"/>
    <s v="Shopify Payments"/>
    <x v="0"/>
    <s v="fulfilled"/>
    <s v="United States"/>
    <s v="Arizona"/>
    <s v="Valid"/>
    <s v="East Robert"/>
  </r>
  <r>
    <s v="#1768"/>
    <d v="2026-08-04T14:08:14"/>
    <d v="2026-08-04T14:08:14"/>
    <s v="Sandra Potter"/>
    <x v="0"/>
    <s v="sandra.potter166@yahoo.com"/>
    <s v="Portable Power Bank 10000mAh"/>
    <s v="Electronics"/>
    <s v="ELC-PWB-10K"/>
    <n v="1"/>
    <n v="21.99"/>
    <m/>
    <n v="0"/>
    <n v="4.99"/>
    <s v="$26.98"/>
    <s v="Shopify Payments"/>
    <x v="0"/>
    <s v="fulfilled"/>
    <s v="United States"/>
    <s v="Illinois"/>
    <s v="Valid"/>
    <s v="Port Melinda"/>
  </r>
  <r>
    <s v="#1769"/>
    <d v="2026-08-04T14:02:15"/>
    <d v="2026-08-04T14:02:15"/>
    <s v="Timothy Hodges"/>
    <x v="0"/>
    <s v="timothy.hodges687@icloud.com"/>
    <s v="Running Shoes - Women's"/>
    <s v="Footwear"/>
    <s v="FTW-RUN-W"/>
    <n v="1"/>
    <n v="54.99"/>
    <s v="VIP15"/>
    <n v="8.25"/>
    <n v="7.99"/>
    <n v="54.73"/>
    <s v="Apple Pay"/>
    <x v="0"/>
    <s v="fulfilled"/>
    <s v="Australia"/>
    <m/>
    <s v="Not Required"/>
    <s v="North William"/>
  </r>
  <r>
    <s v="#1770"/>
    <d v="2026-08-04T14:08:16"/>
    <d v="2026-08-04T14:08:16"/>
    <s v="Richard Ward"/>
    <x v="0"/>
    <s v="richard.ward894@icloud.com"/>
    <s v="Running Shoes - Womens"/>
    <s v="Footwear"/>
    <s v="FTW-RUN-W"/>
    <n v="1"/>
    <n v="54.99"/>
    <s v="VIP15"/>
    <n v="8.25"/>
    <n v="4.99"/>
    <n v="51.73"/>
    <s v="Google Pay"/>
    <x v="1"/>
    <s v="cancelled"/>
    <s v="Pakistan"/>
    <m/>
    <s v="Not Required"/>
    <s v="Lake Aprilstad"/>
  </r>
  <r>
    <s v="#1771"/>
    <d v="2026-08-04T14:06:36"/>
    <d v="2026-08-04T14:06:36"/>
    <s v="Adam Krause"/>
    <x v="0"/>
    <s v="adam.krause31@yahoo.com"/>
    <s v="Leather Wallet - Brown"/>
    <s v="Accessories"/>
    <s v="ACC-WLT-BRN"/>
    <n v="1"/>
    <n v="19.989999999999998"/>
    <m/>
    <n v="0"/>
    <n v="5.99"/>
    <s v="$25.98"/>
    <s v="PayPal"/>
    <x v="0"/>
    <s v="refunded"/>
    <s v="United States"/>
    <s v="Illinois"/>
    <s v="Valid"/>
    <s v="East Aaron"/>
  </r>
  <r>
    <s v="#1772"/>
    <d v="2026-08-04T13:58:15"/>
    <d v="2026-08-04T13:58:15"/>
    <s v="John Jacobs"/>
    <x v="0"/>
    <s v="john.jacobs137@yahoo.com"/>
    <s v="Wireless Bluetooth Earbuds"/>
    <s v="Electronics"/>
    <s v="ELC-WBE-01"/>
    <n v="1"/>
    <n v="29.99"/>
    <s v="SAVE20"/>
    <n v="6"/>
    <n v="7.99"/>
    <n v="31.98"/>
    <s v="PayPal"/>
    <x v="0"/>
    <s v="fulfilled"/>
    <s v="Australia"/>
    <m/>
    <s v="Not Required"/>
    <s v="Haneyhaven"/>
  </r>
  <r>
    <s v="#1773"/>
    <d v="2026-08-04T14:06:17"/>
    <d v="2026-08-04T14:06:17"/>
    <s v="Morgan Johnson"/>
    <x v="0"/>
    <s v="morgan.johnson938@outlook.com"/>
    <s v="Facial Cleanser 200ml"/>
    <s v="Beauty"/>
    <s v="BTY-CLN-200"/>
    <n v="1"/>
    <n v="13.49"/>
    <s v="SAVE20"/>
    <s v="$2.70"/>
    <n v="4.99"/>
    <n v="15.78"/>
    <s v="Google Pay"/>
    <x v="0"/>
    <s v="fulfilled"/>
    <s v="Canada"/>
    <m/>
    <s v="Not Required"/>
    <s v="Lake Zacharybury"/>
  </r>
  <r>
    <s v="#1774"/>
    <d v="2026-08-04T13:55:01"/>
    <d v="2026-08-04T13:55:01"/>
    <s v="Anthony Krueger"/>
    <x v="0"/>
    <s v="anthony.krueger812@yahoo.com"/>
    <s v="Vitamin C Serum 30ml"/>
    <s v="Beauty"/>
    <s v="BTY-SRM-30"/>
    <n v="1"/>
    <n v="24.99"/>
    <s v="BFCM25"/>
    <n v="6.25"/>
    <n v="5.99"/>
    <n v="24.73"/>
    <s v="PayPal"/>
    <x v="2"/>
    <s v="cancelled"/>
    <s v="Pakistan"/>
    <m/>
    <s v="Not Required"/>
    <s v="Mooremouth"/>
  </r>
  <r>
    <s v="#1775"/>
    <d v="2026-08-04T14:06:22"/>
    <d v="2026-08-04T14:06:22"/>
    <s v="Kaitlyn Hernandez"/>
    <x v="1"/>
    <m/>
    <s v="Non-Stick Frying Pan 10in"/>
    <s v="Home &amp; Kitchen"/>
    <s v="HK-PAN-10"/>
    <n v="4"/>
    <n v="24.99"/>
    <s v="WELCOME10"/>
    <n v="10"/>
    <n v="0"/>
    <n v="89.96"/>
    <s v="Apple Pay"/>
    <x v="0"/>
    <s v="fulfilled"/>
    <s v="Pakistan"/>
    <m/>
    <s v="Not Required"/>
    <s v="East Patricia"/>
  </r>
  <r>
    <s v="#1776"/>
    <d v="2026-08-04T13:55:46"/>
    <d v="2026-08-04T13:55:46"/>
    <s v="Michael Wilson"/>
    <x v="0"/>
    <s v="michael.wilson464@icloud.com"/>
    <s v="Wireless Bluetooth Earbuds"/>
    <s v="Electronics"/>
    <s v="ELC-WBE-01"/>
    <n v="1"/>
    <n v="29.99"/>
    <m/>
    <n v="0"/>
    <n v="7.99"/>
    <n v="37.979999999999997"/>
    <s v="Google Pay"/>
    <x v="0"/>
    <s v="fulfilled"/>
    <s v="Australia"/>
    <m/>
    <s v="Not Required"/>
    <s v="Cookeport"/>
  </r>
  <r>
    <s v="#1777"/>
    <d v="2026-08-04T14:04:07"/>
    <d v="2026-08-04T14:04:07"/>
    <s v="Jasmine Parker"/>
    <x v="0"/>
    <s v="jasmine.parker47@icloud.com"/>
    <s v="Slim Fit Denim Jeans"/>
    <s v="Apparel"/>
    <s v="JNS-BLU-32"/>
    <n v="1"/>
    <n v="39.99"/>
    <s v="BFCM25"/>
    <n v="10"/>
    <n v="7.99"/>
    <n v="37.979999999999997"/>
    <s v="PayPal"/>
    <x v="2"/>
    <s v="pending"/>
    <s v="Pakistan"/>
    <m/>
    <s v="Not Required"/>
    <s v="Deanmouth"/>
  </r>
  <r>
    <s v="#1778"/>
    <d v="2026-08-04T13:56:45"/>
    <d v="2026-08-04T13:56:45"/>
    <s v="Matthew Perez"/>
    <x v="0"/>
    <s v="matthew.perez875@gmail.com"/>
    <s v="Running Shoes - Men's"/>
    <s v="Footwear"/>
    <s v="FTW-RUN-M"/>
    <n v="2"/>
    <n v="54.99"/>
    <s v="SAVE20"/>
    <n v="22"/>
    <n v="0"/>
    <n v="87.98"/>
    <s v="Apple Pay"/>
    <x v="3"/>
    <s v="fulfilled"/>
    <s v="Pakistan"/>
    <m/>
    <s v="Not Required"/>
    <s v="West Drewland"/>
  </r>
  <r>
    <s v="#1779"/>
    <d v="2026-08-04T13:59:23"/>
    <d v="2026-08-04T13:59:23"/>
    <s v="Andrew Vargas"/>
    <x v="0"/>
    <s v="andrew.vargas381@outlook.com"/>
    <s v="Running Shoes - Women's"/>
    <s v="Footwear"/>
    <s v="FTW-RUN-W"/>
    <n v="1"/>
    <n v="54.99"/>
    <m/>
    <n v="0"/>
    <n v="5.99"/>
    <n v="60.98"/>
    <s v="Apple Pay"/>
    <x v="0"/>
    <s v="pending"/>
    <s v="Canada"/>
    <m/>
    <s v="Not Required"/>
    <s v="Lake Joseph"/>
  </r>
  <r>
    <s v="#1780"/>
    <d v="2026-08-04T14:02:08"/>
    <d v="2026-08-04T14:02:08"/>
    <s v="Joseph Martin"/>
    <x v="0"/>
    <s v="joseph.martin348@icloud.com"/>
    <s v="Classic Cotton T-Shirt"/>
    <s v="Apparel"/>
    <s v="TSH-BLK-M"/>
    <n v="2"/>
    <n v="14.99"/>
    <m/>
    <n v="0"/>
    <n v="5.99"/>
    <n v="35.97"/>
    <s v="Apple Pay"/>
    <x v="3"/>
    <s v="cancelled"/>
    <s v="United States"/>
    <s v="Washington"/>
    <s v="Valid"/>
    <s v="West Debra"/>
  </r>
  <r>
    <s v="#1782"/>
    <d v="2026-08-04T13:59:00"/>
    <d v="2026-08-04T13:59:00"/>
    <s v="Charles Franco"/>
    <x v="0"/>
    <s v="charles.franco761@outlook.com"/>
    <s v="Running Shoes - Men's"/>
    <s v="Footwear"/>
    <s v="FTW-RUN-M"/>
    <n v="1"/>
    <n v="54.99"/>
    <m/>
    <n v="0"/>
    <n v="4.99"/>
    <n v="59.98"/>
    <s v="PayPal"/>
    <x v="2"/>
    <s v="fulfilled"/>
    <s v="United States"/>
    <s v="Ohio"/>
    <s v="Valid"/>
    <s v="Peckstad"/>
  </r>
  <r>
    <s v="#1783"/>
    <d v="2026-08-04T13:58:35"/>
    <d v="2026-08-04T13:58:35"/>
    <s v="Autumn Stewart"/>
    <x v="0"/>
    <s v="autumn.stewart565@outlook.com"/>
    <s v="Portable Power Bank 10000mAh"/>
    <s v="Electronics"/>
    <s v="ELC-PWB-10K"/>
    <n v="1"/>
    <n v="21.99"/>
    <m/>
    <n v="0"/>
    <n v="7.99"/>
    <n v="29.98"/>
    <s v="Apple Pay"/>
    <x v="0"/>
    <s v="fulfilled"/>
    <s v="United Kingdom"/>
    <m/>
    <s v="Not Required"/>
    <s v="Kimberlymouth"/>
  </r>
  <r>
    <s v="#1784"/>
    <d v="2026-08-04T00:00:00"/>
    <s v="04-08-2026 14:04"/>
    <s v="Austin Norris"/>
    <x v="0"/>
    <s v="austin.norris15@gmail.com"/>
    <s v="Polarized Sunglasses"/>
    <s v="Accessories"/>
    <s v="ACC-SUN-01"/>
    <n v="2"/>
    <n v="16.989999999999998"/>
    <m/>
    <n v="0"/>
    <n v="7.99"/>
    <n v="41.97"/>
    <s v="Credit Card"/>
    <x v="0"/>
    <s v="pending"/>
    <s v="United States"/>
    <s v="Washington"/>
    <s v="Valid"/>
    <s v="Rebeccaland"/>
  </r>
  <r>
    <s v="#1785"/>
    <d v="2026-08-04T13:54:11"/>
    <d v="2026-08-04T13:54:11"/>
    <s v="Wilkins, Jordan"/>
    <x v="0"/>
    <s v="jordan.wilkins318@outlook.com"/>
    <s v="Wireless Bluetooth Earbuds"/>
    <s v="Electronics"/>
    <s v="ELC-WBE-01"/>
    <n v="1"/>
    <n v="29.99"/>
    <s v="VIP15"/>
    <n v="4.5"/>
    <n v="4.99"/>
    <n v="1524"/>
    <s v="Shopify Payments"/>
    <x v="2"/>
    <s v="fulfilled"/>
    <s v="Pakistan"/>
    <m/>
    <s v="Not Required"/>
    <s v="South Courtney"/>
  </r>
  <r>
    <s v="#1786"/>
    <d v="2026-08-04T13:56:08"/>
    <d v="2026-08-04T13:56:08"/>
    <s v="Anthony Marshall"/>
    <x v="0"/>
    <s v="anthony.marshall823@yahoo.com"/>
    <s v="Stainless Steel Water Bottle"/>
    <s v="Home &amp; Kitchen"/>
    <s v="HK-BTL-750"/>
    <n v="1"/>
    <n v="12.99"/>
    <s v="SAVE20"/>
    <s v="$2.60"/>
    <n v="5.99"/>
    <n v="16.38"/>
    <s v="Credit Card"/>
    <x v="0"/>
    <s v="fulfilled"/>
    <s v="United States"/>
    <s v="Florida"/>
    <s v="Valid"/>
    <s v="North Ricardoland"/>
  </r>
  <r>
    <s v="#1787"/>
    <d v="2026-08-04T14:07:21"/>
    <d v="2026-08-04T14:07:21"/>
    <s v="Sandra Wilson"/>
    <x v="0"/>
    <s v="sandra.wilson554@outlook.com"/>
    <s v="Leather Wallet - Brown"/>
    <s v="Accessories"/>
    <s v="ACC-WLT-BRN"/>
    <n v="1"/>
    <n v="19.989999999999998"/>
    <m/>
    <n v="0"/>
    <n v="4.99"/>
    <n v="24.98"/>
    <s v="Shopify Payments"/>
    <x v="0"/>
    <s v="fulfilled"/>
    <s v="Canada"/>
    <m/>
    <s v="Not Required"/>
    <s v="New Melissashire"/>
  </r>
  <r>
    <s v="#1788"/>
    <d v="2026-08-04T14:06:34"/>
    <d v="2026-08-04T14:06:34"/>
    <s v="Angela Carr"/>
    <x v="0"/>
    <s v="angela.carr488@yahoo.com"/>
    <s v="Classic Cotton T-Shirt"/>
    <s v="Apparel"/>
    <s v="TSH-BLK-L"/>
    <n v="1"/>
    <n v="14.99"/>
    <m/>
    <n v="0"/>
    <n v="4.99"/>
    <n v="19.98"/>
    <s v="Credit Card"/>
    <x v="3"/>
    <s v="cancelled"/>
    <s v="United States"/>
    <s v="California"/>
    <s v="Valid"/>
    <s v="North Benjamin"/>
  </r>
  <r>
    <s v="#1789"/>
    <d v="2026-08-04T14:01:56"/>
    <d v="2026-08-04T14:01:56"/>
    <s v="Chad Smith"/>
    <x v="0"/>
    <s v="chad.smith773@icloud.com"/>
    <s v="Non-Stick Frying Pan 10in"/>
    <s v="Home &amp; Kitchen"/>
    <s v="HK-PAN-10"/>
    <n v="1"/>
    <n v="24.99"/>
    <s v="BFCM25"/>
    <n v="6.25"/>
    <n v="7.99"/>
    <n v="26.73"/>
    <s v="Credit Card"/>
    <x v="0"/>
    <s v="fulfilled"/>
    <s v="Pakistan"/>
    <m/>
    <s v="Not Required"/>
    <s v="Port Martin"/>
  </r>
  <r>
    <s v="#1790"/>
    <d v="2026-08-04T14:00:40"/>
    <d v="2026-08-04T14:00:40"/>
    <s v="James Miller"/>
    <x v="0"/>
    <s v="james.miller866@yahoo.com"/>
    <s v="Non-Stick Frying Pan 10in"/>
    <s v="Home &amp; Kitchen"/>
    <s v="HK-PAN-10"/>
    <n v="1"/>
    <n v="24.99"/>
    <s v="SAVE20"/>
    <n v="5"/>
    <n v="4.99"/>
    <n v="24.98"/>
    <s v="Apple Pay"/>
    <x v="1"/>
    <s v="fulfilled"/>
    <s v="Pakistan"/>
    <m/>
    <s v="Not Required"/>
    <s v="Carrstad"/>
  </r>
  <r>
    <s v="#1791"/>
    <d v="2026-08-04T13:58:09"/>
    <d v="2026-08-04T13:58:09"/>
    <s v="Kathleen Mayer"/>
    <x v="0"/>
    <s v="kathleen.mayer237@outlook.com"/>
    <s v="Phone Case - Clear"/>
    <s v="Electronics"/>
    <s v="ELC-CSE-CLR"/>
    <n v="1"/>
    <n v="8.99"/>
    <s v="VIP15"/>
    <n v="1.35"/>
    <n v="4.99"/>
    <n v="12.63"/>
    <s v="Credit Card"/>
    <x v="2"/>
    <s v="cancelled"/>
    <s v="United States"/>
    <s v="North Carolina"/>
    <s v="Valid"/>
    <s v="North Thomasmouth"/>
  </r>
  <r>
    <s v="#1792"/>
    <d v="2026-04-08T00:00:00"/>
    <s v="08/04/2026"/>
    <s v="Karen Bautista"/>
    <x v="0"/>
    <s v="karen.bautista779@icloud.com"/>
    <s v="Resistance Bands Set"/>
    <s v="Sports &amp; Outdoors"/>
    <s v="SP-RBS-SET"/>
    <n v="1"/>
    <n v="13.99"/>
    <s v="BFCM25"/>
    <n v="3.5"/>
    <n v="7.99"/>
    <n v="18.48"/>
    <s v="Credit Card"/>
    <x v="0"/>
    <s v="fulfilled"/>
    <s v="United States"/>
    <s v="Arizona"/>
    <s v="Valid"/>
    <s v="Boylechester"/>
  </r>
  <r>
    <s v="#1793"/>
    <d v="2026-08-04T00:00:00"/>
    <s v="2026-08-04"/>
    <s v="Melissa Thompson"/>
    <x v="0"/>
    <s v="melissa.thompson241@yahoo.com"/>
    <s v="Classic Cotton T-Shirt"/>
    <s v="Apparel"/>
    <s v="TSH-BLK-M"/>
    <n v="2"/>
    <s v="$14.99"/>
    <m/>
    <n v="0"/>
    <n v="5.99"/>
    <n v="35.97"/>
    <s v="Google Pay"/>
    <x v="3"/>
    <s v="fulfilled"/>
    <s v="United States"/>
    <s v="Florida"/>
    <s v="Valid"/>
    <s v="Pattonville"/>
  </r>
  <r>
    <s v="#1794"/>
    <d v="2026-08-04T14:08:03"/>
    <d v="2026-08-04T14:08:03"/>
    <s v="Carson, John"/>
    <x v="0"/>
    <s v="john.carson203@yahoo.com"/>
    <s v="Scented Soy Candle - Vanilla"/>
    <s v="Home &amp; Kitchen"/>
    <s v="HK-CND-VAN"/>
    <n v="2"/>
    <s v="$9.99"/>
    <s v="FREESHIP"/>
    <n v="0"/>
    <n v="0"/>
    <n v="19.98"/>
    <s v="Credit Card"/>
    <x v="0"/>
    <s v="fulfilled"/>
    <s v="United States"/>
    <s v="Arizona"/>
    <s v="Valid"/>
    <s v="Port Cindyhaven"/>
  </r>
  <r>
    <s v="#1795"/>
    <d v="2026-08-04T14:05:08"/>
    <d v="2026-08-04T14:05:08"/>
    <s v="Anthony Krueger"/>
    <x v="0"/>
    <s v="anthony.krueger812@yahoo.com"/>
    <s v="Adjustable Dumbbell Set"/>
    <s v="Sports &amp; Outdoors"/>
    <s v="SP-DMB-ADJ"/>
    <n v="1"/>
    <n v="89.99"/>
    <s v="SAVE20"/>
    <n v="18"/>
    <n v="0"/>
    <n v="71.989999999999995"/>
    <s v="Shopify Payments"/>
    <x v="0"/>
    <s v="pending"/>
    <s v="Pakistan"/>
    <m/>
    <s v="Not Required"/>
    <s v="South Joside"/>
  </r>
  <r>
    <s v="#1796"/>
    <d v="2026-08-04T14:01:42"/>
    <d v="2026-08-04T14:01:42"/>
    <s v="Angela Rose"/>
    <x v="0"/>
    <s v="angela.rose740@outlook.com"/>
    <s v="Stainless Steel Water Bottle"/>
    <s v="Home &amp; Kitchen"/>
    <s v="HK-BTL-750"/>
    <n v="1"/>
    <n v="12.99"/>
    <m/>
    <n v="0"/>
    <n v="5.99"/>
    <n v="18.98"/>
    <s v="Shopify Payments"/>
    <x v="0"/>
    <s v="fulfilled"/>
    <s v="United States"/>
    <s v="New York"/>
    <s v="Valid"/>
    <s v="West Christopher"/>
  </r>
  <r>
    <s v="#1797"/>
    <d v="2026-08-04T13:55:23"/>
    <d v="2026-08-04T13:55:23"/>
    <s v="Erika Maxwell"/>
    <x v="0"/>
    <s v="erika.maxwell281@gmail.com"/>
    <s v="Running Shoes - Women's"/>
    <s v="Footwear"/>
    <s v="FTW-RUN-W"/>
    <n v="2"/>
    <n v="54.99"/>
    <s v="WELCOME10"/>
    <n v="11"/>
    <n v="0"/>
    <n v="98.98"/>
    <s v="Credit Card"/>
    <x v="2"/>
    <s v="fulfilled"/>
    <s v="United States"/>
    <s v="NC"/>
    <s v="Valid"/>
    <s v="Melissahaven"/>
  </r>
  <r>
    <s v="#1799"/>
    <d v="2026-04-08T00:00:00"/>
    <s v="08/04/2026"/>
    <s v="Kiara Burke"/>
    <x v="1"/>
    <m/>
    <s v="Vitamin C Serum 30ml"/>
    <s v="Beauty"/>
    <s v="BTY-SRM-30"/>
    <n v="1"/>
    <n v="24.99"/>
    <s v="FREESHIP"/>
    <s v="$0.00"/>
    <n v="0"/>
    <n v="24.99"/>
    <s v="Shopify Payments"/>
    <x v="0"/>
    <s v="fulfilled"/>
    <s v="Germany"/>
    <m/>
    <s v="Not Required"/>
    <s v="Taylorbury"/>
  </r>
  <r>
    <s v="#1800"/>
    <d v="2026-08-04T13:55:48"/>
    <d v="2026-08-04T13:55:48"/>
    <s v="Kaitlyn Hernandez"/>
    <x v="0"/>
    <s v="kaitlyn.hernandez713@gmail.com"/>
    <s v="Classic Cotton T-Shirt"/>
    <s v="Apparel"/>
    <s v="TSH-BLK-L"/>
    <n v="1"/>
    <n v="14.99"/>
    <m/>
    <n v="0"/>
    <n v="5.99"/>
    <n v="20.98"/>
    <s v="Shopify Payments"/>
    <x v="3"/>
    <s v="pending"/>
    <s v="Germany"/>
    <m/>
    <s v="Not Required"/>
    <s v="West Christine"/>
  </r>
  <r>
    <s v="#1801"/>
    <d v="2026-08-04T14:04:12"/>
    <d v="2026-08-04T14:04:12"/>
    <s v="Jacqueline Richmond"/>
    <x v="0"/>
    <s v="jacqueline.richmond595@outlook.com"/>
    <s v="Wireless Mouse"/>
    <s v="Electronics"/>
    <s v="ELC-MSE-WL"/>
    <n v="1"/>
    <n v="11.99"/>
    <m/>
    <n v="0"/>
    <n v="4.99"/>
    <n v="16.98"/>
    <s v="Apple Pay"/>
    <x v="2"/>
    <s v="fulfilled"/>
    <s v="United States"/>
    <s v="Washington"/>
    <s v="Valid"/>
    <s v="Nicholasview"/>
  </r>
  <r>
    <s v="#1802"/>
    <d v="2026-08-04T13:53:51"/>
    <d v="2026-08-04T13:53:51"/>
    <s v="Ronald Davis"/>
    <x v="0"/>
    <s v="ronald.davis995@yahoo.com"/>
    <s v="Non-Stick Frying Pan 10in"/>
    <s v="Home &amp; Kitchen"/>
    <s v="HK-PAN-10"/>
    <n v="1"/>
    <n v="24.99"/>
    <s v="VIP15"/>
    <n v="3.75"/>
    <n v="4.99"/>
    <n v="26.23"/>
    <s v="PayPal"/>
    <x v="3"/>
    <s v="fulfilled"/>
    <s v="Pakistan"/>
    <m/>
    <s v="Not Required"/>
    <s v="Nicoletown"/>
  </r>
  <r>
    <s v="#1803"/>
    <d v="2026-08-04T13:55:11"/>
    <d v="2026-08-04T13:55:11"/>
    <s v="Kimberly Cordova"/>
    <x v="0"/>
    <s v="kimberly.cordova508@icloud.com"/>
    <s v="Slim Fit Denim Jeans"/>
    <s v="Apparel"/>
    <s v="JNS-BLU-32"/>
    <n v="1"/>
    <n v="39.99"/>
    <m/>
    <n v="0"/>
    <n v="7.99"/>
    <n v="47.98"/>
    <s v="Credit Card"/>
    <x v="2"/>
    <s v="pending"/>
    <s v="Pakistan"/>
    <m/>
    <s v="Not Required"/>
    <s v="Pamelabury"/>
  </r>
  <r>
    <s v="#1804"/>
    <d v="2026-08-04T14:04:58"/>
    <d v="2026-08-04T14:04:58"/>
    <s v="Rhonda Chapman"/>
    <x v="0"/>
    <s v="rhonda.chapman481@yahoo.com"/>
    <s v="Wireless Bluetooth Earbuds"/>
    <s v="Electronics"/>
    <s v="ELC-WBE-01"/>
    <n v="1"/>
    <n v="29.99"/>
    <m/>
    <n v="0"/>
    <n v="7.99"/>
    <n v="37.979999999999997"/>
    <s v="Apple Pay"/>
    <x v="2"/>
    <s v="refunded"/>
    <s v="United States"/>
    <s v="Texas"/>
    <s v="Valid"/>
    <s v="South Johntown"/>
  </r>
  <r>
    <s v="#1805"/>
    <d v="2026-08-04T13:54:50"/>
    <d v="2026-08-04T13:54:50"/>
    <s v="Joshua Vaughan"/>
    <x v="0"/>
    <s v="joshua.vaughan453@yahoo.com"/>
    <s v="Wireless Mouse"/>
    <s v="Electronics"/>
    <s v="ELC-MSE-WL"/>
    <n v="2"/>
    <n v="11.99"/>
    <m/>
    <n v="0"/>
    <n v="7.99"/>
    <s v="$31.97"/>
    <s v="Credit Card"/>
    <x v="3"/>
    <s v="pending"/>
    <s v="Australia"/>
    <m/>
    <s v="Not Required"/>
    <s v="New Brianfurt"/>
  </r>
  <r>
    <s v="#1806"/>
    <d v="2026-08-04T14:06:30"/>
    <d v="2026-08-04T14:06:30"/>
    <s v="Diane Campos"/>
    <x v="0"/>
    <s v="diane.campos325@gmail.com"/>
    <s v="Phone Case - Clear"/>
    <s v="Electronics"/>
    <s v="ELC-CSE-CLR"/>
    <n v="1"/>
    <n v="8.99"/>
    <m/>
    <n v="0"/>
    <n v="4.99"/>
    <n v="13.98"/>
    <s v="Shopify Payments"/>
    <x v="0"/>
    <s v="cancelled"/>
    <s v="United States"/>
    <s v="Canada"/>
    <s v="Valid"/>
    <s v="Yangville"/>
  </r>
  <r>
    <s v="#1807"/>
    <d v="2026-08-04T13:54:30"/>
    <d v="2026-08-04T13:54:30"/>
    <s v="Natalie Dixon"/>
    <x v="0"/>
    <s v="natalie.dixon388@outlook.com"/>
    <s v="Hooded Sweatshirt"/>
    <s v="Apparel"/>
    <s v="APR-HOD-GRY"/>
    <n v="1"/>
    <n v="34.99"/>
    <s v="VIP15"/>
    <s v="$5.25"/>
    <n v="4.99"/>
    <n v="34.729999999999997"/>
    <s v="Credit Card"/>
    <x v="0"/>
    <s v="fulfilled"/>
    <s v="United States"/>
    <s v="Ohio"/>
    <s v="Valid"/>
    <s v="Claudiashire"/>
  </r>
  <r>
    <s v="#1808"/>
    <d v="2026-08-04T14:00:13"/>
    <d v="2026-08-04T14:00:13"/>
    <s v="jeremy tucker"/>
    <x v="0"/>
    <s v="jeremy.tucker26@yahoo.com"/>
    <s v="Scented Soy Candle - Vanilla"/>
    <s v="Home &amp; Kitchen"/>
    <s v="HK-CND-VAN"/>
    <n v="1"/>
    <n v="9.99"/>
    <m/>
    <n v="0"/>
    <n v="5.99"/>
    <n v="15.98"/>
    <s v="Credit Card"/>
    <x v="2"/>
    <s v="fulfilled"/>
    <s v="United States"/>
    <s v="Florida"/>
    <s v="Valid"/>
    <s v="Jessicafurt"/>
  </r>
  <r>
    <s v="#1809"/>
    <d v="2026-04-08T00:00:00"/>
    <s v="08/04/2026"/>
    <s v="Denise Phillips"/>
    <x v="0"/>
    <s v="denise.phillips810@gmail.com"/>
    <s v="Throw Blanket - Fleece"/>
    <s v="Home &amp; Kitchen"/>
    <s v="HK-BLK-FLC"/>
    <n v="1"/>
    <s v="$17.99"/>
    <m/>
    <n v="0"/>
    <n v="5.99"/>
    <n v="23.98"/>
    <s v="PayPal"/>
    <x v="0"/>
    <s v="fulfilled"/>
    <s v="United States"/>
    <s v="Florida"/>
    <s v="Valid"/>
    <s v="Charleschester"/>
  </r>
  <r>
    <s v="#1810"/>
    <d v="2026-08-04T13:59:01"/>
    <d v="2026-08-04T13:59:01"/>
    <s v="James Miller"/>
    <x v="0"/>
    <s v="james.miller866@yahoo.com"/>
    <s v="Ceramic Coffee Mug Set (4pc)"/>
    <s v="Home &amp; Kitchen"/>
    <s v="HK-MUG-4PK"/>
    <n v="1"/>
    <n v="18.989999999999998"/>
    <s v="FREESHIP"/>
    <n v="0"/>
    <n v="0"/>
    <n v="18.989999999999998"/>
    <s v="Google Pay"/>
    <x v="0"/>
    <s v="fulfilled"/>
    <s v="Pakistan"/>
    <m/>
    <s v="Not Required"/>
    <s v="North Williamstad"/>
  </r>
  <r>
    <s v="#1811"/>
    <d v="2026-08-04T14:00:30"/>
    <d v="2026-08-04T14:00:30"/>
    <s v="Erika Maxwell"/>
    <x v="0"/>
    <s v="erika.maxwell281@gmail.com"/>
    <s v="Classic Cotton T-Shirt"/>
    <s v="Apparel"/>
    <s v="TSH-BLK-L"/>
    <n v="2"/>
    <n v="14.99"/>
    <s v="FREESHIP"/>
    <n v="0"/>
    <n v="0"/>
    <n v="29.98"/>
    <s v="Shopify Payments"/>
    <x v="0"/>
    <s v="cancelled"/>
    <s v="United States"/>
    <s v="North Carolina"/>
    <s v="Valid"/>
    <s v="East Jeffrey"/>
  </r>
  <r>
    <s v="#1812"/>
    <d v="2026-08-04T13:53:54"/>
    <d v="2026-08-04T13:53:54"/>
    <s v="Tyler Williams"/>
    <x v="0"/>
    <s v="tyler.williams938@outlook.com"/>
    <s v="Polarized Sunglasses"/>
    <s v="Accessories"/>
    <s v="ACC-SUN-01"/>
    <n v="1"/>
    <n v="16.989999999999998"/>
    <s v="SAVE20"/>
    <n v="3.4"/>
    <n v="5.99"/>
    <n v="19.579999999999998"/>
    <s v="Credit Card"/>
    <x v="0"/>
    <s v="fulfilled"/>
    <s v="Australia"/>
    <m/>
    <s v="Not Required"/>
    <s v="Kathyshire"/>
  </r>
  <r>
    <s v="#1813"/>
    <d v="2026-08-04T14:05:40"/>
    <d v="2026-08-04T14:05:40"/>
    <s v="John Carson"/>
    <x v="0"/>
    <s v="john.carson203@yahoo.com"/>
    <s v="Stainless Steel Water Bottle"/>
    <s v="Home &amp; Kitchen"/>
    <s v="HK-BTL-750"/>
    <n v="1"/>
    <n v="12.99"/>
    <m/>
    <n v="0"/>
    <n v="5.99"/>
    <n v="18.98"/>
    <s v="Shopify Payments"/>
    <x v="1"/>
    <s v="pending"/>
    <s v="United States"/>
    <s v="Arizona"/>
    <s v="Valid"/>
    <s v="West Kevinview"/>
  </r>
  <r>
    <s v="#1814"/>
    <d v="2026-08-04T13:57:24"/>
    <d v="2026-08-04T13:57:24"/>
    <s v="Christy Phillips"/>
    <x v="0"/>
    <s v="christy.phillips291@gmail.com"/>
    <s v="Slim Fit Denim Jeans"/>
    <s v="Apparel"/>
    <s v="JNS-BLU-32"/>
    <n v="1"/>
    <n v="39.99"/>
    <s v="BFCM25"/>
    <n v="10"/>
    <n v="7.99"/>
    <n v="37.979999999999997"/>
    <s v="Google Pay"/>
    <x v="3"/>
    <s v="refunded"/>
    <s v="Pakistan"/>
    <m/>
    <s v="Not Required"/>
    <s v="Nicholasburgh"/>
  </r>
  <r>
    <s v="#1815"/>
    <d v="2026-08-04T13:53:34"/>
    <d v="2026-08-04T13:53:34"/>
    <s v="Rose Campos"/>
    <x v="0"/>
    <s v="rose.campos542@gmail.com"/>
    <s v="Classic Cotton T-Shirt"/>
    <s v="Apparel"/>
    <s v="TSH-BLK-M"/>
    <n v="2"/>
    <n v="14.99"/>
    <s v="WELCOME10"/>
    <n v="3"/>
    <n v="5.99"/>
    <n v="32.97"/>
    <s v="Google Pay"/>
    <x v="0"/>
    <s v="cancelled"/>
    <s v="Canada"/>
    <m/>
    <s v="Not Required"/>
    <s v="Smithfort"/>
  </r>
  <r>
    <s v="#1816"/>
    <d v="2026-08-04T13:59:23"/>
    <d v="2026-08-04T13:59:23"/>
    <s v="Karen Bautista"/>
    <x v="0"/>
    <s v="karen.bautista779@icloud.com"/>
    <s v="Scented Soy Candle - Vanilla"/>
    <s v="Home &amp; Kitchen"/>
    <s v="HK-CND-VAN"/>
    <n v="1"/>
    <n v="9.99"/>
    <s v="BFCM25"/>
    <n v="2.5"/>
    <n v="4.99"/>
    <n v="12.48"/>
    <s v="Apple Pay"/>
    <x v="3"/>
    <s v="fulfilled"/>
    <s v="United States"/>
    <s v="California"/>
    <s v="Valid"/>
    <s v="West Kyle"/>
  </r>
  <r>
    <s v="#1817"/>
    <d v="2026-08-04T13:57:47"/>
    <d v="2026-08-04T13:57:47"/>
    <s v="Randall Rhodes"/>
    <x v="0"/>
    <s v="randall.rhodes730@outlook.com"/>
    <s v="USB-C Fast Charger 20W"/>
    <s v="Electronics"/>
    <s v="ELC-CHG-20"/>
    <n v="1"/>
    <n v="15.49"/>
    <s v="FREESHIP"/>
    <n v="0"/>
    <n v="0"/>
    <n v="15.49"/>
    <s v="Google Pay"/>
    <x v="1"/>
    <s v="refunded"/>
    <s v="United Kingdom"/>
    <m/>
    <s v="Not Required"/>
    <s v="North Joseph"/>
  </r>
  <r>
    <s v="#1819"/>
    <d v="2026-08-04T14:07:58"/>
    <d v="2026-08-04T14:07:58"/>
    <s v="Joseph Phillips"/>
    <x v="0"/>
    <s v="joseph.phillips672@yahoo.com"/>
    <s v="Wireless Mouse"/>
    <s v="Electronics"/>
    <s v="ELC-MSE-WL"/>
    <n v="1"/>
    <n v="11.99"/>
    <s v="SAVE20"/>
    <n v="2.4"/>
    <n v="4.99"/>
    <n v="14.58"/>
    <s v="Shopify Payments"/>
    <x v="0"/>
    <s v="fulfilled"/>
    <s v="Pakistan"/>
    <m/>
    <s v="Not Required"/>
    <s v="Diazfort"/>
  </r>
  <r>
    <s v="#1820"/>
    <d v="2026-08-04T00:00:00"/>
    <s v="Aug 04, 2026"/>
    <s v="Albert Phillips"/>
    <x v="0"/>
    <s v="albert.phillips237@gmail.com"/>
    <s v="Resistance Bands Set"/>
    <s v="Sports &amp; Outdoors"/>
    <s v="SP-RBS-SET"/>
    <n v="1"/>
    <n v="13.99"/>
    <s v="WELCOME10"/>
    <s v="$1.40"/>
    <n v="7.99"/>
    <s v="$20.58"/>
    <s v="Apple Pay"/>
    <x v="0"/>
    <s v="fulfilled"/>
    <s v="United States"/>
    <s v="North Carolina"/>
    <s v="Valid"/>
    <s v="Berrystad"/>
  </r>
  <r>
    <s v="#1821"/>
    <d v="2026-08-04T13:56:32"/>
    <d v="2026-08-04T13:56:32"/>
    <s v="Joseph Phillips"/>
    <x v="0"/>
    <s v="joseph.phillips672@yahoo.com"/>
    <s v="Backpack - 25L"/>
    <s v="Accessories"/>
    <s v="ACC-BPK-25L"/>
    <n v="1"/>
    <n v="32.99"/>
    <m/>
    <n v="0"/>
    <n v="7.99"/>
    <n v="40.98"/>
    <s v="Credit Card"/>
    <x v="3"/>
    <s v="fulfilled"/>
    <s v="Pakistan"/>
    <m/>
    <s v="Not Required"/>
    <s v="Austinview"/>
  </r>
  <r>
    <s v="#1822"/>
    <d v="2026-08-04T13:58:58"/>
    <d v="2026-08-04T13:58:58"/>
    <s v="Christopher Osborne"/>
    <x v="0"/>
    <s v="christopher.osborne481@yahoo.com"/>
    <s v="Phone Case - Clear"/>
    <s v="Electronics"/>
    <s v="ELC-CSE-CLR"/>
    <n v="2"/>
    <n v="8.99"/>
    <s v="FREESHIP"/>
    <s v="$0.00"/>
    <n v="0"/>
    <n v="17.98"/>
    <s v="Shopify Payments"/>
    <x v="1"/>
    <s v="pending"/>
    <s v="United States"/>
    <s v="New York"/>
    <s v="Valid"/>
    <s v="West Gabrielland"/>
  </r>
  <r>
    <s v="#1823"/>
    <d v="2026-04-08T00:00:00"/>
    <s v="08/04/2026"/>
    <s v="Kathryn Robinson"/>
    <x v="0"/>
    <s v="kathryn.robinson965@gmail.com"/>
    <s v="Non-Stick Frying Pan 10in"/>
    <s v="Home &amp; Kitchen"/>
    <s v="HK-PAN-10"/>
    <n v="2"/>
    <n v="24.99"/>
    <m/>
    <n v="0"/>
    <n v="4.99"/>
    <n v="54.97"/>
    <s v="PayPal"/>
    <x v="3"/>
    <s v="fulfilled"/>
    <s v="United Kingdom"/>
    <m/>
    <s v="Not Required"/>
    <s v="Port Rebecca"/>
  </r>
  <r>
    <s v="#1824"/>
    <d v="2026-08-04T14:05:07"/>
    <d v="2026-08-04T14:05:07"/>
    <s v="Peter Alvarez"/>
    <x v="0"/>
    <s v="peter.alvarez465@yahoo.com"/>
    <s v="Ceramic Coffee Mug Set (4pc)"/>
    <s v="Home &amp; Kitchen"/>
    <s v="HK-MUG-4PK"/>
    <n v="2"/>
    <n v="18.989999999999998"/>
    <m/>
    <n v="0"/>
    <n v="5.99"/>
    <n v="43.97"/>
    <s v="Credit Card"/>
    <x v="2"/>
    <s v="fulfilled"/>
    <s v="United States"/>
    <s v="Washington"/>
    <s v="Valid"/>
    <s v="South Andrew"/>
  </r>
  <r>
    <s v="#1825"/>
    <d v="2026-08-04T14:00:51"/>
    <d v="2026-08-04T14:00:51"/>
    <s v="Brian Ruiz"/>
    <x v="0"/>
    <s v="brian.ruiz246@gmail.com"/>
    <s v="Vitamin C Serum 30ml"/>
    <s v="Beauty"/>
    <s v="BTY-SRM-30"/>
    <n v="2"/>
    <n v="24.99"/>
    <s v="FREESHIP"/>
    <n v="0"/>
    <n v="0"/>
    <n v="49.98"/>
    <s v="Apple Pay"/>
    <x v="0"/>
    <s v="fulfilled"/>
    <s v="Germany"/>
    <m/>
    <s v="Not Required"/>
    <s v="Port Peter"/>
  </r>
  <r>
    <s v="#1826"/>
    <d v="2026-08-04T14:00:17"/>
    <d v="2026-08-04T14:00:17"/>
    <s v="Joshua Owens"/>
    <x v="0"/>
    <s v="joshua.owens56@icloud.com"/>
    <s v="Throw Blanket - Fleece"/>
    <s v="Home &amp; Kitchen"/>
    <s v="HK-BLK-FLC"/>
    <n v="1"/>
    <n v="17.989999999999998"/>
    <m/>
    <n v="0"/>
    <n v="4.99"/>
    <n v="22.98"/>
    <s v="PayPal"/>
    <x v="1"/>
    <s v="fulfilled"/>
    <s v="United States"/>
    <s v="Ohio"/>
    <s v="Valid"/>
    <s v="North Aprilburgh"/>
  </r>
  <r>
    <s v="#1827"/>
    <d v="2026-08-04T14:02:58"/>
    <d v="2026-08-04T14:02:58"/>
    <s v="Kelly Ramos"/>
    <x v="0"/>
    <s v="kelly.ramos77@gmail.com"/>
    <s v="Classic Cotton T-Shirt"/>
    <s v="Apparel"/>
    <s v="TSH-BLK-L"/>
    <n v="1"/>
    <n v="14.99"/>
    <s v="BFCM25"/>
    <n v="3.75"/>
    <n v="7.99"/>
    <s v="$19.23"/>
    <s v="Credit Card"/>
    <x v="0"/>
    <s v="refunded"/>
    <s v="Canada"/>
    <m/>
    <s v="Not Required"/>
    <s v="North Evan"/>
  </r>
  <r>
    <s v="#1828"/>
    <d v="2026-08-04T00:00:00"/>
    <s v="04-08-2026 14:04"/>
    <s v="Megan Dickson"/>
    <x v="0"/>
    <s v="megan.dickson508@gmail.com"/>
    <s v="Classic Cotton T-Shirt"/>
    <s v="Apparel"/>
    <s v="TSH-BLK-M"/>
    <n v="1"/>
    <n v="14.99"/>
    <m/>
    <n v="0"/>
    <n v="5.99"/>
    <n v="20.98"/>
    <s v="PayPal"/>
    <x v="1"/>
    <s v="fulfilled"/>
    <s v="United Kingdom"/>
    <m/>
    <s v="Not Required"/>
    <s v="East Michael"/>
  </r>
  <r>
    <s v="#1829"/>
    <d v="2026-08-04T14:00:33"/>
    <d v="2026-08-04T14:00:33"/>
    <s v="Brian Ruiz"/>
    <x v="0"/>
    <s v="brian.ruiz246@gmail.com"/>
    <s v="Stainless Steel Water Bottle"/>
    <s v="Home &amp; Kitchen"/>
    <s v="HK-BTL-750"/>
    <n v="1"/>
    <n v="12.99"/>
    <s v="WELCOME10"/>
    <n v="1.3"/>
    <n v="7.99"/>
    <n v="19.68"/>
    <s v="Shopify Payments"/>
    <x v="0"/>
    <s v="fulfilled"/>
    <s v="Germany"/>
    <m/>
    <s v="Not Required"/>
    <s v="Alvarezstad"/>
  </r>
  <r>
    <s v="#1830"/>
    <d v="2026-08-04T14:03:15"/>
    <d v="2026-08-04T14:03:15"/>
    <s v="Tammy Hawkins"/>
    <x v="0"/>
    <s v="tammy.hawkins461@outlook.com"/>
    <s v="Scented Soy Candle - Vanilla"/>
    <s v="Home &amp; Kitchen"/>
    <s v="HK-CND-VAN"/>
    <n v="1"/>
    <n v="9.99"/>
    <s v="SAVE20"/>
    <s v="$2.00"/>
    <n v="7.99"/>
    <n v="15.98"/>
    <s v="Google Pay"/>
    <x v="0"/>
    <s v="cancelled"/>
    <s v="United States"/>
    <s v="Georgia"/>
    <s v="Valid"/>
    <s v="Salazarland"/>
  </r>
  <r>
    <s v="#1831"/>
    <d v="2026-08-04T14:01:50"/>
    <d v="2026-08-04T14:01:50"/>
    <s v="Joseph Martin"/>
    <x v="0"/>
    <s v="joseph.martin348@icloud.com"/>
    <s v="Adjustable Dumbbell Set"/>
    <s v="Sports &amp; Outdoors"/>
    <s v="SP-DMB-ADJ"/>
    <n v="2"/>
    <n v="89.99"/>
    <m/>
    <n v="0"/>
    <n v="0"/>
    <n v="179.98"/>
    <s v="PayPal"/>
    <x v="0"/>
    <s v="fulfilled"/>
    <s v="United States"/>
    <s v="NY"/>
    <s v="Valid"/>
    <s v="Port Danielstad"/>
  </r>
  <r>
    <s v="#1832"/>
    <d v="2026-08-04T13:55:00"/>
    <d v="2026-08-04T13:55:00"/>
    <s v="David Knapp"/>
    <x v="0"/>
    <s v="david.knapp687@yahoo.com"/>
    <s v="Backpack - 25L"/>
    <s v="Accessories"/>
    <s v="ACC-BPK-25L"/>
    <n v="2"/>
    <n v="32.99"/>
    <m/>
    <n v="0"/>
    <n v="7.99"/>
    <n v="73.97"/>
    <s v="PayPal"/>
    <x v="0"/>
    <s v="fulfilled"/>
    <s v="United States"/>
    <s v="Florida"/>
    <s v="Valid"/>
    <s v="Rayhaven"/>
  </r>
  <r>
    <s v="#1833"/>
    <d v="2026-08-04T13:54:07"/>
    <d v="2026-08-04T13:54:07"/>
    <s v="Rhonda Chapman"/>
    <x v="0"/>
    <s v="rhonda.chapman481@yahoo.com"/>
    <s v="USB-C Fast Charger 20W"/>
    <s v="Electronics"/>
    <s v="ELC-CHG-20"/>
    <n v="1"/>
    <n v="15.49"/>
    <s v="FREESHIP"/>
    <n v="0"/>
    <n v="0"/>
    <n v="15.49"/>
    <s v="Credit Card"/>
    <x v="1"/>
    <s v="fulfilled"/>
    <s v="United States"/>
    <s v="NY"/>
    <s v="Valid"/>
    <s v="Jacksontown"/>
  </r>
  <r>
    <s v="#1834"/>
    <d v="2026-08-04T14:06:45"/>
    <d v="2026-08-04T14:06:45"/>
    <s v="Natalie Dixon"/>
    <x v="0"/>
    <s v="natalie.dixon388@outlook.com"/>
    <s v="Leather Wallet - Brown"/>
    <s v="Accessories"/>
    <s v="ACC-WLT-BRN"/>
    <n v="4"/>
    <n v="19.989999999999998"/>
    <m/>
    <n v="0"/>
    <n v="0"/>
    <n v="79.959999999999994"/>
    <s v="PayPal"/>
    <x v="2"/>
    <s v="fulfilled"/>
    <s v="United States"/>
    <s v="TX"/>
    <s v="Valid"/>
    <s v="Jennyfurt"/>
  </r>
  <r>
    <s v="#1835"/>
    <d v="2026-08-04T13:54:52"/>
    <d v="2026-08-04T13:54:52"/>
    <s v="Diane Campos"/>
    <x v="0"/>
    <s v="diane.campos325@gmail.com"/>
    <s v="Slim Fit Denim Jeans"/>
    <s v="Apparel"/>
    <s v="JNS-BLU-32"/>
    <n v="1"/>
    <n v="39.99"/>
    <s v="BFCM25"/>
    <n v="10"/>
    <n v="7.99"/>
    <n v="37.979999999999997"/>
    <s v="Credit Card"/>
    <x v="1"/>
    <s v="fulfilled"/>
    <s v="United States"/>
    <s v="Georgia"/>
    <s v="Valid"/>
    <s v="Port Karenland"/>
  </r>
  <r>
    <s v="#1837"/>
    <d v="2026-08-04T14:00:26"/>
    <d v="2026-08-04T14:00:26"/>
    <s v="Charles Franco"/>
    <x v="0"/>
    <s v="charles.franco761@outlook.com"/>
    <s v="Stainless Steel Water Bottle"/>
    <s v="Home &amp; Kitchen"/>
    <s v="HK-BTL-750"/>
    <n v="1"/>
    <n v="12.99"/>
    <m/>
    <n v="0"/>
    <n v="7.99"/>
    <n v="20.98"/>
    <s v="Credit Card"/>
    <x v="0"/>
    <s v="pending"/>
    <s v="United States"/>
    <s v="Florida"/>
    <s v="Valid"/>
    <s v="Kristytown"/>
  </r>
  <r>
    <s v="#1838"/>
    <d v="2026-08-04T13:57:06"/>
    <d v="2026-08-04T13:57:06"/>
    <s v="Nicholas Jarvis"/>
    <x v="0"/>
    <s v="nicholas.jarvis112@icloud.com"/>
    <s v="Throw Blanket - Fleece"/>
    <s v="Home &amp; Kitchen"/>
    <s v="HK-BLK-FLC"/>
    <n v="2"/>
    <n v="17.989999999999998"/>
    <s v="BFCM25"/>
    <n v="8.99"/>
    <n v="4.99"/>
    <s v="$31.98"/>
    <s v="Apple Pay"/>
    <x v="2"/>
    <s v="fulfilled"/>
    <s v="Canada"/>
    <m/>
    <s v="Not Required"/>
    <s v="Riverastad"/>
  </r>
  <r>
    <s v="#1839"/>
    <d v="2026-08-04T00:00:00"/>
    <s v="04-08-2026 14:08"/>
    <s v="Matthew Riley"/>
    <x v="0"/>
    <s v="matthew.riley309@yahoo.com"/>
    <s v="Running Shoes - Men's"/>
    <s v="Footwear"/>
    <s v="FTW-RUN-M"/>
    <n v="1"/>
    <n v="54.99"/>
    <m/>
    <s v="$0.00"/>
    <n v="4.99"/>
    <n v="59.98"/>
    <s v="Apple Pay"/>
    <x v="0"/>
    <s v="fulfilled"/>
    <s v="Canada"/>
    <m/>
    <s v="Not Required"/>
    <s v="West Albertton"/>
  </r>
  <r>
    <s v="#1840"/>
    <d v="2026-08-04T14:06:14"/>
    <d v="2026-08-04T14:06:14"/>
    <s v="Dustin Mccoy"/>
    <x v="0"/>
    <s v="dustin.mccoy570@gmail.com"/>
    <s v="Running Shoes - Men's"/>
    <s v="Footwear"/>
    <s v="FTW-RUN-M"/>
    <n v="1"/>
    <n v="54.99"/>
    <s v="SAVE20"/>
    <n v="11"/>
    <n v="4.99"/>
    <n v="48.98"/>
    <s v="Apple Pay"/>
    <x v="1"/>
    <s v="fulfilled"/>
    <s v="Canada"/>
    <m/>
    <s v="Not Required"/>
    <s v="West Donfurt"/>
  </r>
  <r>
    <s v="#1841"/>
    <d v="2026-08-04T14:02:59"/>
    <d v="2026-08-04T14:02:59"/>
    <s v="William Houston"/>
    <x v="0"/>
    <s v="william.houston340@outlook.com"/>
    <s v="Running Shoes - Men's"/>
    <s v="Footwear"/>
    <s v="FTW-RUN-M"/>
    <n v="1"/>
    <n v="54.99"/>
    <m/>
    <n v="0"/>
    <n v="5.99"/>
    <n v="60.98"/>
    <s v="Credit Card"/>
    <x v="1"/>
    <s v="cancelled"/>
    <s v="United States"/>
    <s v="Ohio"/>
    <s v="Valid"/>
    <s v="Port Lynn"/>
  </r>
  <r>
    <s v="#1842"/>
    <d v="2026-08-04T13:58:56"/>
    <d v="2026-08-04T13:58:56"/>
    <s v="Richard Ward"/>
    <x v="0"/>
    <s v="richard.ward894@icloud.com"/>
    <s v="Classic Cotton T-Shirt"/>
    <s v="Apparel"/>
    <s v="TSH-BLK-L"/>
    <n v="2"/>
    <n v="14.99"/>
    <m/>
    <n v="0"/>
    <n v="7.99"/>
    <n v="37.97"/>
    <s v="Apple Pay"/>
    <x v="2"/>
    <s v="refunded"/>
    <s v="Pakistan"/>
    <m/>
    <s v="Not Required"/>
    <s v="East Nicolefort"/>
  </r>
  <r>
    <s v="#1843"/>
    <d v="2026-08-04T13:58:17"/>
    <d v="2026-08-04T13:58:17"/>
    <s v="Devin Jones"/>
    <x v="0"/>
    <s v="devin.jones807@yahoo.com"/>
    <s v="Slim Fit Denim Jeans"/>
    <s v="Apparel"/>
    <s v="JNS-BLU-32"/>
    <n v="2"/>
    <n v="39.99"/>
    <m/>
    <n v="0"/>
    <n v="0"/>
    <n v="79.98"/>
    <s v="PayPal"/>
    <x v="1"/>
    <s v="pending"/>
    <s v="Pakistan"/>
    <m/>
    <s v="Not Required"/>
    <s v="New Amyville"/>
  </r>
  <r>
    <s v="#1844"/>
    <d v="2026-08-04T14:07:19"/>
    <d v="2026-08-04T14:07:19"/>
    <s v="Rebecca Watts"/>
    <x v="0"/>
    <s v="rebecca.watts779@gmail.com"/>
    <s v="Non-Stick Frying Pan 10in"/>
    <s v="Home &amp; Kitchen"/>
    <s v="HK-PAN-10"/>
    <n v="1"/>
    <n v="24.99"/>
    <s v="WELCOME10"/>
    <n v="2.5"/>
    <n v="4.99"/>
    <n v="27.48"/>
    <s v="PayPal"/>
    <x v="3"/>
    <s v="fulfilled"/>
    <s v="United States"/>
    <s v="Arizona"/>
    <s v="Valid"/>
    <s v="Katherinestad"/>
  </r>
  <r>
    <s v="#1845"/>
    <d v="2026-08-04T13:57:30"/>
    <d v="2026-08-04T13:57:30"/>
    <s v="THOMAS ROJAS"/>
    <x v="0"/>
    <s v="thomas.rojas667@icloud.com"/>
    <s v="Kids Building Blocks Set"/>
    <s v="Toys"/>
    <s v="TOY-BLK-SET"/>
    <n v="2"/>
    <n v="27.99"/>
    <s v="FREESHIP"/>
    <n v="0"/>
    <n v="0"/>
    <s v="$55.98"/>
    <s v="Google Pay"/>
    <x v="2"/>
    <s v="fulfilled"/>
    <s v="United States"/>
    <s v="Washington"/>
    <s v="Valid"/>
    <s v="Smithberg"/>
  </r>
  <r>
    <s v="#1846"/>
    <d v="2026-08-04T13:55:31"/>
    <d v="2026-08-04T13:55:31"/>
    <s v="Heather Davis"/>
    <x v="0"/>
    <s v="heather.davis117@icloud.com"/>
    <s v="Scented Soy Candle - Vanilla"/>
    <s v="Home &amp; Kitchen"/>
    <s v="HK-CND-VAN"/>
    <n v="2"/>
    <n v="9.99"/>
    <m/>
    <n v="0"/>
    <n v="4.99"/>
    <s v="$24.97"/>
    <s v="Apple Pay"/>
    <x v="1"/>
    <s v="fulfilled"/>
    <s v="Germany"/>
    <m/>
    <s v="Not Required"/>
    <s v="Humphreymouth"/>
  </r>
  <r>
    <s v="#1847"/>
    <d v="2026-08-04T13:55:06"/>
    <d v="2026-08-04T13:55:06"/>
    <s v="Julia Atkinson"/>
    <x v="0"/>
    <s v="julia.atkinson939@gmail.com"/>
    <s v="Throw Blanket - Fleece"/>
    <s v="Home &amp; Kitchen"/>
    <s v="HK-BLK-FLC"/>
    <n v="2"/>
    <s v="$17.99"/>
    <m/>
    <n v="0"/>
    <n v="7.99"/>
    <s v="$43.97"/>
    <s v="Shopify Payments"/>
    <x v="3"/>
    <s v="fulfilled"/>
    <s v="Canada"/>
    <m/>
    <s v="Not Required"/>
    <s v="Johnsonberg"/>
  </r>
  <r>
    <s v="#1848"/>
    <d v="2026-08-04T13:54:09"/>
    <d v="2026-08-04T13:54:09"/>
    <s v="Dustin Mccoy"/>
    <x v="0"/>
    <s v="dustin.mccoy570@gmail.com"/>
    <s v="Throw Blanket - Fleece"/>
    <s v="Home &amp; Kitchen"/>
    <s v="HK-BLK-FLC"/>
    <n v="1"/>
    <n v="17.989999999999998"/>
    <s v="SAVE20"/>
    <n v="3.6"/>
    <n v="5.99"/>
    <n v="20.38"/>
    <s v="Shopify Payments"/>
    <x v="2"/>
    <s v="fulfilled"/>
    <s v="Canada"/>
    <m/>
    <s v="Not Required"/>
    <s v="Jesusland"/>
  </r>
  <r>
    <s v="#1849"/>
    <d v="2026-08-04T00:00:00"/>
    <s v="2026-08-04"/>
    <s v="Stacey Johnson"/>
    <x v="1"/>
    <m/>
    <s v="Stainless Steel Water Bottle"/>
    <s v="Home &amp; Kitchen"/>
    <s v="HK-BTL-750"/>
    <n v="1"/>
    <n v="12.99"/>
    <s v="FREESHIP"/>
    <n v="0"/>
    <n v="0"/>
    <n v="12.99"/>
    <s v="Credit Card"/>
    <x v="0"/>
    <s v="refunded"/>
    <s v="United States"/>
    <s v="New York"/>
    <s v="Valid"/>
    <s v="Gravesshire"/>
  </r>
  <r>
    <s v="#1850"/>
    <d v="2026-08-04T13:56:44"/>
    <d v="2026-08-04T13:56:44"/>
    <s v="Ronald Davis"/>
    <x v="0"/>
    <s v="ronald.davis995@yahoo.com"/>
    <s v="Stainless Steel Water Bottle"/>
    <s v="Home &amp; Kitchen"/>
    <s v="HK-BTL-750"/>
    <n v="1"/>
    <s v="$12.99"/>
    <m/>
    <n v="0"/>
    <n v="7.99"/>
    <n v="20.98"/>
    <s v="Google Pay"/>
    <x v="3"/>
    <s v="pending"/>
    <s v="Pakistan"/>
    <m/>
    <s v="Not Required"/>
    <s v="Lake Johnbury"/>
  </r>
  <r>
    <s v="#1851"/>
    <d v="2026-08-04T14:01:08"/>
    <d v="2026-08-04T14:01:08"/>
    <s v="Joshua Miller"/>
    <x v="0"/>
    <s v="joshua.miller362@gmail.com"/>
    <s v="Resistance Bands Set"/>
    <s v="Sports &amp; Outdoors"/>
    <s v="SP-RBS-SET"/>
    <n v="2"/>
    <n v="13.99"/>
    <s v="SAVE20"/>
    <n v="5.6"/>
    <n v="7.99"/>
    <n v="30.37"/>
    <s v="PayPal"/>
    <x v="1"/>
    <s v="cancelled"/>
    <s v="Canada"/>
    <m/>
    <s v="Not Required"/>
    <s v="Jonesfort"/>
  </r>
  <r>
    <s v="#1852"/>
    <d v="2026-08-04T14:02:21"/>
    <d v="2026-08-04T14:02:21"/>
    <s v="Andrea Martinez"/>
    <x v="0"/>
    <s v="andrea.martinez756@yahoo.com"/>
    <s v="Slim Fit Denim Jeans"/>
    <s v="Apparel"/>
    <s v="JNS-BLU-32"/>
    <n v="1"/>
    <n v="39.99"/>
    <m/>
    <n v="0"/>
    <n v="4.99"/>
    <n v="44.98"/>
    <s v="Shopify Payments"/>
    <x v="0"/>
    <s v="cancelled"/>
    <s v="Australia"/>
    <m/>
    <s v="Not Required"/>
    <s v="South Michelle"/>
  </r>
  <r>
    <s v="#1853"/>
    <d v="2026-08-04T14:05:51"/>
    <d v="2026-08-04T14:05:51"/>
    <s v="Maria Patterson"/>
    <x v="0"/>
    <s v="maria.patterson62@icloud.com"/>
    <s v="Portable Power Bank 10000mAh"/>
    <s v="Electronics"/>
    <s v="ELC-PWB-10K"/>
    <n v="1"/>
    <n v="21.99"/>
    <m/>
    <n v="0"/>
    <n v="5.99"/>
    <n v="27.98"/>
    <s v="Shopify Payments"/>
    <x v="0"/>
    <s v="refunded"/>
    <s v="United States"/>
    <s v="Florida"/>
    <s v="Valid"/>
    <s v="Lake Lindaport"/>
  </r>
  <r>
    <s v="#1854"/>
    <d v="2026-08-04T13:59:36"/>
    <d v="2026-08-04T13:59:36"/>
    <s v="Maria Patterson"/>
    <x v="0"/>
    <s v="maria.patterson62@icloud.com"/>
    <s v="Portable Power Bank 10000mAh"/>
    <s v="Electronics"/>
    <s v="ELC-PWB-10K"/>
    <n v="1"/>
    <n v="21.99"/>
    <m/>
    <n v="0"/>
    <n v="7.99"/>
    <n v="29.98"/>
    <s v="Google Pay"/>
    <x v="2"/>
    <s v="fulfilled"/>
    <s v="United States"/>
    <s v="Ohio"/>
    <s v="Valid"/>
    <s v="Tonybury"/>
  </r>
  <r>
    <s v="#1855"/>
    <d v="2026-08-04T14:06:17"/>
    <d v="2026-08-04T14:06:17"/>
    <s v="Denise Chen"/>
    <x v="0"/>
    <s v="denise.chen782@outlook.com"/>
    <s v="Wireless Mouse"/>
    <s v="Electronics"/>
    <s v="ELC-MSE-WL"/>
    <n v="1"/>
    <n v="11.99"/>
    <s v="FREESHIP"/>
    <s v="$0.00"/>
    <n v="0"/>
    <n v="11.99"/>
    <s v="Google Pay"/>
    <x v="3"/>
    <s v="fulfilled"/>
    <s v="Australia"/>
    <m/>
    <s v="Not Required"/>
    <s v="Jamesfort"/>
  </r>
  <r>
    <s v="#1856"/>
    <d v="2026-08-04T13:56:18"/>
    <d v="2026-08-04T13:56:18"/>
    <s v="James Castro"/>
    <x v="0"/>
    <s v="james.castro923@icloud.com"/>
    <s v="Running Shoes - Men's"/>
    <s v="Footwear"/>
    <s v="FTW-RUN-M"/>
    <n v="1"/>
    <n v="54.99"/>
    <m/>
    <n v="0"/>
    <n v="5.99"/>
    <n v="60.98"/>
    <s v="Google Pay"/>
    <x v="1"/>
    <s v="refunded"/>
    <s v="Pakistan"/>
    <m/>
    <s v="Not Required"/>
    <s v="South Leslie"/>
  </r>
  <r>
    <s v="#1857"/>
    <d v="2026-08-04T13:58:20"/>
    <d v="2026-08-04T13:58:20"/>
    <s v="Kayla Cruz"/>
    <x v="0"/>
    <s v="kayla.cruz151@outlook.com"/>
    <s v="Kids Building Blocks Set"/>
    <s v="Toys"/>
    <s v="TOY-BLK-SET"/>
    <n v="1"/>
    <n v="27.99"/>
    <m/>
    <n v="0"/>
    <n v="5.99"/>
    <n v="33.979999999999997"/>
    <s v="Shopify Payments"/>
    <x v="0"/>
    <s v="fulfilled"/>
    <s v="Pakistan"/>
    <m/>
    <s v="Not Required"/>
    <s v="Sydneyville"/>
  </r>
  <r>
    <s v="#1858"/>
    <d v="2026-08-04T13:54:44"/>
    <d v="2026-08-04T13:54:44"/>
    <s v="Lisa Zuniga"/>
    <x v="0"/>
    <s v="lisa.zuniga825@outlook.com"/>
    <s v="Leather Wallet   Brown"/>
    <s v="Accessories"/>
    <s v="ACC-WLT-BRN"/>
    <n v="1"/>
    <n v="19.989999999999998"/>
    <s v="WELCOME10"/>
    <n v="2"/>
    <n v="5.99"/>
    <n v="23.98"/>
    <s v="PayPal"/>
    <x v="1"/>
    <s v="fulfilled"/>
    <s v="Germany"/>
    <m/>
    <s v="Not Required"/>
    <s v="East William"/>
  </r>
  <r>
    <s v="#1860"/>
    <d v="2026-08-04T13:57:07"/>
    <d v="2026-08-04T13:57:07"/>
    <s v="Anthony Krueger"/>
    <x v="0"/>
    <s v="anthony.krueger812@yahoo.com"/>
    <s v="Running Shoes - Women's"/>
    <s v="Footwear"/>
    <s v="FTW-RUN-W"/>
    <n v="1"/>
    <n v="54.99"/>
    <s v="WELCOME10"/>
    <n v="5.5"/>
    <n v="5.99"/>
    <s v="$55.48"/>
    <s v="Google Pay"/>
    <x v="0"/>
    <s v="fulfilled"/>
    <s v="Pakistan"/>
    <m/>
    <s v="Not Required"/>
    <s v="Simpsonstad"/>
  </r>
  <r>
    <s v="#1861"/>
    <d v="2026-08-04T13:59:03"/>
    <d v="2026-08-04T13:59:03"/>
    <s v="Gerald Li"/>
    <x v="0"/>
    <s v="gerald.li856@icloud.com"/>
    <s v="Stainless Steel Water Bottle"/>
    <s v="Home &amp; Kitchen"/>
    <s v="HK-BTL-750"/>
    <n v="1"/>
    <n v="12.99"/>
    <m/>
    <s v="$0.00"/>
    <n v="5.99"/>
    <n v="18.98"/>
    <s v="Credit Card"/>
    <x v="0"/>
    <s v="fulfilled"/>
    <s v="United States"/>
    <s v="Ohio"/>
    <s v="Valid"/>
    <s v="Blackwellland"/>
  </r>
  <r>
    <s v="#1862"/>
    <d v="2026-08-04T13:57:23"/>
    <d v="2026-08-04T13:57:23"/>
    <s v="Jennifer Burke"/>
    <x v="0"/>
    <s v="jennifer.burke472@icloud.com"/>
    <s v="Leather Wallet - Brown"/>
    <s v="Accessories"/>
    <s v="ACC-WLT-BRN"/>
    <n v="1"/>
    <n v="19.989999999999998"/>
    <m/>
    <n v="0"/>
    <n v="7.99"/>
    <n v="27.98"/>
    <s v="Google Pay"/>
    <x v="1"/>
    <s v="fulfilled"/>
    <s v="Pakistan"/>
    <m/>
    <s v="Not Required"/>
    <s v="Port Jason"/>
  </r>
  <r>
    <s v="#1863"/>
    <d v="2026-04-08T00:00:00"/>
    <s v="08/04/2026"/>
    <s v="Chad Smith"/>
    <x v="0"/>
    <s v="chad.smith773@icloud.com"/>
    <s v="Running Shoes - Women's"/>
    <s v="Footwear"/>
    <s v="FTW-RUN-W"/>
    <n v="1"/>
    <n v="54.99"/>
    <s v="FREESHIP"/>
    <n v="0"/>
    <n v="0"/>
    <n v="54.99"/>
    <s v="PayPal"/>
    <x v="0"/>
    <s v="cancelled"/>
    <s v="Pakistan"/>
    <m/>
    <s v="Not Required"/>
    <s v="Amandaland"/>
  </r>
  <r>
    <s v="#1864"/>
    <d v="2026-08-04T00:00:00"/>
    <s v="04-08-2026 14:00"/>
    <s v="Allen Diaz"/>
    <x v="0"/>
    <s v="allen.diaz546@gmail.com"/>
    <s v="Ceramic Coffee Mug Set (4pc)"/>
    <s v="Home &amp; Kitchen"/>
    <s v="HK-MUG-4PK"/>
    <n v="1"/>
    <n v="18.989999999999998"/>
    <m/>
    <n v="0"/>
    <n v="4.99"/>
    <n v="23.98"/>
    <s v="PayPal"/>
    <x v="0"/>
    <s v="refunded"/>
    <s v="United States"/>
    <s v="Georgia"/>
    <s v="Valid"/>
    <s v="Coreyton"/>
  </r>
  <r>
    <s v="#1865"/>
    <d v="2026-08-04T13:57:52"/>
    <d v="2026-08-04T13:57:52"/>
    <s v="Matthew Perez"/>
    <x v="0"/>
    <s v="matthew.perez875@gmail.com"/>
    <s v="USB-C Fast Charger 20W"/>
    <s v="Electronics"/>
    <s v="ELC-CHG-20"/>
    <n v="2"/>
    <n v="15.49"/>
    <s v="BFCM25"/>
    <n v="7.75"/>
    <n v="4.99"/>
    <n v="28.22"/>
    <s v="Apple Pay"/>
    <x v="0"/>
    <s v="fulfilled"/>
    <s v="Pakistan"/>
    <m/>
    <s v="Not Required"/>
    <s v="Port Traciburgh"/>
  </r>
  <r>
    <s v="#1867"/>
    <d v="2026-08-04T14:06:11"/>
    <d v="2026-08-04T14:06:11"/>
    <s v="Nicholas Jarvis"/>
    <x v="1"/>
    <m/>
    <s v="Vitamin C Serum 30ml"/>
    <s v="Beauty"/>
    <s v="BTY-SRM-30"/>
    <n v="3"/>
    <n v="24.99"/>
    <m/>
    <n v="0"/>
    <n v="7.99"/>
    <n v="82.96"/>
    <s v="Apple Pay"/>
    <x v="0"/>
    <s v="fulfilled"/>
    <s v="Canada"/>
    <m/>
    <s v="Not Required"/>
    <s v="South Michaelmouth"/>
  </r>
  <r>
    <s v="#1868"/>
    <d v="2026-08-04T00:00:00"/>
    <s v="2026-08-04"/>
    <s v="Kayla Cruz"/>
    <x v="0"/>
    <s v="kayla.cruz151@outlook.com"/>
    <s v="Resistance Bands Set"/>
    <s v="Sports &amp; Outdoors"/>
    <s v="SP-RBS-SET"/>
    <n v="1"/>
    <n v="13.99"/>
    <s v="SAVE20"/>
    <s v="$2.80"/>
    <n v="4.99"/>
    <n v="16.18"/>
    <s v="Google Pay"/>
    <x v="0"/>
    <s v="fulfilled"/>
    <s v="Pakistan"/>
    <m/>
    <s v="Not Required"/>
    <s v="West Amber"/>
  </r>
  <r>
    <s v="#1869"/>
    <d v="2026-08-04T14:05:01"/>
    <d v="2026-08-04T14:05:01"/>
    <s v="Jennifer Burke"/>
    <x v="0"/>
    <s v="jennifer.burke472@icloud.com"/>
    <s v="Scented Soy Candle - Vanilla"/>
    <s v="Home &amp; Kitchen"/>
    <s v="HK-CND-VAN"/>
    <n v="1"/>
    <n v="9.99"/>
    <m/>
    <n v="0"/>
    <n v="7.99"/>
    <n v="17.98"/>
    <s v="Shopify Payments"/>
    <x v="2"/>
    <s v="fulfilled"/>
    <s v="Pakistan"/>
    <m/>
    <s v="Not Required"/>
    <s v="Lake Thomasville"/>
  </r>
  <r>
    <s v="#1870"/>
    <d v="2026-04-08T00:00:00"/>
    <s v="08/04/2026"/>
    <s v="Christopher Harrington"/>
    <x v="0"/>
    <s v="christopher.harrington960@gmail.com"/>
    <s v="Polarized Sunglasses"/>
    <s v="Accessories"/>
    <s v="ACC-SUN-01"/>
    <n v="1"/>
    <n v="16.989999999999998"/>
    <s v="SAVE20"/>
    <n v="3.4"/>
    <n v="7.99"/>
    <n v="21.58"/>
    <s v="PayPal"/>
    <x v="0"/>
    <s v="fulfilled"/>
    <s v="Australia"/>
    <m/>
    <s v="Not Required"/>
    <s v="Danaton"/>
  </r>
  <r>
    <s v="#1871"/>
    <d v="2026-08-04T14:01:24"/>
    <d v="2026-08-04T14:01:24"/>
    <s v="Ronald Stanley"/>
    <x v="0"/>
    <s v="ronald.stanley7@yahoo.com"/>
    <s v="Portable Power Bank 10000mAh"/>
    <s v="Electronics"/>
    <s v="ELC-PWB-10K"/>
    <n v="2"/>
    <n v="21.99"/>
    <s v="SAVE20"/>
    <n v="8.8000000000000007"/>
    <n v="7.99"/>
    <n v="43.17"/>
    <s v="Apple Pay"/>
    <x v="1"/>
    <s v="pending"/>
    <s v="United States"/>
    <s v="Arizona"/>
    <s v="Valid"/>
    <s v="West Laura"/>
  </r>
  <r>
    <s v="#1872"/>
    <d v="2026-08-04T13:54:25"/>
    <d v="2026-08-04T13:54:25"/>
    <s v="Melissa James"/>
    <x v="0"/>
    <s v="melissa.james674@outlook.com"/>
    <s v="Wireless Mouse"/>
    <s v="Electronics"/>
    <s v="ELC-MSE-WL"/>
    <n v="2"/>
    <n v="11.99"/>
    <m/>
    <n v="0"/>
    <n v="5.99"/>
    <n v="29.97"/>
    <s v="PayPal"/>
    <x v="3"/>
    <s v="cancelled"/>
    <s v="United States"/>
    <s v="Texas"/>
    <s v="Valid"/>
    <s v="Lake Kennethport"/>
  </r>
  <r>
    <s v="#1873"/>
    <d v="2026-08-04T14:01:54"/>
    <d v="2026-08-04T14:01:54"/>
    <s v="THOMAS ROJAS"/>
    <x v="0"/>
    <s v="thomas.rojas667@icloud.com"/>
    <s v="Wireless Mouse"/>
    <s v="Electronics"/>
    <s v="ELC-MSE-WL"/>
    <n v="1"/>
    <n v="11.99"/>
    <m/>
    <n v="0"/>
    <n v="7.99"/>
    <n v="19.98"/>
    <s v="Apple Pay"/>
    <x v="0"/>
    <s v="fulfilled"/>
    <s v="United States"/>
    <s v="Georgia"/>
    <s v="Valid"/>
    <s v="Johnsonton"/>
  </r>
  <r>
    <s v="#1874"/>
    <d v="2026-08-04T14:02:59"/>
    <d v="2026-08-04T14:02:59"/>
    <s v="Nguyen, Lauren"/>
    <x v="0"/>
    <s v="lauren.nguyen819@outlook.com"/>
    <s v="Classic Cotton T-Shirt"/>
    <s v="Apparel"/>
    <s v="TSH-BLK-M"/>
    <n v="2"/>
    <n v="14.99"/>
    <m/>
    <n v="0"/>
    <n v="5.99"/>
    <s v="$35.97"/>
    <s v="Apple Pay"/>
    <x v="1"/>
    <s v="fulfilled"/>
    <s v="United Kingdom"/>
    <m/>
    <s v="Not Required"/>
    <s v="East Adamview"/>
  </r>
  <r>
    <s v="#1875"/>
    <d v="2026-08-04T00:00:00"/>
    <s v="2026-08-04"/>
    <s v="Jaime Vargas"/>
    <x v="0"/>
    <s v="jaime.vargas795@outlook.com"/>
    <s v="Polarized Sunglasses"/>
    <s v="Accessories"/>
    <s v="ACC-SUN-01"/>
    <n v="1"/>
    <n v="16.989999999999998"/>
    <m/>
    <n v="0"/>
    <n v="5.99"/>
    <n v="22.98"/>
    <s v="Credit Card"/>
    <x v="0"/>
    <s v="fulfilled"/>
    <s v="United Kingdom"/>
    <m/>
    <s v="Not Required"/>
    <s v="Youngmouth"/>
  </r>
  <r>
    <s v="#1876"/>
    <d v="2026-04-08T00:00:00"/>
    <s v="08/04/2026"/>
    <s v="Tasha Morales"/>
    <x v="0"/>
    <s v="tasha.morales378@outlook.com"/>
    <s v="Portable Power Bank 10000mAh"/>
    <s v="Electronics"/>
    <s v="ELC-PWB-10K"/>
    <n v="1"/>
    <n v="21.99"/>
    <m/>
    <n v="0"/>
    <n v="4.99"/>
    <n v="26.98"/>
    <s v="Google Pay"/>
    <x v="3"/>
    <s v="fulfilled"/>
    <s v="United States"/>
    <s v="Ohio"/>
    <s v="Valid"/>
    <s v="New James"/>
  </r>
  <r>
    <s v="#1877"/>
    <d v="2026-08-04T13:56:03"/>
    <d v="2026-08-04T13:56:03"/>
    <s v="Chavez, Summer"/>
    <x v="0"/>
    <s v="summer.chavez101@icloud.com"/>
    <s v="Scented Soy Candle - Vanilla"/>
    <s v="Home &amp; Kitchen"/>
    <s v="HK-CND-VAN"/>
    <n v="1"/>
    <n v="9.99"/>
    <s v="SAVE20"/>
    <n v="2"/>
    <n v="7.99"/>
    <n v="15.98"/>
    <s v="Apple Pay"/>
    <x v="0"/>
    <s v="pending"/>
    <s v="United States"/>
    <s v="Arizona"/>
    <s v="Valid"/>
    <s v="Port Colleen"/>
  </r>
  <r>
    <s v="#1878"/>
    <d v="2026-04-08T00:00:00"/>
    <s v="08/04/2026"/>
    <s v="Kaitlyn Hernandez"/>
    <x v="0"/>
    <s v="kaitlyn.hernandez192@gmail.com"/>
    <s v="Running Shoes - Women's"/>
    <s v="Footwear"/>
    <s v="FTW-RUN-W"/>
    <n v="1"/>
    <n v="54.99"/>
    <m/>
    <s v="$0.00"/>
    <n v="5.99"/>
    <n v="60.98"/>
    <s v="PayPal"/>
    <x v="2"/>
    <s v="fulfilled"/>
    <s v="Pakistan"/>
    <m/>
    <s v="Not Required"/>
    <s v="North Lindseymouth"/>
  </r>
  <r>
    <s v="#1879"/>
    <d v="2026-08-04T14:04:57"/>
    <d v="2026-08-04T14:04:57"/>
    <s v="Mark Mata"/>
    <x v="0"/>
    <s v="mark.mata757@outlook.com"/>
    <s v="Hooded Sweatshirt"/>
    <s v="Apparel"/>
    <s v="APR-HOD-GRY"/>
    <n v="1"/>
    <s v="$34.99"/>
    <m/>
    <n v="0"/>
    <n v="5.99"/>
    <n v="40.98"/>
    <s v="Credit Card"/>
    <x v="2"/>
    <s v="fulfilled"/>
    <s v="United States"/>
    <s v="Washington"/>
    <s v="Valid"/>
    <s v="Christophermouth"/>
  </r>
  <r>
    <s v="#1880"/>
    <d v="2026-08-04T13:57:21"/>
    <d v="2026-08-04T13:57:21"/>
    <s v="Tina Crane"/>
    <x v="0"/>
    <s v="tina.crane554@gmail.com"/>
    <s v="USB-C Fast Charger 20W"/>
    <s v="Electronics"/>
    <s v="ELC-CHG-20"/>
    <n v="1"/>
    <n v="15.49"/>
    <s v="FREESHIP"/>
    <n v="0"/>
    <n v="0"/>
    <n v="15.49"/>
    <s v="Google Pay"/>
    <x v="2"/>
    <s v="fulfilled"/>
    <s v="United Kingdom"/>
    <m/>
    <s v="Not Required"/>
    <s v="West Susanchester"/>
  </r>
  <r>
    <s v="#1881"/>
    <d v="2026-08-04T13:54:29"/>
    <d v="2026-08-04T13:54:29"/>
    <s v="Gregory Tanner"/>
    <x v="0"/>
    <s v="gregory.tanner968@outlook.com"/>
    <s v="Ceramic Coffee Mug Set (4pc)"/>
    <s v="Home &amp; Kitchen"/>
    <s v="HK-MUG-4PK"/>
    <n v="1"/>
    <n v="18.989999999999998"/>
    <s v="FREESHIP"/>
    <n v="0"/>
    <n v="0"/>
    <n v="18.989999999999998"/>
    <s v="PayPal"/>
    <x v="3"/>
    <s v="cancelled"/>
    <s v="United States"/>
    <s v="New York"/>
    <s v="Valid"/>
    <s v="South Josephborough"/>
  </r>
  <r>
    <s v="#1882"/>
    <d v="2026-08-04T14:05:03"/>
    <d v="2026-08-04T14:05:03"/>
    <s v="Joshua Thompson"/>
    <x v="0"/>
    <s v="joshua.thompson522@outlook.com"/>
    <s v="Wireless Mouse"/>
    <s v="Electronics"/>
    <s v="ELC-MSE-WL"/>
    <n v="1"/>
    <n v="11.99"/>
    <m/>
    <n v="0"/>
    <n v="5.99"/>
    <n v="17.98"/>
    <s v="Shopify Payments"/>
    <x v="3"/>
    <s v="fulfilled"/>
    <s v="Pakistan"/>
    <m/>
    <s v="Not Required"/>
    <s v="North Travis"/>
  </r>
  <r>
    <s v="#1883"/>
    <d v="2026-04-08T00:00:00"/>
    <s v="08/04/2026"/>
    <s v="Jennifer Martin"/>
    <x v="1"/>
    <m/>
    <s v="Running Shoes - Women's"/>
    <s v="Footwear"/>
    <s v="FTW-RUN-W"/>
    <n v="2"/>
    <n v="54.99"/>
    <s v="SAVE20"/>
    <n v="22"/>
    <n v="0"/>
    <s v="$87.98"/>
    <s v="Apple Pay"/>
    <x v="2"/>
    <s v="fulfilled"/>
    <s v="United States"/>
    <s v="IL"/>
    <s v="Valid"/>
    <s v="Robertstad"/>
  </r>
  <r>
    <s v="#1884"/>
    <d v="2026-08-04T13:56:49"/>
    <d v="2026-08-04T13:56:49"/>
    <s v="Krueger, Anthony"/>
    <x v="0"/>
    <s v="anthony.krueger812@yahoo.com"/>
    <s v="Classic Cotton T-Shirt"/>
    <s v="Apparel"/>
    <s v="TSH-BLK-L"/>
    <n v="1"/>
    <n v="14.99"/>
    <m/>
    <n v="0"/>
    <n v="7.99"/>
    <n v="22.98"/>
    <s v="Google Pay"/>
    <x v="3"/>
    <s v="fulfilled"/>
    <s v="Pakistan"/>
    <m/>
    <s v="Not Required"/>
    <s v="Tiffanyview"/>
  </r>
  <r>
    <s v="#1885"/>
    <d v="2026-08-04T13:55:43"/>
    <d v="2026-08-04T13:55:43"/>
    <s v="Anthony Hunt"/>
    <x v="0"/>
    <s v="anthony.hunt521@outlook.com"/>
    <s v="Portable Power Bank 10000mAh"/>
    <s v="Electronics"/>
    <s v="ELC-PWB-10K"/>
    <n v="1"/>
    <n v="21.99"/>
    <m/>
    <n v="0"/>
    <n v="7.99"/>
    <s v="$29.98"/>
    <s v="Google Pay"/>
    <x v="0"/>
    <s v="pending"/>
    <s v="United States"/>
    <s v="TX"/>
    <s v="Valid"/>
    <s v="Loweland"/>
  </r>
  <r>
    <s v="#1886"/>
    <d v="2026-08-04T13:53:49"/>
    <d v="2026-08-04T13:53:49"/>
    <s v="Jennifer Martin"/>
    <x v="1"/>
    <m/>
    <s v="Phone Case - Clear"/>
    <s v="Electronics"/>
    <s v="ELC-CSE-CLR"/>
    <n v="1"/>
    <n v="8.99"/>
    <m/>
    <n v="0"/>
    <n v="4.99"/>
    <n v="13.98"/>
    <s v="PayPal"/>
    <x v="0"/>
    <s v="refunded"/>
    <s v="United States"/>
    <s v="Illinois"/>
    <s v="Valid"/>
    <s v="Brianmouth"/>
  </r>
  <r>
    <s v="#1887"/>
    <d v="2026-08-04T14:00:46"/>
    <d v="2026-08-04T14:00:46"/>
    <s v="Sheryl Nguyen"/>
    <x v="0"/>
    <s v="sheryl.nguyen272@outlook.com"/>
    <s v="Hooded Sweatshirt"/>
    <s v="Apparel"/>
    <s v="APR-HOD-GRY"/>
    <n v="1"/>
    <n v="34.99"/>
    <m/>
    <n v="0"/>
    <n v="7.99"/>
    <n v="42.98"/>
    <s v="Google Pay"/>
    <x v="0"/>
    <s v="fulfilled"/>
    <s v="United States"/>
    <s v="California"/>
    <s v="Valid"/>
    <s v="Cindyville"/>
  </r>
  <r>
    <s v="#1888"/>
    <d v="2026-08-04T14:05:43"/>
    <d v="2026-08-04T14:05:43"/>
    <s v="Julia Atkinson"/>
    <x v="0"/>
    <s v="julia.atkinson939@gmail.com"/>
    <s v="Ceramic Coffee Mug Set (4pc)"/>
    <s v="Home &amp; Kitchen"/>
    <s v="HK-MUG-4PK"/>
    <n v="1"/>
    <n v="18.989999999999998"/>
    <m/>
    <n v="0"/>
    <n v="5.99"/>
    <n v="24.98"/>
    <s v="Shopify Payments"/>
    <x v="0"/>
    <s v="fulfilled"/>
    <s v="Canada"/>
    <m/>
    <s v="Not Required"/>
    <s v="Lisahaven"/>
  </r>
  <r>
    <s v="#1889"/>
    <d v="2026-04-08T00:00:00"/>
    <s v="08/04/2026"/>
    <s v="Danielle Morrow"/>
    <x v="0"/>
    <s v="danielle.morrow805@outlook.com"/>
    <s v="Scented Soy Candle - Vanilla"/>
    <s v="Home &amp; Kitchen"/>
    <s v="HK-CND-VAN"/>
    <n v="1"/>
    <n v="9.99"/>
    <s v="VIP15"/>
    <n v="1.5"/>
    <n v="4.99"/>
    <n v="13.48"/>
    <s v="Credit Card"/>
    <x v="0"/>
    <s v="fulfilled"/>
    <s v="United Kingdom"/>
    <m/>
    <s v="Not Required"/>
    <s v="Johnchester"/>
  </r>
  <r>
    <s v="#1890"/>
    <d v="2026-08-04T00:00:00"/>
    <s v="04-08-2026 13:56"/>
    <s v="Kristina Cook"/>
    <x v="0"/>
    <s v="kristina.cook392@outlook.com"/>
    <s v="Portable Power Bank 10000mAh"/>
    <s v="Electronics"/>
    <s v="ELC-PWB-10K"/>
    <n v="1"/>
    <n v="21.99"/>
    <s v="BFCM25"/>
    <n v="5.5"/>
    <n v="4.99"/>
    <n v="21.48"/>
    <s v="Apple Pay"/>
    <x v="0"/>
    <s v="fulfilled"/>
    <s v="United States"/>
    <s v="WA"/>
    <s v="Valid"/>
    <s v="New Brendaville"/>
  </r>
  <r>
    <s v="#1891"/>
    <d v="2026-08-04T14:06:17"/>
    <d v="2026-08-04T14:06:17"/>
    <s v="Anthony Marshall"/>
    <x v="0"/>
    <s v="anthony.marshall823@yahoo.com"/>
    <s v="Running Shoes - Men's"/>
    <s v="Footwear"/>
    <s v="FTW-RUN-M"/>
    <n v="1"/>
    <n v="54.99"/>
    <s v="WELCOME10"/>
    <n v="5.5"/>
    <n v="7.99"/>
    <n v="57.48"/>
    <s v="PayPal"/>
    <x v="0"/>
    <s v="fulfilled"/>
    <s v="United States"/>
    <s v="Arizona"/>
    <s v="Valid"/>
    <s v="West Alisonstad"/>
  </r>
  <r>
    <s v="#1892"/>
    <d v="2026-08-04T14:01:29"/>
    <d v="2026-08-04T14:01:29"/>
    <s v="Thomas Vazquez"/>
    <x v="0"/>
    <s v="thomas.vazquez673@icloud.com"/>
    <s v="Backpack - 25L"/>
    <s v="Accessories"/>
    <s v="ACC-BPK-25L"/>
    <n v="1"/>
    <n v="32.99"/>
    <m/>
    <n v="0"/>
    <n v="7.99"/>
    <n v="40.98"/>
    <s v="Google Pay"/>
    <x v="0"/>
    <s v="refunded"/>
    <s v="Germany"/>
    <m/>
    <s v="Not Required"/>
    <s v="West Amy"/>
  </r>
  <r>
    <s v="#1893"/>
    <d v="2026-08-04T14:07:44"/>
    <d v="2026-08-04T14:07:44"/>
    <s v="Rodney Lamb"/>
    <x v="0"/>
    <s v="rodney.lamb872@icloud.com"/>
    <s v="Vitamin C Serum 30ml"/>
    <s v="Beauty"/>
    <s v="BTY-SRM-30"/>
    <n v="1"/>
    <n v="24.99"/>
    <m/>
    <n v="0"/>
    <n v="7.99"/>
    <n v="32.979999999999997"/>
    <s v="Credit Card"/>
    <x v="0"/>
    <s v="pending"/>
    <s v="Australia"/>
    <m/>
    <s v="Not Required"/>
    <s v="Martinezland"/>
  </r>
  <r>
    <s v="#1894"/>
    <d v="2026-08-04T13:54:04"/>
    <d v="2026-08-04T13:54:04"/>
    <s v="Davis, Alan"/>
    <x v="0"/>
    <s v="alan.davis483@icloud.com"/>
    <s v="Running Shoes - Women's"/>
    <s v="Footwear"/>
    <s v="FTW-RUN-W"/>
    <n v="1"/>
    <n v="54.99"/>
    <s v="WELCOME10"/>
    <n v="5.5"/>
    <n v="4.99"/>
    <n v="54.48"/>
    <s v="Apple Pay"/>
    <x v="0"/>
    <s v="cancelled"/>
    <s v="Canada"/>
    <m/>
    <s v="Not Required"/>
    <s v="West Joseph"/>
  </r>
  <r>
    <s v="#1895"/>
    <d v="2026-08-04T14:06:22"/>
    <d v="2026-08-04T14:06:22"/>
    <s v="Tanya Brown"/>
    <x v="0"/>
    <s v="tanya.brown516@outlook.com"/>
    <s v="Classic Cotton T-Shirt"/>
    <s v="Apparel"/>
    <s v="TSH-BLK-L"/>
    <n v="1"/>
    <n v="14.99"/>
    <s v="FREESHIP"/>
    <n v="0"/>
    <n v="0"/>
    <s v="$14.99"/>
    <s v="Google Pay"/>
    <x v="1"/>
    <s v="fulfilled"/>
    <s v="United States"/>
    <s v="Arizona"/>
    <s v="Valid"/>
    <s v="South Melissa"/>
  </r>
  <r>
    <s v="#1896"/>
    <d v="2026-04-08T00:00:00"/>
    <s v="08/04/2026"/>
    <s v="Linda Scott"/>
    <x v="0"/>
    <s v="linda.scott2@icloud.com"/>
    <s v="Leather Wallet - Brown"/>
    <s v="Accessories"/>
    <s v="ACC-WLT-BRN"/>
    <n v="1"/>
    <n v="19.989999999999998"/>
    <s v="BFCM25"/>
    <n v="5"/>
    <n v="7.99"/>
    <n v="22.98"/>
    <s v="Credit Card"/>
    <x v="1"/>
    <s v="refunded"/>
    <s v="Canada"/>
    <m/>
    <s v="Not Required"/>
    <s v="Lake Brentland"/>
  </r>
  <r>
    <s v="#1897"/>
    <d v="2026-08-04T13:58:08"/>
    <d v="2026-08-04T13:58:08"/>
    <s v="Anthony Patterson"/>
    <x v="0"/>
    <s v="anthony.patterson944@gmail.com"/>
    <s v="Non-Stick Frying Pan 10in"/>
    <s v="Home &amp; Kitchen"/>
    <s v="HK-PAN-10"/>
    <n v="1"/>
    <n v="24.99"/>
    <m/>
    <n v="0"/>
    <n v="5.99"/>
    <n v="30.98"/>
    <s v="Credit Card"/>
    <x v="3"/>
    <s v="fulfilled"/>
    <s v="Pakistan"/>
    <m/>
    <s v="Not Required"/>
    <s v="Wilkersonberg"/>
  </r>
  <r>
    <s v="#1898"/>
    <d v="2026-08-04T14:01:57"/>
    <d v="2026-08-04T14:01:57"/>
    <s v="David Hayden"/>
    <x v="0"/>
    <s v="david.hayden411@outlook.com"/>
    <s v="Leather Wallet - Brown"/>
    <s v="Accessories"/>
    <s v="ACC-WLT-BRN"/>
    <n v="1"/>
    <n v="19.989999999999998"/>
    <m/>
    <n v="0"/>
    <n v="5.99"/>
    <n v="25.98"/>
    <s v="Shopify Payments"/>
    <x v="3"/>
    <s v="fulfilled"/>
    <s v="Australia"/>
    <m/>
    <s v="Not Required"/>
    <s v="Westfurt"/>
  </r>
  <r>
    <s v="#1899"/>
    <d v="2026-08-04T13:55:01"/>
    <d v="2026-08-04T13:55:01"/>
    <s v="Deborah Wilson"/>
    <x v="0"/>
    <s v="deborah.wilson691@icloud.com"/>
    <s v="Backpack - 25L"/>
    <s v="Accessories"/>
    <s v="ACC-BPK-25L"/>
    <n v="2"/>
    <n v="32.99"/>
    <s v="FREESHIP"/>
    <n v="0"/>
    <n v="0"/>
    <n v="65.98"/>
    <s v="PayPal"/>
    <x v="0"/>
    <s v="fulfilled"/>
    <s v="United Kingdom"/>
    <m/>
    <s v="Not Required"/>
    <s v="South Amandachester"/>
  </r>
  <r>
    <s v="#1900"/>
    <d v="2026-08-04T00:00:00"/>
    <s v="04-08-2026 14:05"/>
    <s v="Jesus Mason"/>
    <x v="0"/>
    <s v="jesus.mason798@icloud.com"/>
    <s v="USB-C Fast Charger 20W"/>
    <s v="Electronics"/>
    <s v="ELC-CHG-20"/>
    <n v="2"/>
    <n v="15.49"/>
    <m/>
    <n v="0"/>
    <n v="4.99"/>
    <n v="35.97"/>
    <s v="Shopify Payments"/>
    <x v="0"/>
    <s v="fulfilled"/>
    <s v="United States"/>
    <s v="Texas"/>
    <s v="Valid"/>
    <s v="Lake Seanton"/>
  </r>
  <r>
    <s v="#1901"/>
    <d v="2026-08-04T00:00:00"/>
    <s v="2026-08-04"/>
    <s v="Amanda Robinson"/>
    <x v="0"/>
    <s v="amanda.robinson263@icloud.com"/>
    <s v="Hooded Sweatshirt"/>
    <s v="Apparel"/>
    <s v="APR-HOD-GRY"/>
    <n v="1"/>
    <n v="34.99"/>
    <m/>
    <n v="0"/>
    <n v="7.99"/>
    <n v="42.98"/>
    <s v="Google Pay"/>
    <x v="0"/>
    <s v="fulfilled"/>
    <s v="United States"/>
    <s v="Ohio"/>
    <s v="Valid"/>
    <s v="New Richard"/>
  </r>
  <r>
    <s v="#1902"/>
    <d v="2026-08-04T14:06:23"/>
    <d v="2026-08-04T14:06:23"/>
    <s v="Tracy Adams"/>
    <x v="0"/>
    <s v="tracy.adams712@icloud.com"/>
    <s v="Facial Cleanser 200ml"/>
    <s v="Beauty"/>
    <s v="BTY-CLN-200"/>
    <n v="2"/>
    <n v="13.49"/>
    <s v="FREESHIP"/>
    <n v="0"/>
    <n v="0"/>
    <n v="26.98"/>
    <s v="Credit Card"/>
    <x v="0"/>
    <s v="cancelled"/>
    <s v="United States"/>
    <s v="Georgia"/>
    <s v="Valid"/>
    <s v="Robertland"/>
  </r>
  <r>
    <s v="#1903"/>
    <d v="2026-08-04T14:06:32"/>
    <d v="2026-08-04T14:06:32"/>
    <s v="Justin Chavez"/>
    <x v="0"/>
    <s v="justin.chavez556@gmail.com"/>
    <s v="Slim Fit Denim Jeans"/>
    <s v="Apparel"/>
    <s v="JNS-BLU-32"/>
    <n v="1"/>
    <n v="39.99"/>
    <s v="SAVE20"/>
    <n v="8"/>
    <n v="5.99"/>
    <n v="37.979999999999997"/>
    <s v="Shopify Payments"/>
    <x v="0"/>
    <s v="refunded"/>
    <s v="United States"/>
    <s v="Texas"/>
    <s v="Valid"/>
    <s v="Timothyview"/>
  </r>
  <r>
    <s v="#1904"/>
    <d v="2026-04-08T00:00:00"/>
    <s v="08/04/2026"/>
    <s v="christopher osborne"/>
    <x v="0"/>
    <s v="christopher.osborne481@yahoo.com"/>
    <s v="Leather Wallet - Brown"/>
    <s v="Accessories"/>
    <s v="ACC-WLT-BRN"/>
    <n v="1"/>
    <n v="19.989999999999998"/>
    <m/>
    <n v="0"/>
    <n v="7.99"/>
    <n v="27.98"/>
    <s v="Credit Card"/>
    <x v="1"/>
    <s v="fulfilled"/>
    <s v="United States"/>
    <s v="Canada"/>
    <s v="Valid"/>
    <s v="West Adamport"/>
  </r>
  <r>
    <s v="#1905"/>
    <d v="2026-08-04T14:01:13"/>
    <d v="2026-08-04T14:01:13"/>
    <s v="Justin Smith"/>
    <x v="0"/>
    <s v="justin.smith204@yahoo.com"/>
    <s v="Vitamin C Serum 30ml"/>
    <s v="Beauty"/>
    <s v="BTY-SRM-30"/>
    <n v="1"/>
    <n v="24.99"/>
    <s v="FREESHIP"/>
    <n v="0"/>
    <n v="0"/>
    <n v="24.99"/>
    <s v="Shopify Payments"/>
    <x v="0"/>
    <s v="pending"/>
    <s v="United Kingdom"/>
    <m/>
    <s v="Not Required"/>
    <s v="Richardfort"/>
  </r>
  <r>
    <s v="#1906"/>
    <d v="2026-08-04T13:55:43"/>
    <d v="2026-08-04T13:55:43"/>
    <s v="Tracy Adams"/>
    <x v="0"/>
    <s v="tracy.adams712@icloud.com"/>
    <s v="Classic Cotton T-Shirt"/>
    <s v="Apparel"/>
    <s v="TSH-BLK-L"/>
    <n v="1"/>
    <n v="14.99"/>
    <m/>
    <n v="0"/>
    <n v="4.99"/>
    <n v="19.98"/>
    <s v="Google Pay"/>
    <x v="0"/>
    <s v="fulfilled"/>
    <s v="United States"/>
    <s v="NC"/>
    <s v="Valid"/>
    <s v="Jacksonside"/>
  </r>
  <r>
    <s v="#1907"/>
    <d v="2026-08-04T00:00:00"/>
    <s v="04-08-2026 13:57"/>
    <s v="Angela Carr"/>
    <x v="0"/>
    <s v="angela.carr488@yahoo.com"/>
    <s v="Vitamin C Serum 30ml"/>
    <s v="Beauty"/>
    <s v="BTY-SRM-30"/>
    <n v="1"/>
    <n v="24.99"/>
    <s v="BFCM25"/>
    <n v="6.25"/>
    <n v="4.99"/>
    <n v="23.73"/>
    <s v="Google Pay"/>
    <x v="3"/>
    <s v="fulfilled"/>
    <s v="United States"/>
    <s v="NC"/>
    <s v="Valid"/>
    <s v="Batesstad"/>
  </r>
  <r>
    <s v="#1908"/>
    <d v="2026-08-04T00:00:00"/>
    <s v="04-08-2026 14:02"/>
    <s v="William Houston"/>
    <x v="0"/>
    <s v="william.houston340@outlook.com"/>
    <s v="Slim Fit Denim Jeans"/>
    <s v="Apparel"/>
    <s v="JNS-BLU-32"/>
    <n v="1"/>
    <n v="39.99"/>
    <m/>
    <n v="0"/>
    <n v="7.99"/>
    <n v="47.98"/>
    <s v="Apple Pay"/>
    <x v="2"/>
    <s v="fulfilled"/>
    <s v="United States"/>
    <s v="California"/>
    <s v="Valid"/>
    <s v="East Terryfurt"/>
  </r>
  <r>
    <s v="#1909"/>
    <d v="2026-08-04T14:03:29"/>
    <d v="2026-08-04T14:03:29"/>
    <s v="Suzanne Robertson"/>
    <x v="0"/>
    <s v="suzanne.robertson435@gmail.com"/>
    <s v="Wireless Mouse"/>
    <s v="Electronics"/>
    <s v="ELC-MSE-WL"/>
    <n v="2"/>
    <n v="11.99"/>
    <s v="BFCM25"/>
    <n v="6"/>
    <n v="7.99"/>
    <n v="25.97"/>
    <s v="Credit Card"/>
    <x v="0"/>
    <s v="fulfilled"/>
    <s v="Australia"/>
    <m/>
    <s v="Not Required"/>
    <s v="South Monica"/>
  </r>
  <r>
    <s v="#1910"/>
    <d v="2026-08-04T14:04:50"/>
    <d v="2026-08-04T14:04:50"/>
    <s v="Maria Leon"/>
    <x v="0"/>
    <s v="maria.leon163@outlook.com"/>
    <s v="Yoga Mat - Extra Thick"/>
    <s v="Sports &amp; Outdoors"/>
    <s v="SP-YGM-EX"/>
    <n v="3"/>
    <n v="22.99"/>
    <m/>
    <n v="0"/>
    <n v="5.99"/>
    <s v="$74.96"/>
    <s v="PayPal"/>
    <x v="1"/>
    <s v="cancelled"/>
    <s v="Canada"/>
    <m/>
    <s v="Not Required"/>
    <s v="Olsenshire"/>
  </r>
  <r>
    <s v="#1911"/>
    <d v="2026-08-04T00:00:00"/>
    <s v="Aug 04, 2026"/>
    <s v="Daniel Contreras"/>
    <x v="1"/>
    <m/>
    <s v="Portable Power Bank 10000mAh"/>
    <s v="Electronics"/>
    <s v="ELC-PWB-10K"/>
    <n v="1"/>
    <n v="21.99"/>
    <m/>
    <n v="0"/>
    <n v="4.99"/>
    <n v="26.98"/>
    <s v="PayPal"/>
    <x v="1"/>
    <s v="cancelled"/>
    <s v="Australia"/>
    <m/>
    <s v="Not Required"/>
    <s v="Veronicafort"/>
  </r>
  <r>
    <s v="#1912"/>
    <d v="2026-08-04T14:08:23"/>
    <d v="2026-08-04T14:08:23"/>
    <s v="Sergio Turner"/>
    <x v="0"/>
    <s v="sergio.turner744@outlook.com"/>
    <s v="Adjustable Dumbbell Set"/>
    <s v="Sports &amp; Outdoors"/>
    <s v="SP-DMB-ADJ"/>
    <n v="1"/>
    <n v="89.99"/>
    <m/>
    <n v="0"/>
    <n v="0"/>
    <s v="$89.99"/>
    <s v="Apple Pay"/>
    <x v="2"/>
    <s v="cancelled"/>
    <s v="Germany"/>
    <m/>
    <s v="Not Required"/>
    <s v="Seanshire"/>
  </r>
  <r>
    <s v="#1913"/>
    <d v="2026-08-04T14:01:07"/>
    <d v="2026-08-04T14:01:07"/>
    <s v="THOMAS ROJAS"/>
    <x v="0"/>
    <s v="thomas.rojas667@icloud.com"/>
    <s v="Wireless Bluetooth Earbuds"/>
    <s v="Electronics"/>
    <s v="ELC-WBE-01"/>
    <n v="3"/>
    <n v="29.99"/>
    <m/>
    <n v="0"/>
    <n v="0"/>
    <n v="89.97"/>
    <s v="Credit Card"/>
    <x v="1"/>
    <s v="fulfilled"/>
    <s v="United States"/>
    <s v="WA"/>
    <s v="Valid"/>
    <s v="North Johnview"/>
  </r>
  <r>
    <s v="#1914"/>
    <d v="2026-08-04T13:53:56"/>
    <d v="2026-08-04T13:53:56"/>
    <s v="Emily Hicks"/>
    <x v="0"/>
    <s v="emily.hicks49@outlook.com"/>
    <s v="Polarized Sunglasses"/>
    <s v="Accessories"/>
    <s v="ACC-SUN-01"/>
    <n v="2"/>
    <n v="16.989999999999998"/>
    <s v="WELCOME10"/>
    <n v="3.4"/>
    <n v="4.99"/>
    <n v="35.57"/>
    <s v="Apple Pay"/>
    <x v="2"/>
    <s v="fulfilled"/>
    <s v="Germany"/>
    <m/>
    <s v="Not Required"/>
    <s v="Lake Ashleyton"/>
  </r>
  <r>
    <s v="#1915"/>
    <d v="2026-08-04T13:54:08"/>
    <d v="2026-08-04T13:54:08"/>
    <s v="George Green"/>
    <x v="0"/>
    <s v="george.green694@icloud.com"/>
    <s v="Polarized Sunglasses"/>
    <s v="Accessories"/>
    <s v="ACC-SUN-01"/>
    <n v="2"/>
    <n v="16.989999999999998"/>
    <s v="WELCOME10"/>
    <n v="3.4"/>
    <n v="4.99"/>
    <n v="35.57"/>
    <s v="Credit Card"/>
    <x v="2"/>
    <s v="cancelled"/>
    <s v="United States"/>
    <s v="North Carolina"/>
    <s v="Valid"/>
    <s v="West Kathryn"/>
  </r>
  <r>
    <s v="#1916"/>
    <d v="2026-08-04T14:03:18"/>
    <d v="2026-08-04T14:03:18"/>
    <s v="Sandra Potter"/>
    <x v="0"/>
    <s v="sandra.potter166@yahoo.com"/>
    <s v="USB-C Fast Charger 20W"/>
    <s v="Electronics"/>
    <s v="ELC-CHG-20"/>
    <n v="1"/>
    <n v="15.49"/>
    <m/>
    <n v="0"/>
    <n v="7.99"/>
    <n v="23.48"/>
    <s v="Apple Pay"/>
    <x v="1"/>
    <s v="fulfilled"/>
    <s v="United States"/>
    <s v="Illinois"/>
    <s v="Valid"/>
    <s v="Greenbury"/>
  </r>
  <r>
    <s v="#1917"/>
    <d v="2026-08-04T13:55:05"/>
    <d v="2026-08-04T13:55:05"/>
    <s v="TINA SINGH"/>
    <x v="0"/>
    <s v="tina.singh98@icloud.com"/>
    <s v="Ceramic Coffee Mug Set (4pc)"/>
    <s v="Home &amp; Kitchen"/>
    <s v="HK-MUG-4PK"/>
    <n v="1"/>
    <n v="18.989999999999998"/>
    <s v="SAVE20"/>
    <n v="3.8"/>
    <n v="5.99"/>
    <s v="$21.18"/>
    <s v="PayPal"/>
    <x v="1"/>
    <s v="pending"/>
    <s v="United States"/>
    <s v="Ohio"/>
    <s v="Valid"/>
    <s v="East Brianna"/>
  </r>
  <r>
    <s v="#1918"/>
    <d v="2026-08-04T14:02:45"/>
    <d v="2026-08-04T14:02:45"/>
    <s v="TINA SINGH"/>
    <x v="0"/>
    <s v="tina.singh98@icloud.com"/>
    <s v="Scented Soy Candle - Vanilla"/>
    <s v="Home &amp; Kitchen"/>
    <s v="HK-CND-VAN"/>
    <n v="1"/>
    <n v="9.99"/>
    <s v="SAVE20"/>
    <n v="2"/>
    <n v="4.99"/>
    <n v="12.98"/>
    <s v="Shopify Payments"/>
    <x v="0"/>
    <s v="fulfilled"/>
    <s v="United States"/>
    <s v="Arizona"/>
    <s v="Valid"/>
    <s v="West Stephenton"/>
  </r>
  <r>
    <s v="#1919"/>
    <d v="2026-08-04T13:59:08"/>
    <d v="2026-08-04T13:59:08"/>
    <s v="  Catherine Mcgee"/>
    <x v="0"/>
    <s v="catherine.mcgee63@icloud.com"/>
    <s v="Facial Cleanser 200ml"/>
    <s v="Beauty"/>
    <s v="BTY-CLN-200"/>
    <n v="2"/>
    <n v="13.49"/>
    <m/>
    <n v="0"/>
    <n v="4.99"/>
    <n v="31.97"/>
    <s v="Credit Card"/>
    <x v="3"/>
    <s v="fulfilled"/>
    <s v="Australia"/>
    <m/>
    <s v="Not Required"/>
    <s v="Knightmouth"/>
  </r>
  <r>
    <s v="#1920"/>
    <d v="2026-08-04T00:00:00"/>
    <s v="Aug 04, 2026"/>
    <s v="Heather Rivers"/>
    <x v="0"/>
    <s v="heather.rivers451@icloud.com"/>
    <s v="Vitamin C Serum 30ml"/>
    <s v="Beauty"/>
    <s v="BTY-SRM-30"/>
    <n v="3"/>
    <n v="24.99"/>
    <s v="SAVE20"/>
    <n v="14.99"/>
    <n v="5.99"/>
    <n v="65.97"/>
    <s v="Credit Card"/>
    <x v="1"/>
    <s v="refunded"/>
    <s v="United States"/>
    <s v="TX"/>
    <s v="Valid"/>
    <s v="Juanland"/>
  </r>
  <r>
    <s v="#1921"/>
    <d v="2026-08-04T13:53:45"/>
    <d v="2026-08-04T13:53:45"/>
    <s v="Lauren Howard"/>
    <x v="0"/>
    <s v="lauren.howard163@icloud.com"/>
    <s v="Yoga Mat - Extra Thick"/>
    <s v="Sports &amp; Outdoors"/>
    <s v="SP-YGM-EX"/>
    <n v="1"/>
    <n v="22.99"/>
    <m/>
    <n v="0"/>
    <n v="5.99"/>
    <n v="28.98"/>
    <s v="PayPal"/>
    <x v="3"/>
    <s v="pending"/>
    <s v="United States"/>
    <s v="New York"/>
    <s v="Valid"/>
    <s v="New Philip"/>
  </r>
  <r>
    <s v="#1922"/>
    <d v="2026-08-04T14:03:00"/>
    <d v="2026-08-04T14:03:00"/>
    <s v="Brian Ruiz"/>
    <x v="0"/>
    <s v="brian.ruiz246@gmail.com"/>
    <s v="Resistance Bands Set"/>
    <s v="Sports &amp; Outdoors"/>
    <s v="SP-RBS-SET"/>
    <n v="1"/>
    <n v="13.99"/>
    <s v="SAVE20"/>
    <n v="2.8"/>
    <n v="5.99"/>
    <s v="$17.18"/>
    <s v="Google Pay"/>
    <x v="0"/>
    <s v="pending"/>
    <s v="Germany"/>
    <m/>
    <s v="Not Required"/>
    <s v="Lake Jodi"/>
  </r>
  <r>
    <s v="#1923"/>
    <d v="2026-04-08T00:00:00"/>
    <s v="08/04/2026"/>
    <s v="Zachary Hanson"/>
    <x v="0"/>
    <s v="zachary.hanson261@outlook.com"/>
    <s v="Adjustable Dumbbell Set"/>
    <s v="Sports &amp; Outdoors"/>
    <s v="SP-DMB-ADJ"/>
    <n v="1"/>
    <n v="89.99"/>
    <m/>
    <n v="0"/>
    <n v="0"/>
    <n v="89.99"/>
    <s v="Apple Pay"/>
    <x v="0"/>
    <s v="cancelled"/>
    <s v="United States"/>
    <s v="North Carolina"/>
    <s v="Valid"/>
    <s v="Sherryfurt"/>
  </r>
  <r>
    <s v="#1924"/>
    <d v="2026-08-04T14:06:53"/>
    <d v="2026-08-04T14:06:53"/>
    <s v="Timothy Hodges"/>
    <x v="0"/>
    <s v="timothy.hodges687@icloud.com"/>
    <s v="Scented Soy Candle - Vanilla"/>
    <s v="Home &amp; Kitchen"/>
    <s v="HK-CND-VAN"/>
    <n v="1"/>
    <n v="9.99"/>
    <s v="WELCOME10"/>
    <n v="1"/>
    <n v="5.99"/>
    <n v="14.98"/>
    <s v="Google Pay"/>
    <x v="0"/>
    <s v="refunded"/>
    <s v="Australia"/>
    <m/>
    <s v="Not Required"/>
    <s v="South Stephanie"/>
  </r>
  <r>
    <s v="#1925"/>
    <d v="2026-08-04T14:00:06"/>
    <d v="2026-08-04T14:00:06"/>
    <s v="Barbara Brown"/>
    <x v="0"/>
    <s v="barbara.brown26@gmail.com"/>
    <s v="Throw Blanket - Fleece"/>
    <s v="Home &amp; Kitchen"/>
    <s v="HK-BLK-FLC"/>
    <n v="1"/>
    <n v="17.989999999999998"/>
    <s v="SAVE20"/>
    <s v="$3.60"/>
    <n v="4.99"/>
    <s v="$19.38"/>
    <s v="PayPal"/>
    <x v="1"/>
    <s v="fulfilled"/>
    <s v="United States"/>
    <s v="North Carolina"/>
    <s v="Valid"/>
    <s v="Rodriguezhaven"/>
  </r>
  <r>
    <s v="#1926"/>
    <d v="2026-08-04T14:08:09"/>
    <d v="2026-08-04T14:08:09"/>
    <s v="Christopher Martin"/>
    <x v="0"/>
    <s v="christopher.martin10@gmail.com"/>
    <s v="Stainless Steel Water Bottle"/>
    <s v="Home &amp; Kitchen"/>
    <s v="HK-BTL-750"/>
    <n v="1"/>
    <n v="12.99"/>
    <m/>
    <n v="0"/>
    <n v="7.99"/>
    <n v="20.98"/>
    <s v="Apple Pay"/>
    <x v="0"/>
    <s v="pending"/>
    <s v="United States"/>
    <s v="Ohio"/>
    <s v="Valid"/>
    <s v="New John"/>
  </r>
  <r>
    <s v="#1927"/>
    <d v="2026-08-04T14:05:50"/>
    <d v="2026-08-04T14:05:50"/>
    <s v="Alan Davis"/>
    <x v="0"/>
    <s v="alan.davis483@icloud.com"/>
    <s v="Portable Power Bank 10000mAh"/>
    <s v="Electronics"/>
    <s v="ELC-PWB-10K"/>
    <n v="2"/>
    <n v="21.99"/>
    <s v="SAVE20"/>
    <n v="8.8000000000000007"/>
    <n v="5.99"/>
    <n v="41.17"/>
    <s v="Shopify Payments"/>
    <x v="3"/>
    <s v="pending"/>
    <s v="Canada"/>
    <m/>
    <s v="Not Required"/>
    <s v="Erinburgh"/>
  </r>
  <r>
    <s v="#1928"/>
    <d v="2026-08-04T13:58:02"/>
    <d v="2026-08-04T13:58:02"/>
    <s v="Justin Smith"/>
    <x v="0"/>
    <s v="justin.smith204@yahoo.com"/>
    <s v="Vitamin C Serum 30ml"/>
    <s v="Beauty"/>
    <s v="BTY-SRM-30"/>
    <n v="1"/>
    <n v="24.99"/>
    <m/>
    <n v="0"/>
    <n v="7.99"/>
    <n v="32.979999999999997"/>
    <s v="Google Pay"/>
    <x v="2"/>
    <s v="cancelled"/>
    <s v="United Kingdom"/>
    <m/>
    <s v="Not Required"/>
    <s v="North Jeremyside"/>
  </r>
  <r>
    <s v="#1929"/>
    <d v="2026-08-04T14:01:33"/>
    <d v="2026-08-04T14:01:33"/>
    <s v="Erika Maxwell"/>
    <x v="0"/>
    <s v="erika.maxwell281@gmail.com"/>
    <s v="Slim Fit Denim Jeans"/>
    <s v="Apparel"/>
    <s v="JNS-BLU-32"/>
    <n v="2"/>
    <n v="39.99"/>
    <m/>
    <n v="0"/>
    <n v="0"/>
    <n v="79.98"/>
    <s v="Credit Card"/>
    <x v="0"/>
    <s v="fulfilled"/>
    <s v="United States"/>
    <s v="Georgia"/>
    <s v="Valid"/>
    <s v="East Kelly"/>
  </r>
  <r>
    <s v="#1930"/>
    <d v="2026-04-08T00:00:00"/>
    <s v="08/04/2026"/>
    <s v="Vincent Rosales"/>
    <x v="0"/>
    <s v="vincent.rosales30@icloud.com"/>
    <s v="Classic Cotton T-Shirt"/>
    <s v="Apparel"/>
    <s v="TSH-BLK-M"/>
    <n v="1"/>
    <n v="14.99"/>
    <s v="VIP15"/>
    <n v="2.25"/>
    <n v="5.99"/>
    <n v="18.73"/>
    <s v="PayPal"/>
    <x v="3"/>
    <s v="fulfilled"/>
    <s v="United States"/>
    <s v="Florida"/>
    <s v="Valid"/>
    <s v="South Cheyenne"/>
  </r>
  <r>
    <s v="#1931"/>
    <d v="2026-08-04T14:08:10"/>
    <d v="2026-08-04T14:08:10"/>
    <s v="JANET MARTINEZ"/>
    <x v="0"/>
    <s v="janet.martinez20@yahoo.com"/>
    <s v="Kids Building Blocks Set"/>
    <s v="Toys"/>
    <s v="TOY-BLK-SET"/>
    <n v="1"/>
    <n v="27.99"/>
    <s v="BFCM25"/>
    <n v="7"/>
    <n v="4.99"/>
    <n v="25.98"/>
    <s v="Credit Card"/>
    <x v="1"/>
    <s v="pending"/>
    <s v="United States"/>
    <s v="Texas"/>
    <s v="Valid"/>
    <s v="North Paul"/>
  </r>
  <r>
    <s v="#1932"/>
    <d v="2026-08-04T13:56:42"/>
    <d v="2026-08-04T13:56:42"/>
    <s v="JAIME VARGAS"/>
    <x v="0"/>
    <s v="jaime.vargas795@outlook.com"/>
    <s v="Classic Cotton T-Shirt"/>
    <s v="Apparel"/>
    <s v="TSH-BLK-M"/>
    <n v="1"/>
    <n v="14.99"/>
    <s v="FREESHIP"/>
    <n v="0"/>
    <n v="0"/>
    <n v="14.99"/>
    <s v="PayPal"/>
    <x v="0"/>
    <s v="fulfilled"/>
    <s v="United Kingdom"/>
    <m/>
    <s v="Not Required"/>
    <s v="Port Douglas"/>
  </r>
  <r>
    <s v="#1933"/>
    <d v="2026-08-04T13:55:58"/>
    <d v="2026-08-04T13:55:58"/>
    <s v="Amanda Harris"/>
    <x v="0"/>
    <s v="amanda.harris197@gmail.com"/>
    <s v="Classic Cotton T-Shirt"/>
    <s v="Apparel"/>
    <s v="TSH-BLK-M"/>
    <n v="2"/>
    <n v="14.99"/>
    <s v="VIP15"/>
    <n v="4.5"/>
    <n v="5.99"/>
    <n v="31.47"/>
    <s v="Apple Pay"/>
    <x v="2"/>
    <s v="cancelled"/>
    <s v="United States"/>
    <s v="Arizona"/>
    <s v="Valid"/>
    <s v="Lake Wandaport"/>
  </r>
  <r>
    <s v="#1934"/>
    <d v="2026-08-04T14:01:46"/>
    <d v="2026-08-04T14:01:46"/>
    <s v="Tina Crane"/>
    <x v="0"/>
    <s v="tina.crane554@gmail.com"/>
    <s v="Kids Building Blocks Set"/>
    <s v="Toys"/>
    <s v="TOY-BLK-SET"/>
    <n v="1"/>
    <n v="27.99"/>
    <m/>
    <n v="0"/>
    <n v="7.99"/>
    <n v="35.979999999999997"/>
    <s v="Credit Card"/>
    <x v="2"/>
    <s v="fulfilled"/>
    <s v="United Kingdom"/>
    <m/>
    <s v="Not Required"/>
    <s v="North Kristen"/>
  </r>
  <r>
    <s v="#1935"/>
    <d v="2026-08-04T13:58:55"/>
    <d v="2026-08-04T13:58:55"/>
    <s v="John Dunlap"/>
    <x v="0"/>
    <s v="john.dunlap479@outlook.com"/>
    <s v="Wireless Mouse"/>
    <s v="Electronics"/>
    <s v="ELC-MSE-WL"/>
    <n v="3"/>
    <n v="11.99"/>
    <m/>
    <n v="0"/>
    <n v="5.99"/>
    <n v="41.96"/>
    <s v="Apple Pay"/>
    <x v="0"/>
    <s v="fulfilled"/>
    <s v="Australia"/>
    <m/>
    <s v="Not Required"/>
    <s v="Lake Sean"/>
  </r>
  <r>
    <s v="#1936"/>
    <d v="2026-08-04T14:07:12"/>
    <d v="2026-08-04T14:07:12"/>
    <s v="Michael Hays"/>
    <x v="0"/>
    <s v="michael.hays590@gmail.com"/>
    <s v="Running Shoes - Men's"/>
    <s v="Footwear"/>
    <s v="FTW-RUN-M"/>
    <n v="1"/>
    <n v="54.99"/>
    <s v="WELCOME10"/>
    <s v="$5.50"/>
    <n v="7.99"/>
    <n v="57.48"/>
    <s v="Shopify Payments"/>
    <x v="2"/>
    <s v="pending"/>
    <s v="United States"/>
    <s v="Georgia"/>
    <s v="Valid"/>
    <s v="West Derekborough"/>
  </r>
  <r>
    <s v="#1937"/>
    <d v="2026-08-04T14:07:56"/>
    <d v="2026-08-04T14:07:56"/>
    <s v="Richard Zavala"/>
    <x v="0"/>
    <s v="richard.zavala602@gmail.com"/>
    <s v="USB-C Fast Charger 20W"/>
    <s v="Electronics"/>
    <s v="ELC-CHG-20"/>
    <n v="1"/>
    <n v="15.49"/>
    <s v="VIP15"/>
    <n v="2.3199999999999998"/>
    <n v="7.99"/>
    <n v="21.16"/>
    <s v="PayPal"/>
    <x v="3"/>
    <s v="fulfilled"/>
    <s v="Canada"/>
    <m/>
    <s v="Not Required"/>
    <s v="Lake Blake"/>
  </r>
  <r>
    <s v="#1938"/>
    <d v="2026-08-04T14:02:34"/>
    <d v="2026-08-04T14:02:34"/>
    <s v="Amanda Harris"/>
    <x v="0"/>
    <s v="amanda.harris197@gmail.com"/>
    <s v="Adjustable Dumbbell Set"/>
    <s v="Sports &amp; Outdoors"/>
    <s v="SP-DMB-ADJ"/>
    <n v="1"/>
    <n v="89.99"/>
    <s v="BFCM25"/>
    <n v="22.5"/>
    <n v="0"/>
    <n v="67.489999999999995"/>
    <s v="Shopify Payments"/>
    <x v="0"/>
    <s v="fulfilled"/>
    <s v="United States"/>
    <s v="TX"/>
    <s v="Valid"/>
    <s v="Rangelborough"/>
  </r>
  <r>
    <s v="#1939"/>
    <d v="2026-08-04T13:56:51"/>
    <d v="2026-08-04T13:56:51"/>
    <s v="Kayla Cruz"/>
    <x v="0"/>
    <s v="kayla.cruz151@outlook.com"/>
    <s v="Throw Blanket - Fleece"/>
    <s v="Home &amp; Kitchen"/>
    <s v="HK-BLK-FLC"/>
    <n v="1"/>
    <n v="17.989999999999998"/>
    <s v="VIP15"/>
    <n v="2.7"/>
    <n v="5.99"/>
    <n v="21.28"/>
    <s v="PayPal"/>
    <x v="0"/>
    <s v="fulfilled"/>
    <s v="Pakistan"/>
    <m/>
    <s v="Not Required"/>
    <s v="Lake Joshua"/>
  </r>
  <r>
    <s v="#1940"/>
    <d v="2026-08-04T14:05:10"/>
    <d v="2026-08-04T14:05:10"/>
    <s v="Andrew Wheeler"/>
    <x v="0"/>
    <s v="andrew.wheeler379@yahoo.com"/>
    <s v="Leather Wallet - Brown"/>
    <s v="Accessories"/>
    <s v="ACC-WLT-BRN"/>
    <n v="1"/>
    <n v="19.989999999999998"/>
    <s v="VIP15"/>
    <n v="3"/>
    <n v="7.99"/>
    <n v="24.98"/>
    <s v="Google Pay"/>
    <x v="2"/>
    <s v="pending"/>
    <s v="United States"/>
    <s v="New York"/>
    <s v="Valid"/>
    <s v="New Chad"/>
  </r>
  <r>
    <s v="#1941"/>
    <d v="2026-08-04T14:00:49"/>
    <d v="2026-08-04T14:00:49"/>
    <s v="Timothy Sanchez"/>
    <x v="0"/>
    <s v="timothy.sanchez728@gmail.com"/>
    <s v="Wireless Mouse"/>
    <s v="Electronics"/>
    <s v="ELC-MSE-WL"/>
    <n v="2"/>
    <n v="11.99"/>
    <s v="VIP15"/>
    <n v="3.6"/>
    <n v="7.99"/>
    <n v="28.37"/>
    <s v="Google Pay"/>
    <x v="2"/>
    <s v="fulfilled"/>
    <s v="United States"/>
    <s v="Florida"/>
    <s v="Valid"/>
    <s v="West Corystad"/>
  </r>
  <r>
    <s v="#1942"/>
    <d v="2026-08-04T14:05:10"/>
    <d v="2026-08-04T14:05:10"/>
    <s v="Jamie Brown"/>
    <x v="0"/>
    <s v="jamie.brown582@icloud.com"/>
    <s v="Wireless Mouse"/>
    <s v="Electronics"/>
    <s v="ELC-MSE-WL"/>
    <n v="1"/>
    <n v="11.99"/>
    <m/>
    <n v="0"/>
    <n v="5.99"/>
    <n v="17.98"/>
    <s v="Credit Card"/>
    <x v="1"/>
    <s v="fulfilled"/>
    <s v="United States"/>
    <s v="Illinois"/>
    <s v="Valid"/>
    <s v="Port Lorishire"/>
  </r>
  <r>
    <s v="#1943"/>
    <d v="2026-08-04T13:55:41"/>
    <d v="2026-08-04T13:55:41"/>
    <s v="William Young"/>
    <x v="0"/>
    <s v="william.young346@outlook.com"/>
    <s v="Leather Wallet - Brown"/>
    <s v="Accessories"/>
    <s v="ACC-WLT-BRN"/>
    <n v="1"/>
    <n v="19.989999999999998"/>
    <s v="FREESHIP"/>
    <n v="0"/>
    <n v="0"/>
    <s v="$19.99"/>
    <s v="Credit Card"/>
    <x v="2"/>
    <s v="pending"/>
    <s v="United States"/>
    <s v="New York"/>
    <s v="Valid"/>
    <s v="Martinezmouth"/>
  </r>
  <r>
    <s v="#1944"/>
    <d v="2026-08-04T00:00:00"/>
    <s v="Aug 04, 2026"/>
    <s v="Cruz, Matthew"/>
    <x v="0"/>
    <s v="matthew.cruz992@gmail.com"/>
    <s v="Running Shoes - Women's"/>
    <s v="Footwear"/>
    <s v="FTW-RUN-W"/>
    <n v="1"/>
    <n v="54.99"/>
    <s v="BFCM25"/>
    <n v="13.75"/>
    <n v="5.99"/>
    <n v="47.23"/>
    <s v="PayPal"/>
    <x v="2"/>
    <s v="fulfilled"/>
    <s v="United States"/>
    <s v="New York"/>
    <s v="Valid"/>
    <s v="West Crystal"/>
  </r>
  <r>
    <s v="#1945"/>
    <d v="2026-08-04T13:59:31"/>
    <d v="2026-08-04T13:59:31"/>
    <s v="Singh, Tina"/>
    <x v="1"/>
    <m/>
    <s v="Backpack - 25L"/>
    <s v="Accessories"/>
    <s v="ACC-BPK-25L"/>
    <n v="2"/>
    <s v="$32.99"/>
    <m/>
    <s v="$0.00"/>
    <n v="4.99"/>
    <n v="70.97"/>
    <s v="Credit Card"/>
    <x v="2"/>
    <s v="fulfilled"/>
    <s v="United States"/>
    <s v="Texas"/>
    <s v="Valid"/>
    <s v="Erichaven"/>
  </r>
  <r>
    <s v="#1946"/>
    <d v="2026-08-04T13:54:09"/>
    <d v="2026-08-04T13:54:09"/>
    <s v="Richard Zavala"/>
    <x v="0"/>
    <s v="richard.zavala602@gmail.com"/>
    <s v="Backpack   25L"/>
    <s v="Accessories"/>
    <s v="ACC-BPK-25L"/>
    <n v="1"/>
    <n v="32.99"/>
    <m/>
    <n v="0"/>
    <n v="4.99"/>
    <n v="37.979999999999997"/>
    <s v="Google Pay"/>
    <x v="0"/>
    <s v="fulfilled"/>
    <s v="Canada"/>
    <m/>
    <s v="Not Required"/>
    <s v="North Angelamouth"/>
  </r>
  <r>
    <s v="#1947"/>
    <d v="2026-08-04T13:57:02"/>
    <d v="2026-08-04T13:57:02"/>
    <s v="Natalie Dixon"/>
    <x v="0"/>
    <s v="natalie.dixon388@outlook.com"/>
    <s v="Classic Cotton T-Shirt"/>
    <s v="Apparel"/>
    <s v="TSH-BLK-L"/>
    <n v="2"/>
    <n v="14.99"/>
    <m/>
    <n v="0"/>
    <n v="7.99"/>
    <n v="37.97"/>
    <s v="Apple Pay"/>
    <x v="3"/>
    <s v="refunded"/>
    <s v="United States"/>
    <s v="Washington"/>
    <s v="Valid"/>
    <s v="North Raymond"/>
  </r>
  <r>
    <s v="#1949"/>
    <d v="2026-08-04T13:57:04"/>
    <d v="2026-08-04T13:57:04"/>
    <s v="Rachel Jimenez"/>
    <x v="0"/>
    <s v="rachel.jimenez326@outlook.com"/>
    <s v="Throw Blanket - Fleece"/>
    <s v="Home &amp; Kitchen"/>
    <s v="HK-BLK-FLC"/>
    <n v="1"/>
    <n v="17.989999999999998"/>
    <m/>
    <n v="0"/>
    <n v="4.99"/>
    <n v="22.98"/>
    <s v="Credit Card"/>
    <x v="3"/>
    <s v="fulfilled"/>
    <s v="United States"/>
    <s v="Arizona"/>
    <s v="Valid"/>
    <s v="Cindyland"/>
  </r>
  <r>
    <s v="#1950"/>
    <d v="2026-08-04T13:56:02"/>
    <d v="2026-08-04T13:56:02"/>
    <s v="Seth Price"/>
    <x v="0"/>
    <s v="seth.price179@gmail.com"/>
    <s v="Wireless Mouse"/>
    <s v="Electronics"/>
    <s v="ELC-MSE-WL"/>
    <n v="1"/>
    <n v="11.99"/>
    <m/>
    <n v="0"/>
    <n v="4.99"/>
    <n v="16.98"/>
    <s v="Apple Pay"/>
    <x v="2"/>
    <s v="pending"/>
    <s v="United States"/>
    <s v="Florida"/>
    <s v="Valid"/>
    <s v="Lake Brianbury"/>
  </r>
  <r>
    <s v="#1951"/>
    <d v="2026-08-04T14:01:30"/>
    <d v="2026-08-04T14:01:30"/>
    <s v="Amanda Harris"/>
    <x v="0"/>
    <s v="amanda.harris197@gmail.com"/>
    <s v="Vitamin C Serum 30ml"/>
    <s v="Beauty"/>
    <s v="BTY-SRM-30"/>
    <n v="1"/>
    <n v="24.99"/>
    <s v="FREESHIP"/>
    <n v="0"/>
    <n v="0"/>
    <n v="24.99"/>
    <s v="Credit Card"/>
    <x v="0"/>
    <s v="fulfilled"/>
    <s v="United States"/>
    <s v="Georgia"/>
    <s v="Valid"/>
    <s v="Port Kathrynstad"/>
  </r>
  <r>
    <s v="#1952"/>
    <d v="2026-08-04T14:03:45"/>
    <d v="2026-08-04T14:03:45"/>
    <s v="Debbie Joseph"/>
    <x v="0"/>
    <s v="debbie.joseph531@outlook.com"/>
    <s v="Wireless Mouse"/>
    <s v="Electronics"/>
    <s v="ELC-MSE-WL"/>
    <n v="1"/>
    <n v="11.99"/>
    <s v="WELCOME10"/>
    <n v="1.2"/>
    <n v="7.99"/>
    <n v="18.78"/>
    <s v="Credit Card"/>
    <x v="0"/>
    <s v="fulfilled"/>
    <s v="United States"/>
    <s v="Illinois"/>
    <s v="Valid"/>
    <s v="Riosside"/>
  </r>
  <r>
    <s v="#1953"/>
    <d v="2026-08-04T13:53:56"/>
    <d v="2026-08-04T13:53:56"/>
    <s v="Susan Stark"/>
    <x v="0"/>
    <s v="susan.stark500@yahoo.com"/>
    <s v="Stainless Steel Water Bottle"/>
    <s v="Home &amp; Kitchen"/>
    <s v="HK-BTL-750"/>
    <n v="1"/>
    <n v="12.99"/>
    <s v="FREESHIP"/>
    <n v="0"/>
    <n v="0"/>
    <n v="12.99"/>
    <s v="Shopify Payments"/>
    <x v="0"/>
    <s v="fulfilled"/>
    <s v="Australia"/>
    <m/>
    <s v="Not Required"/>
    <s v="North Danfort"/>
  </r>
  <r>
    <s v="#1954"/>
    <d v="2026-08-04T13:58:44"/>
    <d v="2026-08-04T13:58:44"/>
    <s v="Debra Thomas"/>
    <x v="0"/>
    <s v="debra.thomas509@icloud.com"/>
    <s v="Running Shoes - Men's"/>
    <s v="Footwear"/>
    <s v="FTW-RUN-M"/>
    <n v="1"/>
    <n v="54.99"/>
    <s v="WELCOME10"/>
    <n v="5.5"/>
    <n v="4.99"/>
    <n v="54.48"/>
    <s v="PayPal"/>
    <x v="2"/>
    <s v="fulfilled"/>
    <s v="United States"/>
    <s v="Florida"/>
    <s v="Valid"/>
    <s v="East Jonathanmouth"/>
  </r>
  <r>
    <s v="#1955"/>
    <d v="2026-08-04T13:58:49"/>
    <d v="2026-08-04T13:58:49"/>
    <s v="Jose Ingram"/>
    <x v="0"/>
    <s v="jose.ingram37@gmail.com"/>
    <s v="Running Shoes - Men's"/>
    <s v="Footwear"/>
    <s v="FTW-RUN-M"/>
    <n v="1"/>
    <n v="54.99"/>
    <m/>
    <n v="0"/>
    <n v="5.99"/>
    <n v="60.98"/>
    <s v="Credit Card"/>
    <x v="0"/>
    <s v="fulfilled"/>
    <s v="United States"/>
    <s v="Georgia"/>
    <s v="Valid"/>
    <s v="Tiffanyfort"/>
  </r>
  <r>
    <s v="#1956"/>
    <d v="2026-08-04T13:56:36"/>
    <d v="2026-08-04T13:56:36"/>
    <s v="Jacob Gibbs"/>
    <x v="0"/>
    <s v="jacob.gibbs527@gmail.com"/>
    <s v="Resistance Bands Set"/>
    <s v="Sports &amp; Outdoors"/>
    <s v="SP-RBS-SET"/>
    <n v="3"/>
    <n v="13.99"/>
    <m/>
    <n v="0"/>
    <n v="7.99"/>
    <n v="49.96"/>
    <s v="Credit Card"/>
    <x v="0"/>
    <s v="fulfilled"/>
    <s v="United States"/>
    <s v="Washington"/>
    <s v="Valid"/>
    <s v="Danielstad"/>
  </r>
  <r>
    <s v="#1957"/>
    <d v="2026-08-04T13:54:21"/>
    <d v="2026-08-04T13:54:21"/>
    <s v="Jacqueline Wiley"/>
    <x v="0"/>
    <s v="jacqueline.wiley718@icloud.com"/>
    <s v="Adjustable Dumbbell Set"/>
    <s v="Sports &amp; Outdoors"/>
    <s v="SP-DMB-ADJ"/>
    <n v="1"/>
    <n v="89.99"/>
    <m/>
    <n v="0"/>
    <n v="0"/>
    <n v="89.99"/>
    <s v="Shopify Payments"/>
    <x v="1"/>
    <s v="fulfilled"/>
    <s v="United States"/>
    <s v="WA"/>
    <s v="Valid"/>
    <s v="Dawnmouth"/>
  </r>
  <r>
    <s v="#1958"/>
    <d v="2026-08-04T13:54:41"/>
    <d v="2026-08-04T13:54:41"/>
    <s v="Angela Carr"/>
    <x v="0"/>
    <s v="angela.carr488@yahoo.com"/>
    <s v="Non-Stick Frying Pan 10in"/>
    <s v="Home &amp; Kitchen"/>
    <s v="HK-PAN-10"/>
    <n v="2"/>
    <n v="24.99"/>
    <s v="FREESHIP"/>
    <n v="0"/>
    <n v="0"/>
    <n v="49.98"/>
    <s v="Credit Card"/>
    <x v="1"/>
    <s v="fulfilled"/>
    <s v="United States"/>
    <s v="NC"/>
    <s v="Valid"/>
    <s v="Lake Erica"/>
  </r>
  <r>
    <s v="#1959"/>
    <d v="2026-04-08T00:00:00"/>
    <s v="08/04/2026"/>
    <s v="Kelly Wyatt"/>
    <x v="0"/>
    <s v="kelly.wyatt277@yahoo.com"/>
    <s v="Running Shoes - Men's"/>
    <s v="Footwear"/>
    <s v="FTW-RUN-M"/>
    <n v="2"/>
    <n v="54.99"/>
    <m/>
    <n v="0"/>
    <n v="0"/>
    <n v="109.98"/>
    <s v="Google Pay"/>
    <x v="0"/>
    <s v="fulfilled"/>
    <s v="Germany"/>
    <m/>
    <s v="Not Required"/>
    <s v="Reidbury"/>
  </r>
  <r>
    <s v="#1960"/>
    <d v="2026-08-04T14:06:49"/>
    <d v="2026-08-04T14:06:49"/>
    <s v="Natalie Dixon"/>
    <x v="0"/>
    <s v="natalie.dixon388@outlook.com"/>
    <s v="Adjustable Dumbbell Set"/>
    <s v="Sports &amp; Outdoors"/>
    <s v="SP-DMB-ADJ"/>
    <n v="2"/>
    <n v="89.99"/>
    <m/>
    <n v="0"/>
    <n v="0"/>
    <n v="179.98"/>
    <s v="Google Pay"/>
    <x v="2"/>
    <s v="fulfilled"/>
    <s v="United States"/>
    <s v="New York"/>
    <s v="Valid"/>
    <s v="Debramouth"/>
  </r>
  <r>
    <s v="#1961"/>
    <d v="2026-08-04T14:07:42"/>
    <d v="2026-08-04T14:07:42"/>
    <s v="John Dunlap"/>
    <x v="0"/>
    <s v="john.dunlap479@outlook.com"/>
    <s v="USB-C Fast Charger 20W"/>
    <s v="Electronics"/>
    <s v="ELC-CHG-20"/>
    <n v="1"/>
    <s v="$15.49"/>
    <s v="SAVE20"/>
    <n v="3.1"/>
    <n v="5.99"/>
    <n v="18.38"/>
    <s v="Credit Card"/>
    <x v="0"/>
    <s v="cancelled"/>
    <s v="Australia"/>
    <m/>
    <s v="Not Required"/>
    <s v="Brentport"/>
  </r>
  <r>
    <s v="#1962"/>
    <d v="2026-08-04T14:02:09"/>
    <d v="2026-08-04T14:02:09"/>
    <s v="Anthony Marshall"/>
    <x v="0"/>
    <s v="anthony.marshall823@yahoo.com"/>
    <s v="USB-C Fast Charger 20W"/>
    <s v="Electronics"/>
    <s v="ELC-CHG-20"/>
    <n v="1"/>
    <n v="15.49"/>
    <s v="BFCM25"/>
    <n v="3.87"/>
    <n v="5.99"/>
    <n v="17.61"/>
    <s v="PayPal"/>
    <x v="3"/>
    <s v="fulfilled"/>
    <s v="United States"/>
    <s v="Washington"/>
    <s v="Valid"/>
    <s v="Rangelborough"/>
  </r>
  <r>
    <s v="#1964"/>
    <d v="2026-08-04T14:03:49"/>
    <d v="2026-08-04T14:03:49"/>
    <s v="Julia Atkinson"/>
    <x v="0"/>
    <s v="julia.atkinson939@gmail.com"/>
    <s v="Non-Stick Frying Pan 10in"/>
    <s v="Home &amp; Kitchen"/>
    <s v="HK-PAN-10"/>
    <n v="1"/>
    <n v="24.99"/>
    <s v="WELCOME10"/>
    <n v="2.5"/>
    <n v="4.99"/>
    <n v="27.48"/>
    <s v="Credit Card"/>
    <x v="0"/>
    <s v="pending"/>
    <s v="Canada"/>
    <m/>
    <s v="Not Required"/>
    <s v="New Devin"/>
  </r>
  <r>
    <s v="#1965"/>
    <d v="2026-08-04T13:59:25"/>
    <d v="2026-08-04T13:59:25"/>
    <s v="Tasha Morales"/>
    <x v="0"/>
    <s v="tasha.morales378@outlook.com"/>
    <s v="Wireless Bluetooth Earbuds"/>
    <s v="Electronics"/>
    <s v="ELC-WBE-01"/>
    <n v="2"/>
    <n v="29.99"/>
    <m/>
    <n v="0"/>
    <n v="7.99"/>
    <n v="67.97"/>
    <s v="PayPal"/>
    <x v="0"/>
    <s v="refunded"/>
    <s v="United States"/>
    <s v="Illinois"/>
    <s v="Valid"/>
    <s v="Smithton"/>
  </r>
  <r>
    <s v="#1966"/>
    <d v="2026-08-04T14:00:47"/>
    <d v="2026-08-04T14:00:47"/>
    <s v="GERALD LI"/>
    <x v="1"/>
    <m/>
    <s v="Backpack   25L"/>
    <s v="Accessories"/>
    <s v="ACC-BPK-25L"/>
    <n v="1"/>
    <n v="32.99"/>
    <m/>
    <n v="0"/>
    <n v="4.99"/>
    <n v="37.979999999999997"/>
    <s v="Shopify Payments"/>
    <x v="0"/>
    <s v="fulfilled"/>
    <s v="United States"/>
    <s v="Texas"/>
    <s v="Valid"/>
    <s v="Aaronview"/>
  </r>
  <r>
    <s v="#1967"/>
    <d v="2026-08-04T13:59:25"/>
    <d v="2026-08-04T13:59:25"/>
    <s v="Lauren Howard"/>
    <x v="0"/>
    <s v="lauren.howard163@icloud.com"/>
    <s v="Vitamin C Serum 30ml"/>
    <s v="Beauty"/>
    <s v="BTY-SRM-30"/>
    <n v="2"/>
    <s v="$24.99"/>
    <s v="WELCOME10"/>
    <n v="5"/>
    <n v="4.99"/>
    <n v="49.97"/>
    <s v="Apple Pay"/>
    <x v="1"/>
    <s v="cancelled"/>
    <s v="United States"/>
    <s v="Georgia"/>
    <s v="Valid"/>
    <s v="Port Triciaburgh"/>
  </r>
  <r>
    <s v="#1968"/>
    <d v="2026-08-04T14:02:17"/>
    <d v="2026-08-04T14:02:17"/>
    <s v="Tyler Williams"/>
    <x v="0"/>
    <s v="tyler.williams938@outlook.com"/>
    <s v="Wireless Bluetooth Earbuds"/>
    <s v="Electronics"/>
    <s v="ELC-WBE-01"/>
    <n v="1"/>
    <n v="29.99"/>
    <s v="FREESHIP"/>
    <n v="0"/>
    <n v="0"/>
    <n v="29.99"/>
    <s v="Shopify Payments"/>
    <x v="1"/>
    <s v="fulfilled"/>
    <s v="Australia"/>
    <m/>
    <s v="Not Required"/>
    <s v="West Christyview"/>
  </r>
  <r>
    <s v="#1969"/>
    <d v="2026-08-04T14:06:03"/>
    <d v="2026-08-04T14:06:03"/>
    <s v="Morgan Johnson"/>
    <x v="0"/>
    <s v="morgan.johnson938@outlook.com"/>
    <s v="Scented Soy Candle - Vanilla"/>
    <s v="Home &amp; Kitchen"/>
    <s v="HK-CND-VAN"/>
    <n v="2"/>
    <n v="9.99"/>
    <s v="BFCM25"/>
    <n v="5"/>
    <n v="4.99"/>
    <n v="19.97"/>
    <s v="Google Pay"/>
    <x v="0"/>
    <s v="cancelled"/>
    <s v="Canada"/>
    <m/>
    <s v="Not Required"/>
    <s v="South Brad"/>
  </r>
  <r>
    <s v="#1970"/>
    <d v="2026-08-04T13:59:55"/>
    <d v="2026-08-04T13:59:55"/>
    <s v="George Gould"/>
    <x v="0"/>
    <s v="george.gould10@yahoo.com"/>
    <s v="Classic Cotton T-Shirt"/>
    <s v="Apparel"/>
    <s v="TSH-BLK-M"/>
    <n v="1"/>
    <n v="14.99"/>
    <m/>
    <n v="0"/>
    <n v="5.99"/>
    <n v="20.98"/>
    <s v="Shopify Payments"/>
    <x v="2"/>
    <s v="fulfilled"/>
    <s v="Canada"/>
    <m/>
    <s v="Not Required"/>
    <s v="Bradfordbury"/>
  </r>
  <r>
    <s v="#1971"/>
    <d v="2026-08-04T00:00:00"/>
    <s v="04-08-2026 13:57"/>
    <s v="Brady Garcia"/>
    <x v="0"/>
    <s v="brady.garcia57@yahoo.com"/>
    <s v="Resistance Bands Set"/>
    <s v="Sports &amp; Outdoors"/>
    <s v="SP-RBS-SET"/>
    <n v="1"/>
    <n v="13.99"/>
    <s v="SAVE20"/>
    <n v="2.8"/>
    <n v="7.99"/>
    <n v="19.18"/>
    <s v="Apple Pay"/>
    <x v="1"/>
    <s v="fulfilled"/>
    <s v="Australia"/>
    <m/>
    <s v="Not Required"/>
    <s v="Ryanhaven"/>
  </r>
  <r>
    <s v="#1972"/>
    <d v="2026-08-04T14:02:19"/>
    <d v="2026-08-04T14:02:19"/>
    <s v="Gerald Li"/>
    <x v="0"/>
    <s v="gerald.li856@icloud.com"/>
    <s v="Resistance Bands Set"/>
    <s v="Sports &amp; Outdoors"/>
    <s v="SP-RBS-SET"/>
    <n v="1"/>
    <n v="13.99"/>
    <s v="VIP15"/>
    <n v="2.1"/>
    <n v="4.99"/>
    <n v="16.88"/>
    <s v="Google Pay"/>
    <x v="0"/>
    <s v="fulfilled"/>
    <s v="United States"/>
    <s v="Ohio"/>
    <s v="Valid"/>
    <s v="Timothymouth"/>
  </r>
  <r>
    <s v="#1973"/>
    <d v="2026-08-04T13:55:40"/>
    <d v="2026-08-04T13:55:40"/>
    <s v="Austin Norris"/>
    <x v="0"/>
    <s v="austin.norris15@gmail.com"/>
    <s v="Yoga Mat - Extra Thick"/>
    <s v="Sports &amp; Outdoors"/>
    <s v="SP-YGM-EX"/>
    <n v="3"/>
    <n v="22.99"/>
    <s v="FREESHIP"/>
    <n v="0"/>
    <n v="0"/>
    <n v="68.97"/>
    <s v="PayPal"/>
    <x v="0"/>
    <s v="fulfilled"/>
    <s v="United States"/>
    <s v="WA"/>
    <s v="Valid"/>
    <s v="Jasonfurt"/>
  </r>
  <r>
    <s v="#1974"/>
    <d v="2026-08-04T13:54:51"/>
    <d v="2026-08-04T13:54:51"/>
    <s v="Stephanie Miller"/>
    <x v="0"/>
    <s v="stephanie.miller962@yahoo.com"/>
    <s v="Classic Cotton T-Shirt"/>
    <s v="Apparel"/>
    <s v="TSH-BLK-L"/>
    <n v="1"/>
    <n v="14.99"/>
    <s v="WELCOME10"/>
    <n v="1.5"/>
    <n v="5.99"/>
    <n v="19.48"/>
    <s v="Shopify Payments"/>
    <x v="0"/>
    <s v="fulfilled"/>
    <s v="United Kingdom"/>
    <m/>
    <s v="Not Required"/>
    <s v="Jeremychester"/>
  </r>
  <r>
    <s v="#1975"/>
    <d v="2026-08-04T14:00:39"/>
    <d v="2026-08-04T14:00:39"/>
    <s v="THOMAS ROJAS"/>
    <x v="0"/>
    <s v="thomas.rojas667@icloud.com"/>
    <s v="Facial Cleanser 200ml"/>
    <s v="Beauty"/>
    <s v="BTY-CLN-200"/>
    <n v="1"/>
    <n v="13.49"/>
    <s v="BFCM25"/>
    <n v="3.37"/>
    <n v="7.99"/>
    <n v="18.11"/>
    <s v="Apple Pay"/>
    <x v="0"/>
    <s v="refunded"/>
    <s v="United States"/>
    <s v="California"/>
    <s v="Valid"/>
    <s v="East Christinaview"/>
  </r>
  <r>
    <s v="#1976"/>
    <d v="2026-08-04T00:00:00"/>
    <s v="Aug 04, 2026"/>
    <s v="Christy Long"/>
    <x v="0"/>
    <s v="christy.long561@yahoo.com"/>
    <s v="Running Shoes - Men's"/>
    <s v="Footwear"/>
    <s v="FTW-RUN-M"/>
    <n v="3"/>
    <n v="54.99"/>
    <m/>
    <n v="0"/>
    <n v="0"/>
    <n v="164.97"/>
    <s v="Google Pay"/>
    <x v="0"/>
    <s v="fulfilled"/>
    <s v="United Kingdom"/>
    <m/>
    <s v="Not Required"/>
    <s v="Murphystad"/>
  </r>
  <r>
    <s v="#1977"/>
    <d v="2026-08-04T13:57:38"/>
    <d v="2026-08-04T13:57:38"/>
    <s v="Christopher Lopez"/>
    <x v="0"/>
    <s v="christopher.lopez666@gmail.com"/>
    <s v="Ceramic Coffee Mug Set (4pc)"/>
    <s v="Home &amp; Kitchen"/>
    <s v="HK-MUG-4PK"/>
    <n v="2"/>
    <n v="18.989999999999998"/>
    <s v="SAVE20"/>
    <s v="$7.60"/>
    <n v="4.99"/>
    <n v="35.369999999999997"/>
    <s v="Apple Pay"/>
    <x v="0"/>
    <s v="fulfilled"/>
    <s v="Pakistan"/>
    <m/>
    <s v="Not Required"/>
    <s v="West Tammy"/>
  </r>
  <r>
    <s v="#1978"/>
    <d v="2026-08-04T13:55:40"/>
    <d v="2026-08-04T13:55:40"/>
    <s v="Katelyn Johnson"/>
    <x v="0"/>
    <s v="katelyn.johnson502@outlook.com"/>
    <s v="Throw Blanket - Fleece"/>
    <s v="Home &amp; Kitchen"/>
    <s v="HK-BLK-FLC"/>
    <n v="2"/>
    <n v="17.989999999999998"/>
    <s v="SAVE20"/>
    <n v="7.2"/>
    <n v="4.99"/>
    <n v="33.770000000000003"/>
    <s v="PayPal"/>
    <x v="0"/>
    <s v="pending"/>
    <s v="United States"/>
    <s v="WA"/>
    <s v="Valid"/>
    <s v="Margarethaven"/>
  </r>
  <r>
    <s v="#1979"/>
    <d v="2026-08-04T14:02:33"/>
    <d v="2026-08-04T14:02:33"/>
    <s v="Elizabeth Carter"/>
    <x v="0"/>
    <s v="elizabeth.carter304@icloud.com"/>
    <s v="Facial Cleanser 200ml"/>
    <s v="Beauty"/>
    <s v="BTY-CLN-200"/>
    <n v="1"/>
    <n v="13.49"/>
    <s v="SAVE20"/>
    <n v="2.7"/>
    <n v="5.99"/>
    <s v="$16.78"/>
    <s v="Credit Card"/>
    <x v="2"/>
    <s v="fulfilled"/>
    <s v="Canada"/>
    <m/>
    <s v="Not Required"/>
    <s v="Karenville"/>
  </r>
  <r>
    <s v="#1980"/>
    <d v="2026-08-04T13:55:53"/>
    <d v="2026-08-04T13:55:53"/>
    <s v="Tammy Hawkins"/>
    <x v="0"/>
    <s v="tammy.hawkins461@outlook.com"/>
    <s v="Scented Soy Candle - Vanilla"/>
    <s v="Home &amp; Kitchen"/>
    <s v="HK-CND-VAN"/>
    <n v="1"/>
    <n v="9.99"/>
    <m/>
    <n v="0"/>
    <n v="5.99"/>
    <n v="15.98"/>
    <s v="PayPal"/>
    <x v="2"/>
    <s v="fulfilled"/>
    <s v="United States"/>
    <s v="Washington"/>
    <s v="Valid"/>
    <s v="Estradashire"/>
  </r>
  <r>
    <s v="#1981"/>
    <d v="2026-08-04T14:04:46"/>
    <d v="2026-08-04T14:04:46"/>
    <s v="Cody Murray"/>
    <x v="0"/>
    <s v="cody.murray456@gmail.com"/>
    <s v="Throw Blanket - Fleece"/>
    <s v="Home &amp; Kitchen"/>
    <s v="HK-BLK-FLC"/>
    <n v="1"/>
    <n v="17.989999999999998"/>
    <s v=" SAVE20 "/>
    <n v="3.6"/>
    <n v="5.99"/>
    <n v="20.38"/>
    <s v="Shopify Payments"/>
    <x v="0"/>
    <s v="refunded"/>
    <s v="United Kingdom"/>
    <m/>
    <s v="Not Required"/>
    <s v="Davidmouth"/>
  </r>
  <r>
    <s v="#1982"/>
    <d v="2026-08-04T13:58:09"/>
    <d v="2026-08-04T13:58:09"/>
    <s v="Amanda Rodriguez"/>
    <x v="0"/>
    <s v="amanda.rodriguez770@yahoo.com"/>
    <s v="Phone Case - Clear"/>
    <s v="Electronics"/>
    <s v="ELC-CSE-CLR"/>
    <n v="1"/>
    <n v="8.99"/>
    <s v="FREESHIP"/>
    <n v="0"/>
    <n v="0"/>
    <n v="8.99"/>
    <s v="Google Pay"/>
    <x v="3"/>
    <s v="fulfilled"/>
    <s v="United States"/>
    <s v="North Carolina"/>
    <s v="Valid"/>
    <s v="Ericmouth"/>
  </r>
  <r>
    <s v="#1983"/>
    <d v="2026-08-04T14:04:23"/>
    <d v="2026-08-04T14:04:23"/>
    <s v="Tracy Adams"/>
    <x v="1"/>
    <m/>
    <s v="Vitamin C Serum 30ml"/>
    <s v="Beauty"/>
    <s v="BTY-SRM-30"/>
    <n v="1"/>
    <n v="24.99"/>
    <s v="BFCM25"/>
    <n v="6.25"/>
    <n v="5.99"/>
    <n v="24.73"/>
    <s v="Shopify Payments"/>
    <x v="0"/>
    <s v="fulfilled"/>
    <s v="United States"/>
    <s v="Ohio"/>
    <s v="Valid"/>
    <s v="West Melissaport"/>
  </r>
  <r>
    <s v="#1984"/>
    <d v="2026-08-04T13:58:27"/>
    <d v="2026-08-04T13:58:27"/>
    <s v="Christy Phillips"/>
    <x v="0"/>
    <s v="christy.phillips291@gmail.com"/>
    <s v="Hooded Sweatshirt"/>
    <s v="Apparel"/>
    <s v="APR-HOD-GRY"/>
    <n v="4"/>
    <n v="34.99"/>
    <s v="SAVE20"/>
    <n v="27.99"/>
    <n v="0"/>
    <n v="111.97"/>
    <s v="Shopify Payments"/>
    <x v="3"/>
    <s v="fulfilled"/>
    <s v="Pakistan"/>
    <m/>
    <s v="Not Required"/>
    <s v="West Stephen"/>
  </r>
  <r>
    <s v="#1985"/>
    <d v="2026-08-04T14:07:22"/>
    <d v="2026-08-04T14:07:22"/>
    <s v="Taylor Davis"/>
    <x v="0"/>
    <s v="taylor.davis403@outlook.com"/>
    <s v="Resistance Bands Set"/>
    <s v="Sports &amp; Outdoors"/>
    <s v="SP-RBS-SET"/>
    <n v="1"/>
    <n v="13.99"/>
    <m/>
    <n v="0"/>
    <n v="7.99"/>
    <n v="21.98"/>
    <s v="Shopify Payments"/>
    <x v="0"/>
    <s v="fulfilled"/>
    <s v="United States"/>
    <s v="Georgia"/>
    <s v="Valid"/>
    <s v="Thompsontown"/>
  </r>
  <r>
    <s v="#1986"/>
    <d v="2026-04-08T00:00:00"/>
    <s v="08/04/2026"/>
    <s v="Tara Jackson"/>
    <x v="0"/>
    <s v="tara.jackson708@outlook.com"/>
    <s v="Facial Cleanser 200ml"/>
    <s v="Beauty"/>
    <s v="BTY-CLN-200"/>
    <n v="1"/>
    <n v="13.49"/>
    <s v="WELCOME10"/>
    <n v="1.35"/>
    <n v="7.99"/>
    <n v="20.13"/>
    <s v="Credit Card"/>
    <x v="1"/>
    <s v="fulfilled"/>
    <s v="Canada"/>
    <m/>
    <s v="Not Required"/>
    <s v="Darrenchester"/>
  </r>
  <r>
    <s v="#1987"/>
    <d v="2026-08-04T14:01:33"/>
    <d v="2026-08-04T14:01:33"/>
    <s v="Matthew Perez"/>
    <x v="0"/>
    <s v="matthew.perez875@gmail.com"/>
    <s v="Wireless Bluetooth Earbuds"/>
    <s v="Electronics"/>
    <s v="ELC-WBE-01"/>
    <n v="1"/>
    <n v="29.99"/>
    <s v="WELCOME10"/>
    <n v="3"/>
    <n v="7.99"/>
    <n v="34.979999999999997"/>
    <s v="Shopify Payments"/>
    <x v="0"/>
    <s v="fulfilled"/>
    <s v="Pakistan"/>
    <m/>
    <s v="Not Required"/>
    <s v="West Timothy"/>
  </r>
  <r>
    <s v="#1988"/>
    <d v="2026-08-04T13:57:41"/>
    <d v="2026-08-04T13:57:41"/>
    <s v="Allen Diaz"/>
    <x v="0"/>
    <s v="allen.diaz546@gmail.com"/>
    <s v="Slim Fit Denim Jeans"/>
    <s v="Apparel"/>
    <s v="JNS-BLU-32"/>
    <n v="1"/>
    <n v="39.99"/>
    <m/>
    <n v="0"/>
    <n v="7.99"/>
    <n v="47.98"/>
    <s v="Credit Card"/>
    <x v="3"/>
    <s v="fulfilled"/>
    <s v="United States"/>
    <s v="Texas"/>
    <s v="Valid"/>
    <s v="Aliciaville"/>
  </r>
  <r>
    <s v="#1989"/>
    <d v="2026-08-04T13:53:47"/>
    <d v="2026-08-04T13:53:47"/>
    <s v="Amanda Harris"/>
    <x v="0"/>
    <s v="amanda.harris197@gmail.com"/>
    <s v="Non-Stick Frying Pan 10in"/>
    <s v="Home &amp; Kitchen"/>
    <s v="HK-PAN-10"/>
    <n v="2"/>
    <n v="24.99"/>
    <s v="FREESHIP"/>
    <n v="0"/>
    <n v="0"/>
    <s v="$49.98"/>
    <s v="Google Pay"/>
    <x v="2"/>
    <s v="fulfilled"/>
    <s v="United States"/>
    <s v="New York"/>
    <s v="Valid"/>
    <s v="North James"/>
  </r>
  <r>
    <s v="#1990"/>
    <d v="2026-08-04T13:58:57"/>
    <d v="2026-08-04T13:58:57"/>
    <s v="Mary Garcia"/>
    <x v="0"/>
    <s v="mary.garcia899@icloud.com"/>
    <s v="Wireless Mouse"/>
    <s v="Electronics"/>
    <s v="ELC-MSE-WL"/>
    <n v="1"/>
    <s v="$11.99"/>
    <m/>
    <n v="0"/>
    <n v="7.99"/>
    <n v="19.98"/>
    <s v="Apple Pay"/>
    <x v="0"/>
    <s v="cancelled"/>
    <s v="Canada"/>
    <m/>
    <s v="Not Required"/>
    <s v="Shaffermouth"/>
  </r>
  <r>
    <s v="#1991"/>
    <d v="2026-08-04T00:00:00"/>
    <s v="04-08-2026 13:58"/>
    <s v="PAUL PRATT"/>
    <x v="0"/>
    <s v="paul.pratt856@outlook.com"/>
    <s v="Classic Cotton T-Shirt"/>
    <s v="Apparel"/>
    <s v="TSH-BLK-M"/>
    <n v="1"/>
    <n v="14.99"/>
    <s v="VIP15"/>
    <s v="$2.25"/>
    <n v="4.99"/>
    <n v="17.73"/>
    <s v="Apple Pay"/>
    <x v="1"/>
    <s v="refunded"/>
    <s v="United States"/>
    <s v="Texas"/>
    <s v="Valid"/>
    <s v="Millershire"/>
  </r>
  <r>
    <s v="#1992"/>
    <d v="2026-08-04T00:00:00"/>
    <s v="2026-08-04"/>
    <s v="Megan Holmes"/>
    <x v="0"/>
    <s v="megan.holmes105@yahoo.com"/>
    <s v="Wireless Mouse"/>
    <s v="Electronics"/>
    <s v="ELC-MSE-WL"/>
    <n v="2"/>
    <n v="11.99"/>
    <s v="WELCOME10"/>
    <n v="2.4"/>
    <n v="5.99"/>
    <n v="27.57"/>
    <s v="Shopify Payments"/>
    <x v="0"/>
    <s v="fulfilled"/>
    <s v="United States"/>
    <s v="North Carolina"/>
    <s v="Valid"/>
    <s v="Lake Brandon"/>
  </r>
  <r>
    <s v="#1993"/>
    <d v="2026-08-04T00:00:00"/>
    <s v="04-08-2026 13:54"/>
    <s v="Timothy Maldonado"/>
    <x v="0"/>
    <s v="timothy.maldonado551@gmail.com"/>
    <s v="Yoga Mat - Extra Thick"/>
    <s v="Sports &amp; Outdoors"/>
    <s v="SP-YGM-EX"/>
    <n v="3"/>
    <n v="22.99"/>
    <s v="BFCM25"/>
    <n v="17.239999999999998"/>
    <n v="4.99"/>
    <n v="56.72"/>
    <s v="Shopify Payments"/>
    <x v="0"/>
    <s v="fulfilled"/>
    <s v="United States"/>
    <s v="GA"/>
    <s v="Valid"/>
    <s v="Nelsonhaven"/>
  </r>
  <r>
    <s v="#1994"/>
    <d v="2026-08-04T14:02:01"/>
    <d v="2026-08-04T14:02:01"/>
    <s v="Jackson, Tara"/>
    <x v="0"/>
    <s v="tara.jackson708@outlook.com"/>
    <s v="Stainless Steel Water Bottle"/>
    <s v="Home &amp; Kitchen"/>
    <s v="HK-BTL-750"/>
    <n v="2"/>
    <n v="12.99"/>
    <m/>
    <n v="0"/>
    <n v="5.99"/>
    <n v="31.97"/>
    <s v="Credit Card"/>
    <x v="0"/>
    <s v="refunded"/>
    <s v="Canada"/>
    <m/>
    <s v="Not Required"/>
    <s v="New John"/>
  </r>
  <r>
    <s v="#1995"/>
    <d v="2026-08-04T14:03:56"/>
    <d v="2026-08-04T14:03:56"/>
    <s v="Lisa Flowers"/>
    <x v="0"/>
    <s v="lisa.flowers14@icloud.com"/>
    <s v="Wireless Mouse"/>
    <s v="Electronics"/>
    <s v="ELC-MSE-WL"/>
    <n v="2"/>
    <n v="11.99"/>
    <s v="WELCOME10"/>
    <n v="2.4"/>
    <n v="5.99"/>
    <n v="27.57"/>
    <s v="Credit Card"/>
    <x v="3"/>
    <s v="fulfilled"/>
    <s v="Germany"/>
    <m/>
    <s v="Not Required"/>
    <s v="Bryantview"/>
  </r>
  <r>
    <s v="#1996"/>
    <d v="2026-08-04T13:55:42"/>
    <d v="2026-08-04T13:55:42"/>
    <s v="Dawn Randolph"/>
    <x v="0"/>
    <s v="dawn.randolph179@icloud.com"/>
    <s v="Ceramic Coffee Mug Set (4pc)"/>
    <s v="Home &amp; Kitchen"/>
    <s v="HK-MUG-4PK"/>
    <n v="2"/>
    <n v="18.989999999999998"/>
    <m/>
    <n v="0"/>
    <n v="5.99"/>
    <n v="43.97"/>
    <s v="Credit Card"/>
    <x v="0"/>
    <s v="fulfilled"/>
    <s v="Pakistan"/>
    <m/>
    <s v="Not Required"/>
    <s v="Sancheztown"/>
  </r>
  <r>
    <s v="#1997"/>
    <d v="2026-08-04T00:00:00"/>
    <s v="04-08-2026 13:59"/>
    <s v="Devon Rodriguez"/>
    <x v="0"/>
    <s v="devon.rodriguez635@outlook.com"/>
    <s v="Backpack - 25L"/>
    <s v="Accessories"/>
    <s v="ACC-BPK-25L"/>
    <n v="1"/>
    <n v="32.99"/>
    <s v="SAVE20"/>
    <n v="6.6"/>
    <n v="7.99"/>
    <n v="34.380000000000003"/>
    <s v="PayPal"/>
    <x v="1"/>
    <s v="fulfilled"/>
    <s v="United States"/>
    <s v="California"/>
    <s v="Valid"/>
    <s v="Donnachester"/>
  </r>
  <r>
    <s v="#1998"/>
    <d v="2026-08-04T14:03:47"/>
    <d v="2026-08-04T14:03:47"/>
    <s v="Vincent Rosales"/>
    <x v="0"/>
    <s v="vincent.rosales30@icloud.com"/>
    <s v="Yoga Mat - Extra Thick"/>
    <s v="Sports &amp; Outdoors"/>
    <s v="SP-YGM-EX"/>
    <n v="1"/>
    <n v="22.99"/>
    <m/>
    <n v="0"/>
    <n v="5.99"/>
    <n v="28.98"/>
    <s v="Credit Card"/>
    <x v="0"/>
    <s v="cancelled"/>
    <s v="United States"/>
    <s v="TX"/>
    <s v="Valid"/>
    <s v="North Cynthiahaven"/>
  </r>
  <r>
    <s v="#1999"/>
    <d v="2026-08-04T13:55:09"/>
    <d v="2026-08-04T13:55:09"/>
    <s v="Stacey Johnson"/>
    <x v="0"/>
    <s v="stacey.johnson95@gmail.com"/>
    <s v="Ceramic Coffee Mug Set (4pc)"/>
    <s v="Home &amp; Kitchen"/>
    <s v="HK-MUG-4PK"/>
    <n v="1"/>
    <s v="$18.99"/>
    <m/>
    <n v="0"/>
    <n v="7.99"/>
    <n v="26.98"/>
    <s v="Shopify Payments"/>
    <x v="0"/>
    <s v="fulfilled"/>
    <s v="Germany"/>
    <m/>
    <s v="Not Required"/>
    <s v="Barrettbury"/>
  </r>
  <r>
    <s v="#2000"/>
    <d v="2026-08-04T14:08:01"/>
    <d v="2026-08-04T14:08:01"/>
    <s v="Denise Phillips"/>
    <x v="0"/>
    <s v="denise.phillips810@gmail.com"/>
    <s v="Polarized Sunglasses"/>
    <s v="Accessories"/>
    <s v="ACC-SUN-01"/>
    <n v="1"/>
    <n v="16.989999999999998"/>
    <s v="FREESHIP"/>
    <n v="0"/>
    <n v="0"/>
    <n v="16.989999999999998"/>
    <s v="Apple Pay"/>
    <x v="3"/>
    <s v="fulfilled"/>
    <s v="United States"/>
    <s v="Florida"/>
    <s v="Valid"/>
    <s v="Kimberlytown"/>
  </r>
  <r>
    <s v="#2001"/>
    <d v="2026-08-04T14:05:06"/>
    <d v="2026-08-04T14:05:06"/>
    <s v="Glenn Smith"/>
    <x v="0"/>
    <s v="glenn.smith305@gmail.com"/>
    <s v="Classic Cotton T-Shirt"/>
    <s v="Apparel"/>
    <s v="TSH-BLK-M"/>
    <n v="1"/>
    <n v="14.99"/>
    <m/>
    <n v="0"/>
    <n v="7.99"/>
    <n v="22.98"/>
    <s v="PayPal"/>
    <x v="0"/>
    <s v="pending"/>
    <s v="Canada"/>
    <m/>
    <s v="Not Required"/>
    <s v="South Amymouth"/>
  </r>
  <r>
    <s v="#2002"/>
    <d v="2026-08-04T14:02:27"/>
    <d v="2026-08-04T14:02:27"/>
    <s v="Richard Weber"/>
    <x v="0"/>
    <s v="richard.weber156@yahoo.com"/>
    <s v="Wireless Bluetooth Earbuds"/>
    <s v="Electronics"/>
    <s v="ELC-WBE-01"/>
    <n v="1"/>
    <n v="29.99"/>
    <s v="VIP15"/>
    <n v="4.5"/>
    <n v="5.99"/>
    <n v="31.48"/>
    <s v="Credit Card"/>
    <x v="2"/>
    <s v="fulfilled"/>
    <s v="United States"/>
    <s v="Florida"/>
    <s v="Valid"/>
    <s v="Port Lance"/>
  </r>
  <r>
    <s v="#2003"/>
    <d v="2026-08-04T14:02:36"/>
    <d v="2026-08-04T14:02:36"/>
    <s v="Brittney Thomas"/>
    <x v="0"/>
    <s v="brittney.thomas484@gmail.com"/>
    <s v="Backpack - 25L"/>
    <s v="Accessories"/>
    <s v="ACC-BPK-25L"/>
    <n v="1"/>
    <n v="32.99"/>
    <m/>
    <s v="$0.00"/>
    <n v="5.99"/>
    <n v="38.979999999999997"/>
    <s v="Google Pay"/>
    <x v="3"/>
    <s v="pending"/>
    <s v="United States"/>
    <s v="Washington"/>
    <s v="Valid"/>
    <s v="Boltonberg"/>
  </r>
  <r>
    <s v="#2004"/>
    <d v="2026-08-04T00:00:00"/>
    <s v="04-08-2026 14:05"/>
    <s v="Jose Ingram"/>
    <x v="0"/>
    <s v="jose.ingram37@gmail.com"/>
    <s v="Throw Blanket - Fleece"/>
    <s v="Home &amp; Kitchen"/>
    <s v="HK-BLK-FLC"/>
    <n v="1"/>
    <n v="17.989999999999998"/>
    <s v="SAVE20"/>
    <n v="3.6"/>
    <n v="7.99"/>
    <n v="22.38"/>
    <s v="PayPal"/>
    <x v="0"/>
    <s v="fulfilled"/>
    <s v="United States"/>
    <s v="Ohio"/>
    <s v="Valid"/>
    <s v="Bennetttown"/>
  </r>
  <r>
    <s v="#2005"/>
    <d v="2026-08-04T00:00:00"/>
    <s v="2026-08-04"/>
    <s v="Brian Johnson"/>
    <x v="0"/>
    <s v="brian.johnson756@yahoo.com"/>
    <s v="Vitamin C Serum 30ml"/>
    <s v="Beauty"/>
    <s v="BTY-SRM-30"/>
    <n v="1"/>
    <n v="24.99"/>
    <s v="VIP15"/>
    <n v="3.75"/>
    <n v="7.99"/>
    <n v="29.23"/>
    <s v="Apple Pay"/>
    <x v="0"/>
    <s v="cancelled"/>
    <s v="Australia"/>
    <m/>
    <s v="Not Required"/>
    <s v="Russellshire"/>
  </r>
  <r>
    <s v="#2006"/>
    <d v="2026-04-08T00:00:00"/>
    <s v="08/04/2026"/>
    <s v="Hannah Lee"/>
    <x v="0"/>
    <s v="hannah.lee589@icloud.com"/>
    <s v="Backpack - 25L"/>
    <s v="Accessories"/>
    <s v="ACC-BPK-25L"/>
    <n v="1"/>
    <n v="32.99"/>
    <m/>
    <n v="0"/>
    <n v="5.99"/>
    <s v="$38.98"/>
    <s v="Credit Card"/>
    <x v="0"/>
    <s v="fulfilled"/>
    <s v="United Kingdom"/>
    <m/>
    <s v="Not Required"/>
    <s v="Coleport"/>
  </r>
  <r>
    <s v="#2007"/>
    <d v="2026-08-04T14:00:24"/>
    <d v="2026-08-04T14:00:24"/>
    <s v="David Torres"/>
    <x v="1"/>
    <m/>
    <s v="Classic Cotton T-Shirt"/>
    <s v="Apparel"/>
    <s v="TSH-BLK-L"/>
    <n v="1"/>
    <n v="14.99"/>
    <s v="FREESHIP"/>
    <n v="0"/>
    <n v="0"/>
    <n v="14.99"/>
    <s v="Shopify Payments"/>
    <x v="0"/>
    <s v="pending"/>
    <s v="United States"/>
    <s v="New York"/>
    <s v="Valid"/>
    <s v="Dennisfort"/>
  </r>
  <r>
    <s v="#2009"/>
    <d v="2026-08-04T14:02:36"/>
    <d v="2026-08-04T14:02:36"/>
    <s v="Shawn Alexander"/>
    <x v="0"/>
    <s v="shawn.alexander522@outlook.com"/>
    <s v="Throw Blanket - Fleece"/>
    <s v="Home &amp; Kitchen"/>
    <s v="HK-BLK-FLC"/>
    <n v="1"/>
    <n v="17.989999999999998"/>
    <m/>
    <n v="0"/>
    <n v="5.99"/>
    <n v="23.98"/>
    <s v="Shopify Payments"/>
    <x v="3"/>
    <s v="cancelled"/>
    <s v="United States"/>
    <s v="WA"/>
    <s v="Valid"/>
    <s v="Rodgersland"/>
  </r>
  <r>
    <s v="#2010"/>
    <d v="2026-08-04T13:55:32"/>
    <d v="2026-08-04T13:55:32"/>
    <s v="John Hoffman"/>
    <x v="0"/>
    <s v="john.hoffman175@gmail.com"/>
    <s v="Kids Building Blocks Set"/>
    <s v="Toys"/>
    <s v="TOY-BLK-SET"/>
    <n v="1"/>
    <n v="27.99"/>
    <s v="WELCOME10"/>
    <s v="$2.80"/>
    <n v="7.99"/>
    <n v="33.18"/>
    <s v="PayPal"/>
    <x v="0"/>
    <s v="pending"/>
    <s v="United States"/>
    <s v="NC"/>
    <s v="Valid"/>
    <s v="East Alicia"/>
  </r>
  <r>
    <s v="#2011"/>
    <d v="2026-08-04T13:56:26"/>
    <d v="2026-08-04T13:56:26"/>
    <s v="Angela Carr"/>
    <x v="0"/>
    <s v="angela.carr488@yahoo.com"/>
    <s v="Wireless Mouse"/>
    <s v="Electronics"/>
    <s v="ELC-MSE-WL"/>
    <n v="1"/>
    <n v="11.99"/>
    <s v="WELCOME10"/>
    <n v="1.2"/>
    <n v="5.99"/>
    <n v="16.78"/>
    <s v="Google Pay"/>
    <x v="0"/>
    <s v="refunded"/>
    <s v="United States"/>
    <s v="Texas"/>
    <s v="Valid"/>
    <s v="North Kimberly"/>
  </r>
  <r>
    <s v="#2012"/>
    <d v="2026-08-04T14:06:16"/>
    <d v="2026-08-04T14:06:16"/>
    <s v="Jordan Wilkins"/>
    <x v="0"/>
    <s v="jordan.wilkins318@outlook.com"/>
    <s v="Scented Soy Candle - Vanilla"/>
    <s v="Home &amp; Kitchen"/>
    <s v="HK-CND-VAN"/>
    <n v="1"/>
    <n v="9.99"/>
    <m/>
    <s v="$0.00"/>
    <n v="5.99"/>
    <n v="15.98"/>
    <s v="Apple Pay"/>
    <x v="0"/>
    <s v="cancelled"/>
    <s v="Pakistan"/>
    <m/>
    <s v="Not Required"/>
    <s v="Michaeltown"/>
  </r>
  <r>
    <s v="#2013"/>
    <d v="2026-08-04T13:55:33"/>
    <d v="2026-08-04T13:55:33"/>
    <s v="Karen Bautista"/>
    <x v="0"/>
    <s v="karen.bautista779@icloud.com"/>
    <s v="Ceramic Coffee Mug Set (4pc)"/>
    <s v="Home &amp; Kitchen"/>
    <s v="HK-MUG-4PK"/>
    <n v="2"/>
    <n v="18.989999999999998"/>
    <m/>
    <n v="0"/>
    <n v="4.99"/>
    <n v="42.97"/>
    <s v="Apple Pay"/>
    <x v="0"/>
    <s v="fulfilled"/>
    <s v="United States"/>
    <s v="Washington"/>
    <s v="Valid"/>
    <s v="Kellyport"/>
  </r>
  <r>
    <s v="#2014"/>
    <d v="2026-08-04T13:59:49"/>
    <d v="2026-08-04T13:59:49"/>
    <s v="Juan Martin"/>
    <x v="0"/>
    <s v="juan.martin929@gmail.com"/>
    <s v="USB-C Fast Charger 20W"/>
    <s v="Electronics"/>
    <s v="ELC-CHG-20"/>
    <n v="1"/>
    <n v="15.49"/>
    <s v="SAVE20"/>
    <n v="3.1"/>
    <n v="5.99"/>
    <n v="18.38"/>
    <s v="Google Pay"/>
    <x v="3"/>
    <s v="pending"/>
    <s v="United States"/>
    <s v="TX"/>
    <s v="Valid"/>
    <s v="Brownmouth"/>
  </r>
  <r>
    <s v="#2015"/>
    <d v="2026-08-04T13:55:43"/>
    <d v="2026-08-04T13:55:43"/>
    <s v="Sean Frank"/>
    <x v="0"/>
    <s v="sean.frank587@icloud.com"/>
    <s v="USB-C Fast Charger 20W"/>
    <s v="Electronics"/>
    <s v="ELC-CHG-20"/>
    <n v="1"/>
    <n v="15.49"/>
    <s v="FREESHIP"/>
    <n v="0"/>
    <n v="0"/>
    <n v="15.49"/>
    <s v="Google Pay"/>
    <x v="1"/>
    <s v="refunded"/>
    <s v="Australia"/>
    <m/>
    <s v="Not Required"/>
    <s v="Davisbury"/>
  </r>
  <r>
    <s v="#2016"/>
    <d v="2026-04-08T00:00:00"/>
    <s v="08/04/2026"/>
    <s v="Arthur Kelley"/>
    <x v="0"/>
    <s v="arthur.kelley558@gmail.com"/>
    <s v="Wireless Mouse"/>
    <s v="Electronics"/>
    <s v="ELC-MSE-WL"/>
    <n v="2"/>
    <n v="11.99"/>
    <s v="WELCOME10"/>
    <n v="2.4"/>
    <n v="5.99"/>
    <n v="27.57"/>
    <s v="Apple Pay"/>
    <x v="3"/>
    <s v="fulfilled"/>
    <s v="Australia"/>
    <m/>
    <s v="Not Required"/>
    <s v="Port Ryanmouth"/>
  </r>
  <r>
    <s v="#2017"/>
    <d v="2026-08-04T00:00:00"/>
    <s v="2026-08-04"/>
    <s v="Karen Bautista"/>
    <x v="0"/>
    <s v="karen.bautista779@icloud.com"/>
    <s v="USB-C Fast Charger 20W"/>
    <s v="Electronics"/>
    <s v="ELC-CHG-20"/>
    <n v="1"/>
    <n v="15.49"/>
    <s v="SAVE20"/>
    <n v="3.1"/>
    <n v="7.99"/>
    <n v="20.38"/>
    <s v="Google Pay"/>
    <x v="2"/>
    <s v="cancelled"/>
    <s v="United States"/>
    <s v="Washington"/>
    <s v="Valid"/>
    <s v="North Edwardside"/>
  </r>
  <r>
    <s v="#2018"/>
    <d v="2026-08-04T13:56:50"/>
    <d v="2026-08-04T13:56:50"/>
    <s v="Maria Leon"/>
    <x v="0"/>
    <s v="maria.leon163@outlook.com"/>
    <s v="Polarized Sunglasses"/>
    <s v="Accessories"/>
    <s v="ACC-SUN-01"/>
    <n v="1"/>
    <n v="16.989999999999998"/>
    <s v="FREESHIP"/>
    <n v="0"/>
    <n v="0"/>
    <s v="$16.99"/>
    <s v="Shopify Payments"/>
    <x v="1"/>
    <s v="pending"/>
    <s v="Canada"/>
    <m/>
    <s v="Not Required"/>
    <s v="East Dawn"/>
  </r>
  <r>
    <s v="#2019"/>
    <d v="2026-08-04T14:08:26"/>
    <d v="2026-08-04T14:08:26"/>
    <s v="Heather Davis"/>
    <x v="0"/>
    <s v="heather.davis117@icloud.com"/>
    <s v="Adjustable Dumbbell Set"/>
    <s v="Sports &amp; Outdoors"/>
    <s v="SP-DMB-ADJ"/>
    <n v="2"/>
    <n v="89.99"/>
    <m/>
    <n v="0"/>
    <n v="0"/>
    <n v="179.98"/>
    <s v="Credit Card"/>
    <x v="1"/>
    <s v="refunded"/>
    <s v="Germany"/>
    <m/>
    <s v="Not Required"/>
    <s v="Angelafort"/>
  </r>
  <r>
    <s v="#2020"/>
    <d v="2026-08-04T13:56:55"/>
    <d v="2026-08-04T13:56:55"/>
    <s v="Tyler Williams"/>
    <x v="0"/>
    <s v="tyler.williams938@outlook.com"/>
    <s v="Running Shoes - Women's"/>
    <s v="Footwear"/>
    <s v="FTW-RUN-W"/>
    <n v="2"/>
    <n v="54.99"/>
    <m/>
    <s v="$0.00"/>
    <n v="0"/>
    <n v="109.98"/>
    <s v="Apple Pay"/>
    <x v="0"/>
    <s v="fulfilled"/>
    <s v="Australia"/>
    <m/>
    <s v="Not Required"/>
    <s v="Lake Caitlynbury"/>
  </r>
  <r>
    <s v="#2021"/>
    <d v="2026-08-04T13:54:52"/>
    <d v="2026-08-04T13:54:52"/>
    <s v="JOHN CARSON"/>
    <x v="0"/>
    <s v="john.carson203@yahoo.com"/>
    <s v="Adjustable Dumbbell Set"/>
    <s v="Sports &amp; Outdoors"/>
    <s v="SP-DMB-ADJ"/>
    <n v="1"/>
    <n v="89.99"/>
    <m/>
    <n v="0"/>
    <n v="0"/>
    <n v="89.99"/>
    <s v="PayPal"/>
    <x v="0"/>
    <s v="cancelled"/>
    <s v="United States"/>
    <s v="Texas"/>
    <s v="Valid"/>
    <s v="Delgadoside"/>
  </r>
  <r>
    <s v="#2022"/>
    <d v="2026-08-04T13:54:12"/>
    <d v="2026-08-04T13:54:12"/>
    <s v="Allison Byrd"/>
    <x v="0"/>
    <s v="allison.byrd266@yahoo.com"/>
    <s v="Wireless Bluetooth Earbuds"/>
    <s v="Electronics"/>
    <s v="ELC-WBE-01"/>
    <n v="2"/>
    <n v="29.99"/>
    <m/>
    <n v="0"/>
    <n v="7.99"/>
    <n v="67.97"/>
    <s v="PayPal"/>
    <x v="0"/>
    <s v="fulfilled"/>
    <s v="United States"/>
    <s v="North Carolina"/>
    <s v="Valid"/>
    <s v="Lewisland"/>
  </r>
  <r>
    <s v="#2023"/>
    <d v="2026-08-04T00:00:00"/>
    <s v="2026-08-04"/>
    <s v="Anthony Krueger"/>
    <x v="0"/>
    <s v="anthony.krueger812@yahoo.com"/>
    <s v="Phone Case - Clear"/>
    <s v="Electronics"/>
    <s v="ELC-CSE-CLR"/>
    <n v="1"/>
    <s v="$8.99"/>
    <s v="BFCM25"/>
    <n v="2.25"/>
    <n v="5.99"/>
    <n v="12.73"/>
    <s v="Credit Card"/>
    <x v="3"/>
    <s v="fulfilled"/>
    <s v="Pakistan"/>
    <m/>
    <s v="Not Required"/>
    <s v="Wardview"/>
  </r>
  <r>
    <s v="#2024"/>
    <d v="2026-04-08T00:00:00"/>
    <s v="08/04/2026"/>
    <s v="Karen Jones"/>
    <x v="0"/>
    <s v="karen.jones287@icloud.com"/>
    <s v="Wireless Bluetooth Earbuds"/>
    <s v="Electronics"/>
    <s v="ELC-WBE-01"/>
    <n v="1"/>
    <n v="29.99"/>
    <s v="SAVE20"/>
    <n v="6"/>
    <n v="5.99"/>
    <n v="29.98"/>
    <s v="Google Pay"/>
    <x v="0"/>
    <s v="refunded"/>
    <s v="Australia"/>
    <m/>
    <s v="Not Required"/>
    <s v="Robertside"/>
  </r>
  <r>
    <s v="#2025"/>
    <d v="2026-08-04T13:58:05"/>
    <d v="2026-08-04T13:58:05"/>
    <s v="Kenneth Coleman"/>
    <x v="0"/>
    <s v="kenneth.coleman447@icloud.com"/>
    <s v="Portable Power Bank 10000mAh"/>
    <s v="Electronics"/>
    <s v="ELC-PWB-10K"/>
    <n v="1"/>
    <n v="21.99"/>
    <s v="WELCOME10"/>
    <s v="$2.20"/>
    <n v="7.99"/>
    <n v="27.78"/>
    <s v="Google Pay"/>
    <x v="2"/>
    <s v="fulfilled"/>
    <s v="United States"/>
    <s v="California"/>
    <s v="Valid"/>
    <s v="East Stephenville"/>
  </r>
  <r>
    <s v="#2026"/>
    <d v="2026-08-04T13:56:59"/>
    <d v="2026-08-04T13:56:59"/>
    <m/>
    <x v="1"/>
    <m/>
    <s v="Portable Power Bank 10000mAh"/>
    <s v="Electronics"/>
    <s v="ELC-PWB-10K"/>
    <n v="1"/>
    <n v="21.99"/>
    <s v="FREESHIP"/>
    <n v="0"/>
    <n v="0"/>
    <n v="21.99"/>
    <s v="Apple Pay"/>
    <x v="1"/>
    <s v="fulfilled"/>
    <s v="United States"/>
    <s v="California"/>
    <s v="Valid"/>
    <s v="Lake Jennifer"/>
  </r>
  <r>
    <s v="#2027"/>
    <d v="2026-08-04T13:59:00"/>
    <d v="2026-08-04T13:59:00"/>
    <s v="sandra potter"/>
    <x v="0"/>
    <s v="sandra.potter166@yahoo.com"/>
    <s v="Scented Soy Candle - Vanilla"/>
    <s v="Home &amp; Kitchen"/>
    <s v="HK-CND-VAN"/>
    <n v="2"/>
    <n v="9.99"/>
    <m/>
    <n v="0"/>
    <n v="4.99"/>
    <s v="$24.97"/>
    <s v="Apple Pay"/>
    <x v="0"/>
    <s v="fulfilled"/>
    <s v="United States"/>
    <s v="California"/>
    <s v="Valid"/>
    <s v="Port Ginaburgh"/>
  </r>
  <r>
    <s v="#2028"/>
    <d v="2026-08-04T14:00:29"/>
    <d v="2026-08-04T14:00:29"/>
    <s v="Sarah Smith"/>
    <x v="0"/>
    <s v="sarah.smith33@icloud.com"/>
    <s v="Hooded Sweatshirt"/>
    <s v="Apparel"/>
    <s v="APR-HOD-GRY"/>
    <n v="1"/>
    <n v="34.99"/>
    <m/>
    <n v="0"/>
    <n v="4.99"/>
    <n v="39.979999999999997"/>
    <s v="Credit Card"/>
    <x v="0"/>
    <s v="fulfilled"/>
    <s v="Australia"/>
    <m/>
    <s v="Not Required"/>
    <s v="Mullinsbury"/>
  </r>
  <r>
    <s v="#2029"/>
    <d v="2026-08-04T13:57:39"/>
    <d v="2026-08-04T13:57:39"/>
    <s v="Brian Gardner"/>
    <x v="0"/>
    <s v="brian.gardner260@outlook.com"/>
    <s v="Classic Cotton T-Shirt"/>
    <s v="Apparel"/>
    <s v="TSH-BLK-M"/>
    <n v="1"/>
    <n v="14.99"/>
    <s v="BFCM25"/>
    <n v="3.75"/>
    <n v="4.99"/>
    <s v="$16.23"/>
    <s v="Shopify Payments"/>
    <x v="3"/>
    <s v="fulfilled"/>
    <s v="United States"/>
    <s v="North Carolina"/>
    <s v="Valid"/>
    <s v="Emilyton"/>
  </r>
  <r>
    <s v="#2030"/>
    <d v="2026-08-04T13:56:04"/>
    <d v="2026-08-04T13:56:04"/>
    <s v="Charles Franco"/>
    <x v="0"/>
    <s v="charles.franco761@outlook.com"/>
    <s v="Leather Wallet - Brown"/>
    <s v="Accessories"/>
    <s v="ACC-WLT-BRN"/>
    <n v="2"/>
    <n v="19.989999999999998"/>
    <m/>
    <n v="0"/>
    <n v="5.99"/>
    <n v="45.97"/>
    <s v="Google Pay"/>
    <x v="0"/>
    <s v="fulfilled"/>
    <s v="United States"/>
    <s v="Florida"/>
    <s v="Valid"/>
    <s v="Alexanderville"/>
  </r>
  <r>
    <s v="#2031"/>
    <d v="2026-08-04T13:54:14"/>
    <d v="2026-08-04T13:54:14"/>
    <s v="Julia Atkinson"/>
    <x v="0"/>
    <s v="julia.atkinson939@gmail.com"/>
    <s v="Portable Power Bank 10000mAh"/>
    <s v="Electronics"/>
    <s v="ELC-PWB-10K"/>
    <n v="2"/>
    <n v="21.99"/>
    <s v="VIP15"/>
    <n v="6.6"/>
    <n v="7.99"/>
    <n v="45.37"/>
    <s v="Shopify Payments"/>
    <x v="0"/>
    <s v="fulfilled"/>
    <s v="Canada"/>
    <m/>
    <s v="Not Required"/>
    <s v="Calderonton"/>
  </r>
  <r>
    <s v="#2032"/>
    <d v="2026-08-04T14:00:39"/>
    <d v="2026-08-04T14:00:39"/>
    <s v="David Mcknight"/>
    <x v="0"/>
    <s v="david.mcknight827@gmail.com"/>
    <s v="Resistance Bands Set"/>
    <s v="Sports &amp; Outdoors"/>
    <s v="SP-RBS-SET"/>
    <n v="1"/>
    <n v="13.99"/>
    <s v="SAVE20"/>
    <n v="2.8"/>
    <n v="4.99"/>
    <n v="16.18"/>
    <s v="Credit Card"/>
    <x v="0"/>
    <s v="fulfilled"/>
    <s v="United States"/>
    <s v="Washington"/>
    <s v="Valid"/>
    <s v="West Peter"/>
  </r>
  <r>
    <s v="#2033"/>
    <d v="2026-08-04T13:59:49"/>
    <d v="2026-08-04T13:59:49"/>
    <s v="David Hayden"/>
    <x v="0"/>
    <s v="david.hayden411@outlook.com"/>
    <s v="Throw Blanket - Fleece"/>
    <s v="Home &amp; Kitchen"/>
    <s v="HK-BLK-FLC"/>
    <n v="2"/>
    <n v="17.989999999999998"/>
    <m/>
    <n v="0"/>
    <n v="7.99"/>
    <n v="43.97"/>
    <s v="Credit Card"/>
    <x v="2"/>
    <s v="fulfilled"/>
    <s v="Australia"/>
    <m/>
    <s v="Not Required"/>
    <s v="Annetteborough"/>
  </r>
  <r>
    <s v="#2034"/>
    <d v="2026-08-04T14:07:13"/>
    <d v="2026-08-04T14:07:13"/>
    <s v="David Hayden"/>
    <x v="0"/>
    <s v="david.hayden411@outlook.com"/>
    <s v="Polarized Sunglasses"/>
    <s v="Accessories"/>
    <s v="ACC-SUN-01"/>
    <n v="1"/>
    <n v="16.989999999999998"/>
    <m/>
    <n v="0"/>
    <n v="5.99"/>
    <n v="22.98"/>
    <s v="Google Pay"/>
    <x v="0"/>
    <s v="cancelled"/>
    <s v="Australia"/>
    <m/>
    <s v="Not Required"/>
    <s v="Thomastown"/>
  </r>
  <r>
    <s v="#2035"/>
    <d v="2026-08-04T14:04:56"/>
    <d v="2026-08-04T14:04:56"/>
    <s v="Justin Mcguire"/>
    <x v="0"/>
    <s v="justin.mcguire224@icloud.com"/>
    <s v="Stainless Steel Water Bottle"/>
    <s v="Home &amp; Kitchen"/>
    <s v="HK-BTL-750"/>
    <n v="1"/>
    <n v="12.99"/>
    <m/>
    <n v="0"/>
    <n v="5.99"/>
    <n v="18.98"/>
    <s v="Credit Card"/>
    <x v="3"/>
    <s v="fulfilled"/>
    <s v="United States"/>
    <s v="California"/>
    <s v="Valid"/>
    <s v="South William"/>
  </r>
  <r>
    <s v="#2036"/>
    <d v="2026-08-04T13:57:36"/>
    <d v="2026-08-04T13:57:36"/>
    <s v="James Castro"/>
    <x v="0"/>
    <s v="james.castro923@icloud.com"/>
    <s v="Stainless Steel Water Bottle"/>
    <s v="Home &amp; Kitchen"/>
    <s v="HK-BTL-750"/>
    <n v="1"/>
    <n v="12.99"/>
    <s v="SAVE20"/>
    <n v="2.6"/>
    <n v="4.99"/>
    <s v="$15.38"/>
    <s v="Shopify Payments"/>
    <x v="3"/>
    <s v="pending"/>
    <s v="Pakistan"/>
    <m/>
    <s v="Not Required"/>
    <s v="Garrisonville"/>
  </r>
  <r>
    <s v="#2037"/>
    <d v="2026-08-04T14:00:48"/>
    <d v="2026-08-04T14:00:48"/>
    <s v="Jennifer Burke"/>
    <x v="0"/>
    <s v="jennifer.burke472@icloud.com"/>
    <s v="Hooded Sweatshirt"/>
    <s v="Apparel"/>
    <s v="APR-HOD-GRY"/>
    <n v="1"/>
    <n v="34.99"/>
    <s v="FREESHIP"/>
    <n v="0"/>
    <n v="0"/>
    <n v="34.99"/>
    <s v="Apple Pay"/>
    <x v="3"/>
    <s v="fulfilled"/>
    <s v="Pakistan"/>
    <m/>
    <s v="Not Required"/>
    <s v="Sotohaven"/>
  </r>
  <r>
    <s v="#2038"/>
    <d v="2026-08-04T13:59:23"/>
    <d v="2026-08-04T13:59:23"/>
    <s v="Heather Davis"/>
    <x v="0"/>
    <s v="heather.davis117@icloud.com"/>
    <s v="Non-Stick Frying Pan 10in"/>
    <s v="Home &amp; Kitchen"/>
    <s v="HK-PAN-10"/>
    <n v="3"/>
    <n v="24.99"/>
    <m/>
    <n v="0"/>
    <n v="7.99"/>
    <n v="82.96"/>
    <s v="Google Pay"/>
    <x v="3"/>
    <s v="fulfilled"/>
    <s v="Germany"/>
    <m/>
    <s v="Not Required"/>
    <s v="Donovanburgh"/>
  </r>
  <r>
    <s v="#2039"/>
    <d v="2026-08-04T14:02:56"/>
    <d v="2026-08-04T14:02:56"/>
    <s v="Amber Kennedy"/>
    <x v="0"/>
    <s v="amber.kennedy723@icloud.com"/>
    <s v="Scented Soy Candle - Vanilla"/>
    <s v="Home &amp; Kitchen"/>
    <s v="HK-CND-VAN"/>
    <n v="1"/>
    <n v="9.99"/>
    <m/>
    <n v="0"/>
    <n v="4.99"/>
    <n v="14.98"/>
    <s v="Credit Card"/>
    <x v="0"/>
    <s v="fulfilled"/>
    <s v="United States"/>
    <s v="Florida"/>
    <s v="Valid"/>
    <s v="Joshuamouth"/>
  </r>
  <r>
    <s v="#2041"/>
    <d v="2026-08-04T13:54:41"/>
    <d v="2026-08-04T13:54:41"/>
    <s v="Paul Pratt"/>
    <x v="0"/>
    <s v="paul.pratt856@outlook.com"/>
    <s v="Ceramic Coffee Mug Set (4pc)"/>
    <s v="Home &amp; Kitchen"/>
    <s v="HK-MUG-4PK"/>
    <n v="1"/>
    <n v="18.989999999999998"/>
    <s v="VIP15"/>
    <n v="2.85"/>
    <n v="7.99"/>
    <n v="24.13"/>
    <s v="Shopify Payments"/>
    <x v="0"/>
    <s v="cancelled"/>
    <s v="United States"/>
    <s v="Georgia"/>
    <s v="Valid"/>
    <s v="Port Alexishaven"/>
  </r>
  <r>
    <s v="#2042"/>
    <d v="2026-08-04T13:57:20"/>
    <d v="2026-08-04T13:57:20"/>
    <s v="Brian Ruiz"/>
    <x v="0"/>
    <s v="brian.ruiz246@gmail.com"/>
    <s v="Ceramic Coffee Mug Set (4pc)"/>
    <s v="Home &amp; Kitchen"/>
    <s v="HK-MUG-4PK"/>
    <n v="1"/>
    <n v="18.989999999999998"/>
    <m/>
    <s v="$0.00"/>
    <n v="7.99"/>
    <n v="26.98"/>
    <s v="Apple Pay"/>
    <x v="3"/>
    <s v="fulfilled"/>
    <s v="Germany"/>
    <m/>
    <s v="Not Required"/>
    <s v="North Jasmin"/>
  </r>
  <r>
    <s v="#2043"/>
    <d v="2026-08-04T13:53:29"/>
    <d v="2026-08-04T13:53:29"/>
    <s v="Charles Franco"/>
    <x v="0"/>
    <s v="charles.franco761@outlook.com"/>
    <s v="Phone Case - Clear"/>
    <s v="Electronics"/>
    <s v="ELC-CSE-CLR"/>
    <n v="2"/>
    <n v="8.99"/>
    <m/>
    <s v="$0.00"/>
    <n v="5.99"/>
    <n v="23.97"/>
    <s v="PayPal"/>
    <x v="3"/>
    <s v="fulfilled"/>
    <s v="United States"/>
    <s v="Ohio"/>
    <s v="Valid"/>
    <s v="Charlesburgh"/>
  </r>
  <r>
    <s v="#2044"/>
    <d v="2026-08-04T13:54:17"/>
    <d v="2026-08-04T13:54:17"/>
    <s v="Amanda Rodriguez"/>
    <x v="0"/>
    <s v="amanda.rodriguez770@yahoo.com"/>
    <s v="Ceramic Coffee Mug Set (4pc)"/>
    <s v="Home &amp; Kitchen"/>
    <s v="HK-MUG-4PK"/>
    <n v="1"/>
    <n v="18.989999999999998"/>
    <m/>
    <n v="0"/>
    <n v="5.99"/>
    <s v="$24.98"/>
    <s v="Google Pay"/>
    <x v="0"/>
    <s v="fulfilled"/>
    <s v="United States"/>
    <s v="Florida"/>
    <s v="Valid"/>
    <s v="Juliemouth"/>
  </r>
  <r>
    <s v="#2045"/>
    <d v="2026-08-04T13:58:21"/>
    <d v="2026-08-04T13:58:21"/>
    <s v="Dustin Mccoy"/>
    <x v="0"/>
    <s v="dustin.mccoy570@gmail.com"/>
    <s v="Yoga Mat - Extra Thick"/>
    <s v="Sports &amp; Outdoors"/>
    <s v="SP-YGM-EX"/>
    <n v="1"/>
    <n v="22.99"/>
    <m/>
    <n v="0"/>
    <n v="7.99"/>
    <n v="30.98"/>
    <s v="Apple Pay"/>
    <x v="3"/>
    <s v="fulfilled"/>
    <s v="Canada"/>
    <m/>
    <s v="Not Required"/>
    <s v="Tinahaven"/>
  </r>
  <r>
    <s v="#2046"/>
    <d v="2026-08-04T00:00:00"/>
    <s v="04-08-2026 13:59"/>
    <s v="Sandra Wilson"/>
    <x v="0"/>
    <s v="sandra.wilson554@outlook.com"/>
    <s v="Scented Soy Candle - Vanilla"/>
    <s v="Home &amp; Kitchen"/>
    <s v="HK-CND-VAN"/>
    <n v="2"/>
    <n v="9.99"/>
    <s v="FREESHIP"/>
    <n v="0"/>
    <n v="0"/>
    <n v="19.98"/>
    <s v="Credit Card"/>
    <x v="0"/>
    <s v="pending"/>
    <s v="Canada"/>
    <m/>
    <s v="Not Required"/>
    <s v="Brockville"/>
  </r>
  <r>
    <s v="#2047"/>
    <d v="2026-08-04T00:00:00"/>
    <s v="2026-08-04"/>
    <s v="Samuel Padilla"/>
    <x v="0"/>
    <s v="samuel.padilla79@gmail.com"/>
    <s v="Resistance Bands Set"/>
    <s v="Sports &amp; Outdoors"/>
    <s v="SP-RBS-SET"/>
    <n v="2"/>
    <n v="13.99"/>
    <s v="VIP15"/>
    <n v="4.2"/>
    <n v="7.99"/>
    <n v="31.77"/>
    <s v="Apple Pay"/>
    <x v="0"/>
    <s v="cancelled"/>
    <s v="United States"/>
    <s v="Arizona"/>
    <s v="Valid"/>
    <s v="Meganville"/>
  </r>
  <r>
    <s v="#2048"/>
    <d v="2026-08-04T00:00:00"/>
    <s v="2026-08-04"/>
    <s v="Amanda Robinson"/>
    <x v="0"/>
    <s v="amanda.robinson263@icloud.com"/>
    <s v="Throw Blanket - Fleece"/>
    <s v="Home &amp; Kitchen"/>
    <s v="HK-BLK-FLC"/>
    <n v="1"/>
    <n v="17.989999999999998"/>
    <m/>
    <n v="0"/>
    <n v="5.99"/>
    <n v="23.98"/>
    <s v="Google Pay"/>
    <x v="0"/>
    <s v="fulfilled"/>
    <s v="United States"/>
    <s v="FL"/>
    <s v="Valid"/>
    <s v="North Amanda"/>
  </r>
  <r>
    <s v="#2049"/>
    <d v="2026-08-04T14:04:26"/>
    <d v="2026-08-04T14:04:26"/>
    <s v="Megan Herman"/>
    <x v="0"/>
    <s v="megan.herman268@yahoo.com"/>
    <s v="Scented Soy Candle - Vanilla"/>
    <s v="Home &amp; Kitchen"/>
    <s v="HK-CND-VAN"/>
    <n v="1"/>
    <n v="9.99"/>
    <s v="VIP15"/>
    <n v="1.5"/>
    <n v="5.99"/>
    <n v="14.48"/>
    <s v="Shopify Payments"/>
    <x v="0"/>
    <s v="fulfilled"/>
    <s v="United States"/>
    <s v="New York"/>
    <s v="Valid"/>
    <s v="Grayville"/>
  </r>
  <r>
    <s v="#2050"/>
    <d v="2026-08-04T13:58:17"/>
    <d v="2026-08-04T13:58:17"/>
    <s v="TINA SINGH"/>
    <x v="0"/>
    <s v="tina.singh98@icloud.com"/>
    <s v="Wireless Bluetooth Earbuds"/>
    <s v="Electronics"/>
    <s v="ELC-WBE-01"/>
    <n v="1"/>
    <n v="29.99"/>
    <m/>
    <n v="0"/>
    <n v="5.99"/>
    <n v="35.979999999999997"/>
    <s v="Apple Pay"/>
    <x v="3"/>
    <s v="refunded"/>
    <s v="United States"/>
    <s v="TX"/>
    <s v="Valid"/>
    <s v="Kylieport"/>
  </r>
  <r>
    <s v="#2051"/>
    <d v="2026-08-04T13:58:34"/>
    <d v="2026-08-04T13:58:34"/>
    <s v="Michelle Owens"/>
    <x v="0"/>
    <s v="michelle.owens269@yahoo.com"/>
    <s v="Wireless Mouse"/>
    <s v="Electronics"/>
    <s v="ELC-MSE-WL"/>
    <n v="1"/>
    <s v="$11.99"/>
    <m/>
    <n v="0"/>
    <n v="5.99"/>
    <n v="17.98"/>
    <s v="Google Pay"/>
    <x v="2"/>
    <s v="fulfilled"/>
    <s v="United States"/>
    <s v="California"/>
    <s v="Valid"/>
    <s v="West Melissachester"/>
  </r>
  <r>
    <s v="#2052"/>
    <d v="2026-08-04T13:58:07"/>
    <d v="2026-08-04T13:58:07"/>
    <s v="Nicholas Jarvis"/>
    <x v="0"/>
    <s v="nicholas.jarvis112@icloud.com"/>
    <s v="Throw Blanket - Fleece"/>
    <s v="Home &amp; Kitchen"/>
    <s v="HK-BLK-FLC"/>
    <n v="1"/>
    <n v="17.989999999999998"/>
    <m/>
    <s v="$0.00"/>
    <n v="5.99"/>
    <n v="23.98"/>
    <s v="Google Pay"/>
    <x v="2"/>
    <s v="fulfilled"/>
    <s v="Canada"/>
    <m/>
    <s v="Not Required"/>
    <s v="Toddville"/>
  </r>
  <r>
    <s v="#2053"/>
    <d v="2026-08-04T13:59:51"/>
    <d v="2026-08-04T13:59:51"/>
    <s v="Vincent Rosales"/>
    <x v="0"/>
    <s v="vincent.rosales30@icloud.com"/>
    <s v="Portable Power Bank 10000mAh"/>
    <s v="Electronics"/>
    <s v="ELC-PWB-10K"/>
    <n v="1"/>
    <n v="21.99"/>
    <m/>
    <s v="$0.00"/>
    <n v="7.99"/>
    <n v="29.98"/>
    <s v="Shopify Payments"/>
    <x v="0"/>
    <s v="fulfilled"/>
    <s v="United States"/>
    <s v="Georgia"/>
    <s v="Valid"/>
    <s v="North Anthonyville"/>
  </r>
  <r>
    <s v="#2054"/>
    <d v="2026-08-04T14:03:22"/>
    <d v="2026-08-04T14:03:22"/>
    <s v="Monica Hodge"/>
    <x v="0"/>
    <s v="monica.hodge369@icloud.com"/>
    <s v="USB-C Fast Charger 20W"/>
    <s v="Electronics"/>
    <s v="ELC-CHG-20"/>
    <n v="2"/>
    <n v="15.49"/>
    <s v="SAVE20"/>
    <n v="6.2"/>
    <n v="7.99"/>
    <n v="32.770000000000003"/>
    <s v="Shopify Payments"/>
    <x v="2"/>
    <s v="fulfilled"/>
    <s v="United States"/>
    <s v="WA"/>
    <s v="Valid"/>
    <s v="Lauraberg"/>
  </r>
  <r>
    <s v="#2055"/>
    <d v="2026-08-04T13:58:11"/>
    <d v="2026-08-04T13:58:11"/>
    <s v="katelyn johnson"/>
    <x v="0"/>
    <s v="katelyn.johnson502@outlook.com"/>
    <s v="Running Shoes - Men's"/>
    <s v="Footwear"/>
    <s v="FTW-RUN-M"/>
    <n v="1"/>
    <n v="54.99"/>
    <s v="SAVE20"/>
    <n v="11"/>
    <n v="7.99"/>
    <n v="51.98"/>
    <s v="Google Pay"/>
    <x v="3"/>
    <s v="fulfilled"/>
    <s v="United States"/>
    <s v="New York"/>
    <s v="Valid"/>
    <s v="West Michelletown"/>
  </r>
  <r>
    <s v="#2056"/>
    <d v="2026-08-04T14:02:39"/>
    <d v="2026-08-04T14:02:39"/>
    <m/>
    <x v="0"/>
    <s v="sarah.mendoza691@outlook.com"/>
    <s v="Running Shoes - Men's"/>
    <s v="Footwear"/>
    <s v="FTW-RUN-M"/>
    <n v="1"/>
    <n v="54.99"/>
    <m/>
    <n v="0"/>
    <n v="4.99"/>
    <s v="$59.98"/>
    <s v="Apple Pay"/>
    <x v="1"/>
    <s v="pending"/>
    <s v="United States"/>
    <s v="Arizona"/>
    <s v="Valid"/>
    <s v="Jenniferberg"/>
  </r>
  <r>
    <s v="#2057"/>
    <d v="2026-08-04T13:54:41"/>
    <d v="2026-08-04T13:54:41"/>
    <s v="Monica Hicks"/>
    <x v="0"/>
    <s v="monica.hicks473@yahoo.com"/>
    <s v="Stainless Steel Water Bottle"/>
    <s v="Home &amp; Kitchen"/>
    <s v="HK-BTL-750"/>
    <n v="4"/>
    <n v="12.99"/>
    <m/>
    <s v="$0.00"/>
    <n v="5.99"/>
    <s v="$57.95"/>
    <s v="Apple Pay"/>
    <x v="0"/>
    <s v="fulfilled"/>
    <s v="United States"/>
    <s v="California"/>
    <s v="Valid"/>
    <s v="North Jamiefort"/>
  </r>
  <r>
    <s v="#2058"/>
    <d v="2026-08-04T13:59:52"/>
    <d v="2026-08-04T13:59:52"/>
    <s v="James Andrade"/>
    <x v="0"/>
    <s v="james.andrade258@icloud.com"/>
    <s v="Slim Fit Denim Jeans"/>
    <s v="Apparel"/>
    <s v="JNS-BLU-32"/>
    <n v="1"/>
    <n v="39.99"/>
    <m/>
    <n v="0"/>
    <n v="7.99"/>
    <n v="47.98"/>
    <s v="Shopify Payments"/>
    <x v="0"/>
    <s v="fulfilled"/>
    <s v="Germany"/>
    <m/>
    <s v="Not Required"/>
    <s v="South Dwayne"/>
  </r>
  <r>
    <s v="#2059"/>
    <d v="2026-08-04T14:00:42"/>
    <d v="2026-08-04T14:00:42"/>
    <s v="Gerald Li"/>
    <x v="0"/>
    <s v="gerald.li856@icloud.com"/>
    <s v="USB-C Fast Charger 20W"/>
    <s v="Electronics"/>
    <s v="ELC-CHG-20"/>
    <n v="2"/>
    <n v="15.49"/>
    <s v="FREESHIP"/>
    <n v="0"/>
    <n v="0"/>
    <n v="30.98"/>
    <s v="PayPal"/>
    <x v="3"/>
    <s v="cancelled"/>
    <s v="United States"/>
    <s v="Texas"/>
    <s v="Valid"/>
    <s v="Maryburgh"/>
  </r>
  <r>
    <s v="#2060"/>
    <d v="2026-08-04T14:00:24"/>
    <d v="2026-08-04T14:00:24"/>
    <s v="Megan Herman"/>
    <x v="0"/>
    <s v="megan.herman268@yahoo.com"/>
    <s v="Throw Blanket - Fleece"/>
    <s v="Home &amp; Kitchen"/>
    <s v="HK-BLK-FLC"/>
    <n v="1"/>
    <n v="17.989999999999998"/>
    <m/>
    <s v="$0.00"/>
    <n v="5.99"/>
    <s v="$23.98"/>
    <s v="Credit Card"/>
    <x v="3"/>
    <s v="pending"/>
    <s v="United States"/>
    <s v="Illinois"/>
    <s v="Valid"/>
    <s v="Spearsmouth"/>
  </r>
  <r>
    <s v="#2061"/>
    <d v="2026-08-04T13:58:41"/>
    <d v="2026-08-04T13:58:41"/>
    <s v="Frank Diaz"/>
    <x v="0"/>
    <s v="frank.diaz795@gmail.com"/>
    <s v="Vitamin C Serum 30ml"/>
    <s v="Beauty"/>
    <s v="BTY-SRM-30"/>
    <n v="2"/>
    <n v="24.99"/>
    <s v="SAVE20"/>
    <n v="10"/>
    <n v="4.99"/>
    <n v="44.97"/>
    <s v="PayPal"/>
    <x v="3"/>
    <s v="fulfilled"/>
    <s v="United States"/>
    <s v="Georgia"/>
    <s v="Valid"/>
    <s v="Quinnfurt"/>
  </r>
  <r>
    <s v="#2062"/>
    <d v="2026-08-04T14:06:17"/>
    <d v="2026-08-04T14:06:17"/>
    <s v="Julia Atkinson"/>
    <x v="0"/>
    <s v="julia.atkinson939@gmail.com"/>
    <s v="Hooded Sweatshirt"/>
    <s v="Apparel"/>
    <s v="APR-HOD-GRY"/>
    <n v="1"/>
    <s v="$34.99"/>
    <s v="WELCOME10"/>
    <n v="3.5"/>
    <n v="5.99"/>
    <n v="37.479999999999997"/>
    <s v="Apple Pay"/>
    <x v="3"/>
    <s v="fulfilled"/>
    <s v="Canada"/>
    <m/>
    <s v="Not Required"/>
    <s v="South Laura"/>
  </r>
  <r>
    <s v="#2063"/>
    <d v="2026-08-04T00:00:00"/>
    <s v="04-08-2026 13:59"/>
    <s v="Kenneth Davis"/>
    <x v="0"/>
    <s v="kenneth.davis106@yahoo.com"/>
    <s v="Running Shoes - Women's"/>
    <s v="Footwear"/>
    <s v="FTW-RUN-W"/>
    <n v="1"/>
    <n v="54.99"/>
    <m/>
    <n v="0"/>
    <n v="4.99"/>
    <n v="59.98"/>
    <s v="Apple Pay"/>
    <x v="2"/>
    <s v="pending"/>
    <s v="United States"/>
    <s v="Arizona"/>
    <s v="Valid"/>
    <s v="West Scott"/>
  </r>
  <r>
    <s v="#2064"/>
    <d v="2026-08-04T13:55:11"/>
    <d v="2026-08-04T13:55:11"/>
    <s v="Darin Alvarez"/>
    <x v="0"/>
    <s v="darin.alvarez843@gmail.com"/>
    <s v="Hooded Sweatshirt"/>
    <s v="Apparel"/>
    <s v="APR-HOD-GRY"/>
    <n v="1"/>
    <n v="34.99"/>
    <m/>
    <n v="0"/>
    <n v="5.99"/>
    <n v="40.98"/>
    <s v="PayPal"/>
    <x v="3"/>
    <s v="fulfilled"/>
    <s v="Canada"/>
    <m/>
    <s v="Not Required"/>
    <s v="Ericaport"/>
  </r>
  <r>
    <s v="#2065"/>
    <d v="2026-08-04T14:05:57"/>
    <d v="2026-08-04T14:05:57"/>
    <s v="Sarah Mendoza"/>
    <x v="0"/>
    <s v="sarah.mendoza691@outlook.com"/>
    <s v="Classic Cotton T-Shirt"/>
    <s v="Apparel"/>
    <s v="TSH-BLK-L"/>
    <n v="1"/>
    <n v="14.99"/>
    <s v="FREESHIP"/>
    <n v="0"/>
    <n v="0"/>
    <n v="14.99"/>
    <s v="Apple Pay"/>
    <x v="0"/>
    <s v="fulfilled"/>
    <s v="United States"/>
    <s v="Illinois"/>
    <s v="Valid"/>
    <s v="North Maria"/>
  </r>
  <r>
    <s v="#2066"/>
    <d v="2026-08-04T13:59:44"/>
    <d v="2026-08-04T13:59:44"/>
    <s v="Laura Pruitt"/>
    <x v="0"/>
    <s v="laura.pruitt212@yahoo.com"/>
    <s v="USB-C Fast Charger 20W"/>
    <s v="Electronics"/>
    <s v="ELC-CHG-20"/>
    <n v="2"/>
    <n v="15.49"/>
    <s v="SAVE20"/>
    <n v="6.2"/>
    <n v="4.99"/>
    <n v="29.77"/>
    <s v="PayPal"/>
    <x v="2"/>
    <s v="cancelled"/>
    <s v="United States"/>
    <s v="Georgia"/>
    <s v="Valid"/>
    <s v="Washingtonland"/>
  </r>
  <r>
    <s v="#2067"/>
    <d v="2026-08-04T14:07:01"/>
    <d v="2026-08-04T14:07:01"/>
    <s v="Jeremy Tucker"/>
    <x v="0"/>
    <s v="jeremy.tucker26@yahoo.com"/>
    <s v="Backpack - 25L"/>
    <s v="Accessories"/>
    <s v="ACC-BPK-25L"/>
    <n v="1"/>
    <n v="32.99"/>
    <s v="SAVE20"/>
    <n v="6.6"/>
    <n v="5.99"/>
    <s v="$32.38"/>
    <s v="Shopify Payments"/>
    <x v="2"/>
    <s v="fulfilled"/>
    <s v="United States"/>
    <s v="Ohio"/>
    <s v="Valid"/>
    <s v="East Douglas"/>
  </r>
  <r>
    <s v="#2068"/>
    <d v="2026-08-04T14:08:23"/>
    <d v="2026-08-04T14:08:23"/>
    <s v="Sharon Brown"/>
    <x v="0"/>
    <s v="sharon.brown14@gmail.com"/>
    <s v="USB-C Fast Charger 20W"/>
    <s v="Electronics"/>
    <s v="ELC-CHG-20"/>
    <n v="1"/>
    <n v="15.49"/>
    <m/>
    <n v="0"/>
    <n v="7.99"/>
    <n v="23.48"/>
    <s v="Apple Pay"/>
    <x v="0"/>
    <s v="refunded"/>
    <s v="United States"/>
    <s v="Florida"/>
    <s v="Valid"/>
    <s v="Wilsonshire"/>
  </r>
  <r>
    <s v="#2069"/>
    <d v="2026-08-04T14:00:14"/>
    <d v="2026-08-04T14:00:14"/>
    <s v="  Jeffrey Myers"/>
    <x v="0"/>
    <s v="jeffrey.myers692@icloud.com"/>
    <s v="Portable Power Bank 10000mAh"/>
    <s v="Electronics"/>
    <s v="ELC-PWB-10K"/>
    <n v="1"/>
    <n v="21.99"/>
    <s v="VIP15"/>
    <n v="3.3"/>
    <n v="4.99"/>
    <n v="23.68"/>
    <s v="Google Pay"/>
    <x v="3"/>
    <s v="fulfilled"/>
    <s v="Pakistan"/>
    <m/>
    <s v="Not Required"/>
    <s v="Freemanborough"/>
  </r>
  <r>
    <s v="#2070"/>
    <d v="2026-08-04T00:00:00"/>
    <s v="2026-08-04"/>
    <s v="Megan Herman"/>
    <x v="0"/>
    <s v="megan.herman268@yahoo.com"/>
    <s v="Kids Building Blocks Set"/>
    <s v="Toys"/>
    <s v="TOY-BLK-SET"/>
    <n v="1"/>
    <n v="27.99"/>
    <m/>
    <n v="0"/>
    <n v="7.99"/>
    <n v="35.979999999999997"/>
    <s v="Apple Pay"/>
    <x v="0"/>
    <s v="pending"/>
    <s v="United States"/>
    <s v="New York"/>
    <s v="Valid"/>
    <s v="Lake Michael"/>
  </r>
  <r>
    <s v="#2071"/>
    <d v="2026-08-04T14:01:52"/>
    <d v="2026-08-04T14:01:52"/>
    <s v="George Green"/>
    <x v="0"/>
    <s v="george.green694@icloud.com"/>
    <s v="Vitamin C Serum 30ml"/>
    <s v="Beauty"/>
    <s v="BTY-SRM-30"/>
    <n v="1"/>
    <n v="24.99"/>
    <s v="BFCM25"/>
    <n v="6.25"/>
    <n v="5.99"/>
    <n v="24.73"/>
    <s v="Google Pay"/>
    <x v="0"/>
    <s v="cancelled"/>
    <s v="United States"/>
    <s v="Texas"/>
    <s v="Valid"/>
    <s v="Harrisonbury"/>
  </r>
  <r>
    <s v="#2072"/>
    <d v="2026-08-04T14:01:28"/>
    <d v="2026-08-04T14:01:28"/>
    <s v="Jose Ingram"/>
    <x v="0"/>
    <s v="jose.ingram37@gmail.com"/>
    <s v="Adjustable Dumbbell Set"/>
    <s v="Sports &amp; Outdoors"/>
    <s v="SP-DMB-ADJ"/>
    <n v="2"/>
    <n v="89.99"/>
    <s v="VIP15"/>
    <n v="27"/>
    <n v="0"/>
    <n v="152.97999999999999"/>
    <s v="Shopify Payments"/>
    <x v="3"/>
    <s v="cancelled"/>
    <s v="United States"/>
    <s v="Arizona"/>
    <s v="Valid"/>
    <s v="Lauraport"/>
  </r>
  <r>
    <s v="#2073"/>
    <d v="2026-08-04T14:08:13"/>
    <d v="2026-08-04T14:08:13"/>
    <s v="Sara Hernandez"/>
    <x v="0"/>
    <s v="sara.hernandez651@icloud.com"/>
    <s v="Portable Power Bank 10000mAh"/>
    <s v="Electronics"/>
    <s v="ELC-PWB-10K"/>
    <n v="2"/>
    <n v="21.99"/>
    <m/>
    <n v="0"/>
    <n v="7.99"/>
    <n v="51.97"/>
    <s v="Shopify Payments"/>
    <x v="3"/>
    <s v="cancelled"/>
    <s v="United States"/>
    <s v="Texas"/>
    <s v="Valid"/>
    <s v="North Dustinborough"/>
  </r>
  <r>
    <s v="#2074"/>
    <d v="2026-08-04T14:07:28"/>
    <d v="2026-08-04T14:07:28"/>
    <s v="Carrie Boyd"/>
    <x v="0"/>
    <s v="carrie.boyd968@gmail.com"/>
    <s v="Leather Wallet - Brown"/>
    <s v="Accessories"/>
    <s v="ACC-WLT-BRN"/>
    <n v="1"/>
    <n v="19.989999999999998"/>
    <m/>
    <n v="0"/>
    <n v="5.99"/>
    <n v="25.98"/>
    <s v="Google Pay"/>
    <x v="0"/>
    <s v="fulfilled"/>
    <s v="United States"/>
    <s v="Illinois"/>
    <s v="Valid"/>
    <s v="Allenport"/>
  </r>
  <r>
    <s v="#2075"/>
    <d v="2026-08-04T14:04:45"/>
    <d v="2026-08-04T14:04:45"/>
    <s v="Tracy Adams"/>
    <x v="0"/>
    <s v="tracy.adams712@icloud.com"/>
    <s v="Wireless Mouse"/>
    <s v="Electronics"/>
    <s v="ELC-MSE-WL"/>
    <n v="1"/>
    <n v="11.99"/>
    <m/>
    <n v="0"/>
    <n v="5.99"/>
    <n v="17.98"/>
    <s v="Shopify Payments"/>
    <x v="0"/>
    <s v="fulfilled"/>
    <s v="United States"/>
    <s v="Arizona"/>
    <s v="Valid"/>
    <s v="North Theresaport"/>
  </r>
  <r>
    <s v="#2076"/>
    <d v="2026-08-04T14:04:14"/>
    <d v="2026-08-04T14:04:14"/>
    <s v="Herman, Megan"/>
    <x v="1"/>
    <m/>
    <s v="Ceramic Coffee Mug Set (4pc)"/>
    <s v="Home &amp; Kitchen"/>
    <s v="HK-MUG-4PK"/>
    <n v="1"/>
    <n v="18.989999999999998"/>
    <s v="WELCOME10"/>
    <n v="1.9"/>
    <n v="4.99"/>
    <s v="$22.08"/>
    <s v="Apple Pay"/>
    <x v="0"/>
    <s v="fulfilled"/>
    <s v="United States"/>
    <s v="Florida"/>
    <s v="Valid"/>
    <s v="Angelaville"/>
  </r>
  <r>
    <s v="#2077"/>
    <d v="2026-08-04T14:01:48"/>
    <d v="2026-08-04T14:01:48"/>
    <s v="Gerald Li"/>
    <x v="0"/>
    <s v="gerald.li856@icloud.com"/>
    <s v="Yoga Mat - Extra Thick"/>
    <s v="Sports &amp; Outdoors"/>
    <s v="SP-YGM-EX"/>
    <n v="1"/>
    <n v="22.99"/>
    <s v="SAVE20"/>
    <n v="4.5999999999999996"/>
    <n v="5.99"/>
    <n v="24.38"/>
    <s v="Credit Card"/>
    <x v="1"/>
    <s v="pending"/>
    <s v="United States"/>
    <s v="Florida"/>
    <s v="Valid"/>
    <s v="Mcguireburgh"/>
  </r>
  <r>
    <s v="#2078"/>
    <d v="2026-08-04T13:56:27"/>
    <d v="2026-08-04T13:56:27"/>
    <s v="Daniel Hill"/>
    <x v="0"/>
    <s v="daniel.hill472@outlook.com"/>
    <s v="Classic Cotton T-Shirt"/>
    <s v="Apparel"/>
    <s v="TSH-BLK-M"/>
    <n v="2"/>
    <s v="$14.99"/>
    <s v="BFCM25"/>
    <n v="7.5"/>
    <n v="4.99"/>
    <n v="27.47"/>
    <s v="Google Pay"/>
    <x v="0"/>
    <s v="refunded"/>
    <s v="Australia"/>
    <m/>
    <s v="Not Required"/>
    <s v="East Cheryl"/>
  </r>
  <r>
    <s v="#2079"/>
    <d v="2026-08-04T13:56:12"/>
    <d v="2026-08-04T13:56:12"/>
    <s v="Dustin Mccoy"/>
    <x v="0"/>
    <s v="dustin.mccoy570@gmail.com"/>
    <s v="Ceramic Coffee Mug Set (4pc)"/>
    <s v="Home &amp; Kitchen"/>
    <s v="HK-MUG-4PK"/>
    <n v="1"/>
    <n v="18.989999999999998"/>
    <s v="BFCM25"/>
    <n v="4.75"/>
    <n v="7.99"/>
    <n v="22.23"/>
    <s v="Credit Card"/>
    <x v="0"/>
    <s v="fulfilled"/>
    <s v="Canada"/>
    <m/>
    <s v="Not Required"/>
    <s v="Joneshaven"/>
  </r>
  <r>
    <s v="#2080"/>
    <d v="2026-08-04T14:01:26"/>
    <d v="2026-08-04T14:01:26"/>
    <s v="Tracy Adams"/>
    <x v="0"/>
    <s v="tracy.adams712@icloud.com"/>
    <s v="Adjustable Dumbbell Set"/>
    <s v="Sports &amp; Outdoors"/>
    <s v="SP-DMB-ADJ"/>
    <n v="1"/>
    <s v="$89.99"/>
    <s v="VIP15"/>
    <n v="13.5"/>
    <n v="0"/>
    <n v="76.489999999999995"/>
    <s v="Apple Pay"/>
    <x v="0"/>
    <s v="cancelled"/>
    <s v="United States"/>
    <s v="Illinois"/>
    <s v="Valid"/>
    <s v="New Kimberly"/>
  </r>
  <r>
    <s v="#2081"/>
    <d v="2026-08-04T14:03:17"/>
    <d v="2026-08-04T14:03:17"/>
    <s v="Samuel Smith"/>
    <x v="0"/>
    <s v="samuel.smith76@outlook.com"/>
    <s v="Throw Blanket - Fleece"/>
    <s v="Home &amp; Kitchen"/>
    <s v="HK-BLK-FLC"/>
    <n v="1"/>
    <n v="17.989999999999998"/>
    <m/>
    <n v="0"/>
    <n v="5.99"/>
    <n v="23.98"/>
    <s v="Credit Card"/>
    <x v="2"/>
    <s v="fulfilled"/>
    <s v="United Kingdom"/>
    <m/>
    <s v="Not Required"/>
    <s v="East Dominicbury"/>
  </r>
  <r>
    <s v="#2082"/>
    <d v="2026-08-04T14:01:20"/>
    <d v="2026-08-04T14:01:20"/>
    <s v="Ronald Davis"/>
    <x v="0"/>
    <s v="ronald.davis995@yahoo.com"/>
    <s v="Phone Case - Clear"/>
    <s v="Electronics"/>
    <s v="ELC-CSE-CLR"/>
    <n v="1"/>
    <n v="8.99"/>
    <m/>
    <n v="0"/>
    <n v="5.99"/>
    <n v="14.98"/>
    <s v="Google Pay"/>
    <x v="0"/>
    <s v="fulfilled"/>
    <s v="Pakistan"/>
    <m/>
    <s v="Not Required"/>
    <s v="Lake Karen"/>
  </r>
  <r>
    <s v="#2083"/>
    <d v="2026-08-04T14:05:39"/>
    <d v="2026-08-04T14:05:39"/>
    <s v="Thomas Smith"/>
    <x v="0"/>
    <s v="thomas.smith633@gmail.com"/>
    <s v="Vitamin C Serum 30ml"/>
    <s v="Beauty"/>
    <s v="BTY-SRM-30"/>
    <n v="1"/>
    <n v="24.99"/>
    <m/>
    <n v="0"/>
    <n v="4.99"/>
    <n v="29.98"/>
    <s v="Credit Card"/>
    <x v="0"/>
    <s v="fulfilled"/>
    <s v="Germany"/>
    <m/>
    <s v="Not Required"/>
    <s v="Montgomeryberg"/>
  </r>
  <r>
    <s v="#2084"/>
    <d v="2026-08-04T14:02:40"/>
    <d v="2026-08-04T14:02:40"/>
    <s v="John Dunlap"/>
    <x v="0"/>
    <s v="john.dunlap479@outlook.com"/>
    <s v="Resistance Bands Set"/>
    <s v="Sports &amp; Outdoors"/>
    <s v="SP-RBS-SET"/>
    <n v="3"/>
    <n v="13.99"/>
    <s v="SAVE20"/>
    <n v="8.39"/>
    <n v="7.99"/>
    <n v="41.57"/>
    <s v="Credit Card"/>
    <x v="3"/>
    <s v="fulfilled"/>
    <s v="Australia"/>
    <m/>
    <s v="Not Required"/>
    <s v="Luisstad"/>
  </r>
  <r>
    <s v="#2085"/>
    <d v="2026-08-04T13:57:52"/>
    <d v="2026-08-04T13:57:52"/>
    <s v="Julia Atkinson"/>
    <x v="0"/>
    <s v="julia.atkinson939@gmail.com"/>
    <s v="Backpack - 25L"/>
    <s v="Accessories"/>
    <s v="ACC-BPK-25L"/>
    <n v="1"/>
    <n v="32.99"/>
    <m/>
    <n v="0"/>
    <n v="7.99"/>
    <n v="40.98"/>
    <s v="Credit Card"/>
    <x v="2"/>
    <s v="fulfilled"/>
    <s v="Canada"/>
    <m/>
    <s v="Not Required"/>
    <s v="Nixonmouth"/>
  </r>
  <r>
    <s v="#2086"/>
    <d v="2026-08-04T14:05:34"/>
    <d v="2026-08-04T14:05:34"/>
    <s v="Richard Zavala"/>
    <x v="0"/>
    <s v="richard.zavala602@gmail.com"/>
    <s v="Ceramic Coffee Mug Set (4pc)"/>
    <s v="Home &amp; Kitchen"/>
    <s v="HK-MUG-4PK"/>
    <n v="1"/>
    <n v="18.989999999999998"/>
    <s v="BFCM25"/>
    <n v="4.75"/>
    <n v="4.99"/>
    <n v="19.23"/>
    <s v="Credit Card"/>
    <x v="0"/>
    <s v="cancelled"/>
    <s v="Canada"/>
    <m/>
    <s v="Not Required"/>
    <s v="Port Angela"/>
  </r>
  <r>
    <s v="#2087"/>
    <d v="2026-08-04T14:06:27"/>
    <d v="2026-08-04T14:06:27"/>
    <s v="Amanda Robinson"/>
    <x v="0"/>
    <s v="amanda.robinson263@icloud.com"/>
    <s v="USB-C Fast Charger 20W  "/>
    <s v="Electronics"/>
    <s v="ELC-CHG-20"/>
    <n v="2"/>
    <n v="15.49"/>
    <s v="FREESHIP"/>
    <n v="0"/>
    <n v="0"/>
    <n v="30.98"/>
    <s v="Apple Pay"/>
    <x v="2"/>
    <s v="refunded"/>
    <s v="United States"/>
    <s v="Canada"/>
    <s v="Valid"/>
    <s v="East Brittany"/>
  </r>
  <r>
    <s v="#2088"/>
    <d v="2026-08-04T14:08:02"/>
    <d v="2026-08-04T14:08:02"/>
    <s v="Matthew Perez"/>
    <x v="0"/>
    <s v="matthew.perez875@gmail.com"/>
    <s v="Adjustable Dumbbell Set"/>
    <s v="Sports &amp; Outdoors"/>
    <s v="SP-DMB-ADJ"/>
    <n v="1"/>
    <n v="89.99"/>
    <s v="WELCOME10"/>
    <n v="9"/>
    <n v="0"/>
    <n v="80.989999999999995"/>
    <s v="PayPal"/>
    <x v="3"/>
    <s v="cancelled"/>
    <s v="Pakistan"/>
    <m/>
    <s v="Not Required"/>
    <s v="Taylorborough"/>
  </r>
  <r>
    <s v="#2089"/>
    <d v="2026-08-04T13:54:17"/>
    <d v="2026-08-04T13:54:17"/>
    <s v="Mary Garcia"/>
    <x v="0"/>
    <s v="mary.garcia899@icloud.com"/>
    <s v="Backpack - 25L"/>
    <s v="Accessories"/>
    <s v="ACC-BPK-25L"/>
    <n v="2"/>
    <n v="32.99"/>
    <s v="FREESHIP"/>
    <n v="0"/>
    <n v="0"/>
    <n v="65.98"/>
    <s v="PayPal"/>
    <x v="0"/>
    <s v="refunded"/>
    <s v="Canada"/>
    <m/>
    <s v="Not Required"/>
    <s v="North Justinberg"/>
  </r>
  <r>
    <s v="#2090"/>
    <d v="2026-08-04T14:04:32"/>
    <d v="2026-08-04T14:04:32"/>
    <s v="Jeffrey Myers"/>
    <x v="0"/>
    <s v="jeffrey.myers692@icloud.com"/>
    <s v="Stainless Steel Water Bottle  "/>
    <s v="Home &amp; Kitchen"/>
    <s v="HK-BTL-750"/>
    <n v="1"/>
    <n v="12.99"/>
    <m/>
    <n v="0"/>
    <n v="5.99"/>
    <n v="18.98"/>
    <s v="PayPal"/>
    <x v="1"/>
    <s v="refunded"/>
    <s v="Pakistan"/>
    <m/>
    <s v="Not Required"/>
    <s v="Ericksonshire"/>
  </r>
  <r>
    <s v="#2091"/>
    <d v="2026-08-04T00:00:00"/>
    <s v="2026-08-04"/>
    <s v="Peter Alvarez"/>
    <x v="0"/>
    <s v="peter.alvarez465@yahoo.com"/>
    <s v="Scented Soy Candle - Vanilla"/>
    <s v="Home &amp; Kitchen"/>
    <s v="HK-CND-VAN"/>
    <n v="1"/>
    <n v="9.99"/>
    <m/>
    <n v="0"/>
    <n v="4.99"/>
    <n v="14.98"/>
    <s v="PayPal"/>
    <x v="0"/>
    <s v="fulfilled"/>
    <s v="United States"/>
    <s v="Texas"/>
    <s v="Valid"/>
    <s v="East Matthew"/>
  </r>
  <r>
    <s v="#2092"/>
    <d v="2026-08-04T13:58:04"/>
    <d v="2026-08-04T13:58:04"/>
    <s v="Philip Stevens"/>
    <x v="1"/>
    <m/>
    <s v="Kids Building Blocks Set"/>
    <s v="Toys"/>
    <s v="TOY-BLK-SET"/>
    <n v="1"/>
    <n v="27.99"/>
    <s v="SAVE20"/>
    <n v="5.6"/>
    <n v="4.99"/>
    <n v="27.38"/>
    <s v="Credit Card"/>
    <x v="3"/>
    <s v="pending"/>
    <s v="United States"/>
    <s v="Georgia"/>
    <s v="Valid"/>
    <s v="East Cynthiaville"/>
  </r>
  <r>
    <s v="#2093"/>
    <d v="2026-04-08T00:00:00"/>
    <s v="08/04/2026"/>
    <s v="Katelyn Johnson"/>
    <x v="0"/>
    <s v="katelyn.johnson502@outlook.com"/>
    <s v="Kids Building Blocks Set"/>
    <s v="Toys"/>
    <s v="TOY-BLK-SET"/>
    <n v="2"/>
    <n v="27.99"/>
    <m/>
    <n v="0"/>
    <n v="4.99"/>
    <n v="60.97"/>
    <s v="Apple Pay"/>
    <x v="1"/>
    <s v="refunded"/>
    <s v="United States"/>
    <s v="California"/>
    <s v="Valid"/>
    <s v="Shannonhaven"/>
  </r>
  <r>
    <s v="#2094"/>
    <d v="2026-08-04T14:01:50"/>
    <d v="2026-08-04T14:01:50"/>
    <s v="Brian Ruiz"/>
    <x v="0"/>
    <s v="brian.ruiz246@gmail.com"/>
    <s v="Kids Building Blocks Set"/>
    <s v="Toys"/>
    <s v="TOY-BLK-SET"/>
    <n v="1"/>
    <n v="27.99"/>
    <s v="FREESHIP"/>
    <n v="0"/>
    <n v="0"/>
    <n v="27.99"/>
    <s v="PayPal"/>
    <x v="0"/>
    <s v="pending"/>
    <s v="Germany"/>
    <m/>
    <s v="Not Required"/>
    <s v="Rebeccastad"/>
  </r>
  <r>
    <s v="#2095"/>
    <d v="2026-08-04T14:04:09"/>
    <d v="2026-08-04T14:04:09"/>
    <s v="Stacey Johnson"/>
    <x v="0"/>
    <s v="stacey.johnson95@gmail.com"/>
    <s v="Kids Building Blocks Set"/>
    <s v="Toys"/>
    <s v="TOY-BLK-SET"/>
    <n v="1"/>
    <n v="27.99"/>
    <s v="WELCOME10"/>
    <n v="2.8"/>
    <n v="5.99"/>
    <n v="31.18"/>
    <s v="Shopify Payments"/>
    <x v="2"/>
    <s v="refunded"/>
    <s v="Germany"/>
    <m/>
    <s v="Not Required"/>
    <s v="Douglasberg"/>
  </r>
  <r>
    <s v="#2096"/>
    <d v="2026-04-08T00:00:00"/>
    <s v="08/04/2026"/>
    <s v="Bryan, Cynthia"/>
    <x v="0"/>
    <s v="cynthia.bryan502@icloud.com"/>
    <s v="Leather Wallet - Brown"/>
    <s v="Accessories"/>
    <s v="ACC-WLT-BRN"/>
    <n v="2"/>
    <n v="19.989999999999998"/>
    <m/>
    <n v="0"/>
    <n v="7.99"/>
    <n v="47.97"/>
    <s v="Credit Card"/>
    <x v="0"/>
    <s v="fulfilled"/>
    <s v="United States"/>
    <s v="Illinois"/>
    <s v="Valid"/>
    <s v="Hendersonville"/>
  </r>
  <r>
    <s v="#2097"/>
    <d v="2026-08-04T14:01:01"/>
    <d v="2026-08-04T14:01:01"/>
    <s v="Glenn Smith"/>
    <x v="0"/>
    <s v="glenn.smith305@gmail.com"/>
    <s v="Throw Blanket - Fleece"/>
    <s v="Home &amp; Kitchen"/>
    <s v="HK-BLK-FLC"/>
    <n v="1"/>
    <n v="17.989999999999998"/>
    <m/>
    <n v="0"/>
    <n v="5.99"/>
    <n v="23.98"/>
    <s v="Credit Card"/>
    <x v="1"/>
    <s v="refunded"/>
    <s v="Canada"/>
    <m/>
    <s v="Not Required"/>
    <s v="North Tommy"/>
  </r>
  <r>
    <s v="#2098"/>
    <d v="2026-08-04T13:57:23"/>
    <d v="2026-08-04T13:57:23"/>
    <s v="Frank Diaz"/>
    <x v="0"/>
    <s v="frank.diaz795@gmail.com"/>
    <s v="Running Shoes - Women's"/>
    <s v="Footwear"/>
    <s v="FTW-RUN-W"/>
    <n v="1"/>
    <n v="54.99"/>
    <m/>
    <n v="0"/>
    <n v="7.99"/>
    <n v="62.98"/>
    <s v="Apple Pay"/>
    <x v="2"/>
    <s v="pending"/>
    <s v="United States"/>
    <s v="California"/>
    <s v="Valid"/>
    <s v="Port Amberberg"/>
  </r>
  <r>
    <s v="#2099"/>
    <d v="2026-08-04T13:56:08"/>
    <d v="2026-08-04T13:56:08"/>
    <s v="Julie Terrell"/>
    <x v="0"/>
    <s v="julie.terrell409@icloud.com"/>
    <s v="Facial Cleanser 200ml"/>
    <s v="Beauty"/>
    <s v="BTY-CLN-200"/>
    <n v="1"/>
    <n v="13.49"/>
    <m/>
    <n v="0"/>
    <n v="5.99"/>
    <n v="19.48"/>
    <s v="Apple Pay"/>
    <x v="1"/>
    <s v="fulfilled"/>
    <s v="Australia"/>
    <m/>
    <s v="Not Required"/>
    <s v="North Janice"/>
  </r>
  <r>
    <s v="#2100"/>
    <d v="2026-08-04T14:02:49"/>
    <d v="2026-08-04T14:02:49"/>
    <s v="Leon Oliver"/>
    <x v="0"/>
    <s v="leon.oliver578@gmail.com"/>
    <s v="Adjustable Dumbbell Set"/>
    <s v="Sports &amp; Outdoors"/>
    <s v="SP-DMB-ADJ"/>
    <n v="1"/>
    <n v="89.99"/>
    <s v="FREESHIP"/>
    <n v="0"/>
    <n v="0"/>
    <n v="89.99"/>
    <s v="Shopify Payments"/>
    <x v="0"/>
    <s v="refunded"/>
    <s v="Canada"/>
    <m/>
    <s v="Not Required"/>
    <s v="Benjaminstad"/>
  </r>
  <r>
    <s v="#2101"/>
    <d v="2026-08-04T13:55:44"/>
    <d v="2026-08-04T13:55:44"/>
    <s v="Catherine Mcgee"/>
    <x v="0"/>
    <s v="catherine.mcgee63@icloud.com"/>
    <s v="Wireless Mouse"/>
    <s v="Electronics"/>
    <s v="ELC-MSE-WL"/>
    <n v="1"/>
    <n v="11.99"/>
    <s v="FREESHIP"/>
    <n v="0"/>
    <n v="0"/>
    <n v="11.99"/>
    <s v="Google Pay"/>
    <x v="2"/>
    <s v="refunded"/>
    <s v="Australia"/>
    <m/>
    <s v="Not Required"/>
    <s v="Port Jeremyland"/>
  </r>
  <r>
    <s v="#2102"/>
    <d v="2026-04-08T00:00:00"/>
    <s v="08/04/2026"/>
    <s v="Diana Romero"/>
    <x v="0"/>
    <s v="diana.romero386@outlook.com"/>
    <s v="Slim Fit Denim Jeans"/>
    <s v="Apparel"/>
    <s v="JNS-BLU-32"/>
    <n v="2"/>
    <n v="39.99"/>
    <m/>
    <n v="0"/>
    <n v="0"/>
    <n v="79.98"/>
    <s v="Google Pay"/>
    <x v="2"/>
    <s v="pending"/>
    <s v="United States"/>
    <s v="Texas"/>
    <s v="Valid"/>
    <s v="Coleburgh"/>
  </r>
  <r>
    <s v="#2103"/>
    <d v="2026-08-04T14:00:59"/>
    <d v="2026-08-04T14:00:59"/>
    <s v="Vincent Rosales"/>
    <x v="1"/>
    <m/>
    <s v="Ceramic Coffee Mug Set (4pc)"/>
    <s v="Home &amp; Kitchen"/>
    <s v="HK-MUG-4PK"/>
    <n v="2"/>
    <n v="18.989999999999998"/>
    <s v="VIP15"/>
    <n v="5.7"/>
    <n v="5.99"/>
    <n v="38.270000000000003"/>
    <s v="Google Pay"/>
    <x v="0"/>
    <s v="fulfilled"/>
    <s v="United States"/>
    <s v="Washington"/>
    <s v="Valid"/>
    <s v="Jonestown"/>
  </r>
  <r>
    <s v="#2104"/>
    <d v="2026-08-04T14:04:57"/>
    <d v="2026-08-04T14:04:57"/>
    <s v="Sandra Potter"/>
    <x v="0"/>
    <s v="sandra.potter166@yahoo.com"/>
    <s v="Ceramic Coffee Mug Set (4pc)"/>
    <s v="Home &amp; Kitchen"/>
    <s v="HK-MUG-4PK"/>
    <n v="1"/>
    <n v="18.989999999999998"/>
    <m/>
    <n v="0"/>
    <n v="5.99"/>
    <n v="24.98"/>
    <s v="Google Pay"/>
    <x v="3"/>
    <s v="fulfilled"/>
    <s v="United States"/>
    <s v="Washington"/>
    <s v="Valid"/>
    <s v="East Jamesside"/>
  </r>
  <r>
    <s v="#2105"/>
    <d v="2026-08-04T13:59:06"/>
    <d v="2026-08-04T13:59:06"/>
    <s v="Philip Stevens"/>
    <x v="0"/>
    <s v="philip.stevens908@outlook.com"/>
    <s v="Slim Fit Denim Jeans"/>
    <s v="Apparel"/>
    <s v="JNS-BLU-32"/>
    <n v="2"/>
    <n v="39.99"/>
    <m/>
    <n v="0"/>
    <n v="0"/>
    <n v="79.98"/>
    <s v="PayPal"/>
    <x v="2"/>
    <s v="fulfilled"/>
    <s v="United States"/>
    <s v="California"/>
    <s v="Valid"/>
    <s v="Sandersport"/>
  </r>
  <r>
    <s v="#2106"/>
    <d v="2026-08-04T14:06:23"/>
    <d v="2026-08-04T14:06:23"/>
    <s v="Stacey Gonzales"/>
    <x v="0"/>
    <s v="stacey.gonzales655@icloud.com"/>
    <s v="Running Shoes - Women's"/>
    <s v="Footwear"/>
    <s v="FTW-RUN-W"/>
    <n v="1"/>
    <n v="54.99"/>
    <s v="VIP15"/>
    <n v="8.25"/>
    <n v="5.99"/>
    <n v="52.73"/>
    <s v="Google Pay"/>
    <x v="0"/>
    <s v="fulfilled"/>
    <s v="United States"/>
    <s v="FL"/>
    <s v="Valid"/>
    <s v="Port Danielland"/>
  </r>
  <r>
    <s v="#2107"/>
    <d v="2026-08-04T14:06:55"/>
    <d v="2026-08-04T14:06:55"/>
    <s v="Peter Alvarez"/>
    <x v="0"/>
    <s v="peter.alvarez465@yahoo.com"/>
    <s v="Wireless Bluetooth Earbuds"/>
    <s v="Electronics"/>
    <s v="ELC-WBE-01"/>
    <n v="1"/>
    <n v="29.99"/>
    <s v="FREESHIP"/>
    <n v="0"/>
    <n v="0"/>
    <s v="$29.99"/>
    <s v="Shopify Payments"/>
    <x v="2"/>
    <s v="fulfilled"/>
    <s v="United States"/>
    <s v="FL"/>
    <s v="Valid"/>
    <s v="West Lauren"/>
  </r>
  <r>
    <s v="#2108"/>
    <d v="2026-08-04T14:02:38"/>
    <d v="2026-08-04T14:02:38"/>
    <s v="Johnathan Everett"/>
    <x v="0"/>
    <s v="johnathan.everett6@outlook.com"/>
    <s v="Classic Cotton T-Shirt"/>
    <s v="Apparel"/>
    <s v="TSH-BLK-M"/>
    <n v="1"/>
    <s v="$14.99"/>
    <m/>
    <n v="0"/>
    <n v="4.99"/>
    <n v="19.98"/>
    <s v="Google Pay"/>
    <x v="0"/>
    <s v="fulfilled"/>
    <s v="United States"/>
    <s v="California"/>
    <s v="Valid"/>
    <s v="Mooreshire"/>
  </r>
  <r>
    <s v="#2109"/>
    <d v="2026-08-04T14:00:11"/>
    <d v="2026-08-04T14:00:11"/>
    <s v="Jennifer Burke"/>
    <x v="0"/>
    <s v="jennifer.burke472@icloud.com"/>
    <s v="Scented Soy Candle - Vanilla"/>
    <s v="Home &amp; Kitchen"/>
    <s v="HK-CND-VAN"/>
    <n v="1"/>
    <n v="9.99"/>
    <m/>
    <n v="0"/>
    <n v="4.99"/>
    <n v="14.98"/>
    <s v="Google Pay"/>
    <x v="2"/>
    <s v="fulfilled"/>
    <s v="Pakistan"/>
    <m/>
    <s v="Not Required"/>
    <s v="Stephenview"/>
  </r>
  <r>
    <s v="#2110"/>
    <d v="2026-08-04T14:00:46"/>
    <d v="2026-08-04T14:00:46"/>
    <s v="Zachary Hanson"/>
    <x v="0"/>
    <s v="zachary.hanson261@outlook.com"/>
    <s v="Non-Stick Frying Pan 10in"/>
    <s v="Home &amp; Kitchen"/>
    <s v="HK-PAN-10"/>
    <n v="1"/>
    <n v="24.99"/>
    <s v="BFCM25"/>
    <n v="6.25"/>
    <n v="4.99"/>
    <n v="23.73"/>
    <s v="Apple Pay"/>
    <x v="2"/>
    <s v="pending"/>
    <s v="United States"/>
    <s v="WA"/>
    <s v="Valid"/>
    <s v="West Lesliefurt"/>
  </r>
  <r>
    <s v="#2111"/>
    <d v="2026-08-04T14:03:48"/>
    <d v="2026-08-04T14:03:48"/>
    <s v="Kelly Wyatt"/>
    <x v="0"/>
    <s v="kelly.wyatt277@yahoo.com"/>
    <s v="Throw Blanket - Fleece"/>
    <s v="Home &amp; Kitchen"/>
    <s v="HK-BLK-FLC"/>
    <n v="2"/>
    <n v="17.989999999999998"/>
    <m/>
    <n v="0"/>
    <n v="5.99"/>
    <n v="41.97"/>
    <s v="PayPal"/>
    <x v="0"/>
    <s v="fulfilled"/>
    <s v="Germany"/>
    <m/>
    <s v="Not Required"/>
    <s v="Johnsonfurt"/>
  </r>
  <r>
    <s v="#2112"/>
    <d v="2026-08-04T14:03:07"/>
    <d v="2026-08-04T14:03:07"/>
    <s v="Michael Hays"/>
    <x v="0"/>
    <s v="michael.hays590@gmail.com"/>
    <s v="Slim Fit Denim Jeans"/>
    <s v="Apparel"/>
    <s v="JNS-BLU-32"/>
    <n v="1"/>
    <n v="39.99"/>
    <s v="SAVE20"/>
    <n v="8"/>
    <n v="7.99"/>
    <n v="39.979999999999997"/>
    <s v="Google Pay"/>
    <x v="0"/>
    <s v="fulfilled"/>
    <s v="United States"/>
    <s v="California"/>
    <s v="Valid"/>
    <s v="East Brandon"/>
  </r>
  <r>
    <s v="#2113"/>
    <d v="2026-08-04T13:55:32"/>
    <d v="2026-08-04T13:55:32"/>
    <s v="Daniel Contreras"/>
    <x v="0"/>
    <s v="daniel.contreras749@yahoo.com"/>
    <s v="Ceramic Coffee Mug Set (4pc)"/>
    <s v="Home &amp; Kitchen"/>
    <s v="HK-MUG-4PK"/>
    <n v="1"/>
    <n v="18.989999999999998"/>
    <s v="FREESHIP"/>
    <n v="0"/>
    <n v="0"/>
    <n v="18.989999999999998"/>
    <s v="Google Pay"/>
    <x v="1"/>
    <s v="fulfilled"/>
    <s v="Australia"/>
    <m/>
    <s v="Not Required"/>
    <s v="Lisachester"/>
  </r>
  <r>
    <s v="#2114"/>
    <d v="2026-08-04T14:01:08"/>
    <d v="2026-08-04T14:01:08"/>
    <s v="Erika Maxwell"/>
    <x v="0"/>
    <s v="erika.maxwell281@gmail.com"/>
    <s v="USB-C Fast Charger 20W"/>
    <s v="Electronics"/>
    <s v="ELC-CHG-20"/>
    <n v="2"/>
    <n v="15.49"/>
    <s v="BFCM25"/>
    <n v="7.75"/>
    <n v="5.99"/>
    <n v="29.22"/>
    <s v="Shopify Payments"/>
    <x v="0"/>
    <s v="fulfilled"/>
    <s v="United States"/>
    <s v="California"/>
    <s v="Valid"/>
    <s v="Pittshaven"/>
  </r>
  <r>
    <s v="#2115"/>
    <d v="2026-08-04T13:54:07"/>
    <d v="2026-08-04T13:54:07"/>
    <s v="Paul Pratt"/>
    <x v="0"/>
    <s v="paul.pratt856@outlook.com"/>
    <s v="Throw Blanket - Fleece"/>
    <s v="Home &amp; Kitchen"/>
    <s v="HK-BLK-FLC"/>
    <n v="1"/>
    <n v="17.989999999999998"/>
    <m/>
    <n v="0"/>
    <n v="4.99"/>
    <n v="22.98"/>
    <s v="Google Pay"/>
    <x v="0"/>
    <s v="refunded"/>
    <s v="United States"/>
    <s v="Illinois"/>
    <s v="Valid"/>
    <s v="Huffmanhaven"/>
  </r>
  <r>
    <s v="#2116"/>
    <d v="2026-08-04T13:56:26"/>
    <d v="2026-08-04T13:56:26"/>
    <s v="Kenneth Davis"/>
    <x v="0"/>
    <s v="kenneth.davis106@yahoo.com"/>
    <s v="Wireless Bluetooth Earbuds"/>
    <s v="Electronics"/>
    <s v="ELC-WBE-01"/>
    <n v="1"/>
    <n v="29.99"/>
    <s v="BFCM25"/>
    <n v="7.5"/>
    <n v="7.99"/>
    <n v="30.48"/>
    <s v="Shopify Payments"/>
    <x v="0"/>
    <s v="fulfilled"/>
    <s v="United States"/>
    <s v="Georgia"/>
    <s v="Valid"/>
    <s v="South Megantown"/>
  </r>
  <r>
    <s v="#2117"/>
    <d v="2026-08-04T13:58:41"/>
    <d v="2026-08-04T13:58:41"/>
    <s v="Murray, Cody"/>
    <x v="0"/>
    <s v="cody.murray456@gmail.com"/>
    <s v="Polarized Sunglasses"/>
    <s v="Accessories"/>
    <s v="ACC-SUN-01"/>
    <n v="3"/>
    <n v="16.989999999999998"/>
    <m/>
    <n v="0"/>
    <n v="4.99"/>
    <n v="55.96"/>
    <s v="Apple Pay"/>
    <x v="0"/>
    <s v="fulfilled"/>
    <s v="United Kingdom"/>
    <m/>
    <s v="Not Required"/>
    <s v="East Nicholasshire"/>
  </r>
  <r>
    <s v="#2118"/>
    <d v="2026-08-04T00:00:00"/>
    <s v="04-08-2026 14:08"/>
    <s v="Mary Garcia"/>
    <x v="0"/>
    <s v="mary.garcia899@icloud.com"/>
    <s v="Resistance Bands Set"/>
    <s v="Sports &amp; Outdoors"/>
    <s v="SP-RBS-SET"/>
    <n v="1"/>
    <n v="13.99"/>
    <s v="VIP15"/>
    <n v="2.1"/>
    <n v="5.99"/>
    <n v="17.88"/>
    <s v="Shopify Payments"/>
    <x v="2"/>
    <s v="fulfilled"/>
    <s v="Canada"/>
    <m/>
    <s v="Not Required"/>
    <s v="East Robertmouth"/>
  </r>
  <r>
    <s v="#2119"/>
    <d v="2026-08-04T00:00:00"/>
    <s v="Aug 04, 2026"/>
    <s v="Timothy Hodges"/>
    <x v="0"/>
    <s v="timothy.hodges687@icloud.com"/>
    <s v="Vitamin C Serum 30ml"/>
    <s v="Beauty"/>
    <s v="BTY-SRM-30"/>
    <n v="1"/>
    <n v="24.99"/>
    <s v="SAVE20"/>
    <n v="5"/>
    <n v="7.99"/>
    <n v="27.98"/>
    <s v="Shopify Payments"/>
    <x v="0"/>
    <s v="cancelled"/>
    <s v="Australia"/>
    <m/>
    <s v="Not Required"/>
    <s v="Savagefurt"/>
  </r>
  <r>
    <s v="#2120"/>
    <d v="2026-04-08T00:00:00"/>
    <s v="08/04/2026"/>
    <s v="Christopher Martin"/>
    <x v="0"/>
    <s v="christopher.martin10@gmail.com"/>
    <s v="Wireless Mouse"/>
    <s v="Electronics"/>
    <s v="ELC-MSE-WL"/>
    <n v="1"/>
    <s v="$11.99"/>
    <s v="FREESHIP"/>
    <n v="0"/>
    <n v="0"/>
    <n v="11.99"/>
    <s v="Apple Pay"/>
    <x v="0"/>
    <s v="refunded"/>
    <s v="United States"/>
    <s v="Florida"/>
    <s v="Valid"/>
    <s v="Mitchellshire"/>
  </r>
  <r>
    <s v="#2121"/>
    <d v="2026-08-04T13:59:52"/>
    <d v="2026-08-04T13:59:52"/>
    <s v="Jasmine Parker"/>
    <x v="0"/>
    <s v="jasmine.parker47@icloud.com"/>
    <s v="Wireless Mouse"/>
    <s v="Electronics"/>
    <s v="ELC-MSE-WL"/>
    <n v="1"/>
    <n v="11.99"/>
    <s v="VIP15"/>
    <n v="1.8"/>
    <n v="7.99"/>
    <n v="18.18"/>
    <s v="Shopify Payments"/>
    <x v="0"/>
    <s v="cancelled"/>
    <s v="Pakistan"/>
    <m/>
    <s v="Not Required"/>
    <s v="Mcculloughfurt"/>
  </r>
  <r>
    <s v="#2122"/>
    <d v="2026-08-04T13:59:45"/>
    <d v="2026-08-04T13:59:45"/>
    <s v="Kayla Cruz"/>
    <x v="0"/>
    <s v="kayla.cruz151@outlook.com"/>
    <s v="Stainless Steel Water Bottle"/>
    <s v="Home &amp; Kitchen"/>
    <s v="HK-BTL-750"/>
    <n v="1"/>
    <n v="12.99"/>
    <m/>
    <n v="0"/>
    <n v="4.99"/>
    <n v="17.98"/>
    <s v="Apple Pay"/>
    <x v="1"/>
    <s v="cancelled"/>
    <s v="Pakistan"/>
    <m/>
    <s v="Not Required"/>
    <s v="Courtneystad"/>
  </r>
  <r>
    <s v="#2123"/>
    <d v="2026-08-04T14:05:27"/>
    <d v="2026-08-04T14:05:27"/>
    <s v="Amanda Robinson"/>
    <x v="0"/>
    <s v="amanda.robinson263@icloud.com"/>
    <s v="Ceramic Coffee Mug Set (4pc)  "/>
    <s v="Home &amp; Kitchen"/>
    <s v="HK-MUG-4PK"/>
    <n v="1"/>
    <n v="18.989999999999998"/>
    <s v="BFCM25"/>
    <s v="$4.75"/>
    <n v="4.99"/>
    <n v="19.23"/>
    <s v="PayPal"/>
    <x v="1"/>
    <s v="cancelled"/>
    <s v="United States"/>
    <s v="North Carolina"/>
    <s v="Valid"/>
    <s v="Santanaport"/>
  </r>
  <r>
    <s v="#2124"/>
    <d v="2026-04-08T00:00:00"/>
    <s v="08/04/2026"/>
    <s v="Thomas Vazquez"/>
    <x v="0"/>
    <s v="thomas.vazquez673@icloud.com"/>
    <s v="Adjustable Dumbbell Set"/>
    <s v="Sports &amp; Outdoors"/>
    <s v="SP-DMB-ADJ"/>
    <n v="3"/>
    <s v="$89.99"/>
    <m/>
    <n v="0"/>
    <n v="0"/>
    <n v="269.97000000000003"/>
    <s v="Google Pay"/>
    <x v="0"/>
    <s v="fulfilled"/>
    <s v="Germany"/>
    <m/>
    <s v="Not Required"/>
    <s v="Andreahaven"/>
  </r>
  <r>
    <s v="#2125"/>
    <d v="2026-08-04T13:53:27"/>
    <d v="2026-08-04T13:53:27"/>
    <s v="Rebecca Watts"/>
    <x v="0"/>
    <s v="rebecca.watts779@gmail.com"/>
    <s v="Wireless Bluetooth Earbuds"/>
    <s v="Electronics"/>
    <s v="ELC-WBE-01"/>
    <n v="2"/>
    <n v="29.99"/>
    <m/>
    <s v="$0.00"/>
    <n v="4.99"/>
    <n v="64.97"/>
    <s v="Credit Card"/>
    <x v="2"/>
    <s v="refunded"/>
    <s v="United States"/>
    <s v="Ohio"/>
    <s v="Valid"/>
    <s v="Cummingsburgh"/>
  </r>
  <r>
    <s v="#2126"/>
    <d v="2026-08-04T13:53:33"/>
    <d v="2026-08-04T13:53:33"/>
    <s v="Jacqueline Miller"/>
    <x v="0"/>
    <s v="jacqueline.miller687@yahoo.com"/>
    <s v="Facial Cleanser 200ml"/>
    <s v="Beauty"/>
    <s v="BTY-CLN-200"/>
    <n v="1"/>
    <n v="13.49"/>
    <m/>
    <n v="0"/>
    <n v="4.99"/>
    <n v="18.48"/>
    <s v="Credit Card"/>
    <x v="0"/>
    <s v="fulfilled"/>
    <s v="Canada"/>
    <m/>
    <s v="Not Required"/>
    <s v="Kelseyland"/>
  </r>
  <r>
    <s v="#2127"/>
    <d v="2026-08-04T13:56:27"/>
    <d v="2026-08-04T13:56:27"/>
    <s v="Brittney Thomas"/>
    <x v="0"/>
    <s v="brittney.thomas484@gmail.com"/>
    <s v="Yoga Mat - Extra Thick"/>
    <s v="Sports &amp; Outdoors"/>
    <s v="SP-YGM-EX"/>
    <n v="1"/>
    <n v="22.99"/>
    <m/>
    <n v="0"/>
    <n v="4.99"/>
    <n v="27.98"/>
    <s v="Shopify Payments"/>
    <x v="0"/>
    <s v="fulfilled"/>
    <s v="United States"/>
    <s v="Ohio"/>
    <s v="Valid"/>
    <s v="West Stephanieberg"/>
  </r>
  <r>
    <s v="#2128"/>
    <d v="2026-08-04T14:01:22"/>
    <d v="2026-08-04T14:01:22"/>
    <s v="David Duke"/>
    <x v="0"/>
    <s v="david.duke814@icloud.com"/>
    <s v="Yoga Mat - Extra Thick"/>
    <s v="Sports &amp; Outdoors"/>
    <s v="SP-YGM-EX"/>
    <n v="1"/>
    <n v="22.99"/>
    <m/>
    <n v="0"/>
    <n v="7.99"/>
    <n v="30.98"/>
    <s v="Shopify Payments"/>
    <x v="3"/>
    <s v="cancelled"/>
    <s v="United States"/>
    <s v="Georgia"/>
    <s v="Valid"/>
    <s v="Adamsshire"/>
  </r>
  <r>
    <s v="#2129"/>
    <d v="2026-08-04T14:03:46"/>
    <d v="2026-08-04T14:03:46"/>
    <s v="Sarah Williams"/>
    <x v="0"/>
    <s v="sarah.williams329@icloud.com"/>
    <s v="Wireless Mouse"/>
    <s v="Electronics"/>
    <s v="ELC-MSE-WL"/>
    <n v="1"/>
    <n v="11.99"/>
    <s v="SAVE20"/>
    <n v="2.4"/>
    <n v="5.99"/>
    <n v="15.58"/>
    <s v="Google Pay"/>
    <x v="0"/>
    <s v="fulfilled"/>
    <s v="Canada"/>
    <m/>
    <s v="Not Required"/>
    <s v="East Regina"/>
  </r>
  <r>
    <s v="#2131"/>
    <d v="2026-08-04T14:05:49"/>
    <d v="2026-08-04T14:05:49"/>
    <s v="Amanda Rodriguez"/>
    <x v="0"/>
    <s v="amanda.rodriguez770@yahoo.com"/>
    <s v="Leather Wallet - Brown"/>
    <s v="Accessories"/>
    <s v="ACC-WLT-BRN"/>
    <n v="1"/>
    <n v="19.989999999999998"/>
    <s v="SAVE20"/>
    <n v="4"/>
    <n v="5.99"/>
    <n v="21.98"/>
    <s v="Apple Pay"/>
    <x v="0"/>
    <s v="refunded"/>
    <s v="United States"/>
    <s v="Washington"/>
    <s v="Valid"/>
    <s v="New Cynthia"/>
  </r>
  <r>
    <s v="#2132"/>
    <d v="2026-08-04T00:00:00"/>
    <s v="04-08-2026 14:03"/>
    <s v="Albert Salazar"/>
    <x v="0"/>
    <s v="albert.salazar398@outlook.com"/>
    <s v="Stainless Steel Water Bottle"/>
    <s v="Home &amp; Kitchen"/>
    <s v="HK-BTL-750"/>
    <n v="1"/>
    <n v="12.99"/>
    <s v="WELCOME10"/>
    <n v="1.3"/>
    <n v="7.99"/>
    <n v="19.68"/>
    <s v="Shopify Payments"/>
    <x v="1"/>
    <s v="fulfilled"/>
    <s v="United States"/>
    <s v="NY"/>
    <s v="Valid"/>
    <s v="New Troy"/>
  </r>
  <r>
    <s v="#2133"/>
    <d v="2026-08-04T14:04:08"/>
    <d v="2026-08-04T14:04:08"/>
    <s v="David Pierce"/>
    <x v="0"/>
    <s v="david.pierce107@outlook.com"/>
    <s v="Classic Cotton T Shirt"/>
    <s v="Apparel"/>
    <s v="TSH-BLK-L"/>
    <n v="1"/>
    <n v="14.99"/>
    <m/>
    <n v="0"/>
    <n v="5.99"/>
    <n v="20.98"/>
    <s v="PayPal"/>
    <x v="0"/>
    <s v="fulfilled"/>
    <s v="Germany"/>
    <m/>
    <s v="Not Required"/>
    <s v="West Randy"/>
  </r>
  <r>
    <s v="#2134"/>
    <d v="2026-08-04T14:03:16"/>
    <d v="2026-08-04T14:03:16"/>
    <s v="Chad Smith"/>
    <x v="0"/>
    <s v="chad.smith773@icloud.com"/>
    <s v="Throw Blanket - Fleece"/>
    <s v="Home &amp; Kitchen"/>
    <s v="HK-BLK-FLC"/>
    <n v="3"/>
    <n v="17.989999999999998"/>
    <m/>
    <n v="0"/>
    <n v="7.99"/>
    <n v="61.96"/>
    <s v="Shopify Payments"/>
    <x v="0"/>
    <s v="refunded"/>
    <s v="Pakistan"/>
    <m/>
    <s v="Not Required"/>
    <s v="North Samantha"/>
  </r>
  <r>
    <s v="#2135"/>
    <d v="2026-08-04T14:00:03"/>
    <d v="2026-08-04T14:00:03"/>
    <s v="Sandra Potter"/>
    <x v="0"/>
    <s v="sandra.potter166@yahoo.com"/>
    <s v="Classic Cotton T-Shirt"/>
    <s v="Apparel"/>
    <s v="TSH-BLK-M"/>
    <n v="1"/>
    <n v="14.99"/>
    <s v="WELCOME10"/>
    <n v="1.5"/>
    <n v="7.99"/>
    <n v="21.48"/>
    <s v="Shopify Payments"/>
    <x v="0"/>
    <s v="pending"/>
    <s v="United States"/>
    <s v="Illinois"/>
    <s v="Valid"/>
    <s v="East Julian"/>
  </r>
  <r>
    <s v="#2136"/>
    <d v="2026-08-04T14:05:39"/>
    <d v="2026-08-04T14:05:39"/>
    <s v="Tina Crane"/>
    <x v="0"/>
    <s v="tina.crane554@gmail.com"/>
    <s v="Slim Fit Denim Jeans"/>
    <s v="Apparel"/>
    <s v="JNS-BLU-32"/>
    <n v="2"/>
    <n v="39.99"/>
    <s v="WELCOME10"/>
    <n v="8"/>
    <n v="0"/>
    <n v="71.98"/>
    <s v="Google Pay"/>
    <x v="1"/>
    <s v="pending"/>
    <s v="United Kingdom"/>
    <m/>
    <s v="Not Required"/>
    <s v="Campbellport"/>
  </r>
  <r>
    <s v="#2137"/>
    <d v="2026-08-04T14:07:33"/>
    <d v="2026-08-04T14:07:33"/>
    <s v="Nicole Taylor"/>
    <x v="0"/>
    <s v="nicole.taylor607@icloud.com"/>
    <s v="Stainless Steel Water Bottle"/>
    <s v="Home &amp; Kitchen"/>
    <s v="HK-BTL-750"/>
    <n v="1"/>
    <n v="12.99"/>
    <s v="BFCM25"/>
    <n v="3.25"/>
    <n v="7.99"/>
    <n v="17.73"/>
    <s v="PayPal"/>
    <x v="2"/>
    <s v="fulfilled"/>
    <s v="United States"/>
    <s v="California"/>
    <s v="Valid"/>
    <s v="Hornstad"/>
  </r>
  <r>
    <s v="#2138"/>
    <d v="2026-08-04T13:57:20"/>
    <d v="2026-08-04T13:57:20"/>
    <s v="TINA SINGH"/>
    <x v="0"/>
    <s v="tina.singh98@icloud.com"/>
    <s v="Stainless Steel Water Bottle"/>
    <s v="Home &amp; Kitchen"/>
    <s v="HK-BTL-750"/>
    <n v="1"/>
    <n v="12.99"/>
    <m/>
    <n v="0"/>
    <n v="5.99"/>
    <n v="18.98"/>
    <s v="Credit Card"/>
    <x v="0"/>
    <s v="pending"/>
    <s v="United States"/>
    <s v="Georgia"/>
    <s v="Valid"/>
    <s v="West Lucastown"/>
  </r>
  <r>
    <s v="#2139"/>
    <d v="2026-08-04T14:06:35"/>
    <d v="2026-08-04T14:06:35"/>
    <s v="Jaime Vargas"/>
    <x v="0"/>
    <s v="jaime.vargas795@outlook.com"/>
    <s v="Throw Blanket - Fleece"/>
    <s v="Home &amp; Kitchen"/>
    <s v="HK-BLK-FLC"/>
    <n v="1"/>
    <n v="17.989999999999998"/>
    <s v="BFCM25"/>
    <n v="4.5"/>
    <n v="4.99"/>
    <n v="18.48"/>
    <s v="Google Pay"/>
    <x v="2"/>
    <s v="fulfilled"/>
    <s v="United Kingdom"/>
    <m/>
    <s v="Not Required"/>
    <s v="North Anneton"/>
  </r>
  <r>
    <s v="#2140"/>
    <d v="2026-08-04T14:02:00"/>
    <d v="2026-08-04T14:02:00"/>
    <s v="Brittney Conway"/>
    <x v="0"/>
    <s v="brittney.conway383@outlook.com"/>
    <s v="Ceramic Coffee Mug Set (4pc)"/>
    <s v="Home &amp; Kitchen"/>
    <s v="HK-MUG-4PK"/>
    <n v="1"/>
    <n v="18.989999999999998"/>
    <m/>
    <n v="0"/>
    <n v="7.99"/>
    <n v="26.98"/>
    <s v="PayPal"/>
    <x v="1"/>
    <s v="cancelled"/>
    <s v="United States"/>
    <s v="Washington"/>
    <s v="Valid"/>
    <s v="Petersberg"/>
  </r>
  <r>
    <s v="#2141"/>
    <d v="2026-08-04T13:57:23"/>
    <d v="2026-08-04T13:57:23"/>
    <s v="Kenneth Davis"/>
    <x v="0"/>
    <s v="kenneth.davis106@yahoo.com"/>
    <s v="Classic Cotton T-Shirt"/>
    <s v="Apparel"/>
    <s v="TSH-BLK-L"/>
    <n v="2"/>
    <n v="14.99"/>
    <s v="WELCOME10"/>
    <n v="3"/>
    <n v="7.99"/>
    <s v="$34.97"/>
    <s v="Apple Pay"/>
    <x v="0"/>
    <s v="pending"/>
    <s v="United States"/>
    <s v="Ohio"/>
    <s v="Valid"/>
    <s v="West Laurahaven"/>
  </r>
  <r>
    <s v="#2142"/>
    <d v="2026-08-04T14:02:09"/>
    <d v="2026-08-04T14:02:09"/>
    <s v="Megan Herman"/>
    <x v="0"/>
    <s v="megan.herman268@yahoo.com"/>
    <s v="Throw Blanket - Fleece"/>
    <s v="Home &amp; Kitchen"/>
    <s v="HK-BLK-FLC"/>
    <n v="1"/>
    <n v="17.989999999999998"/>
    <m/>
    <n v="0"/>
    <n v="7.99"/>
    <n v="25.98"/>
    <s v="PayPal"/>
    <x v="3"/>
    <s v="fulfilled"/>
    <s v="United States"/>
    <s v="OH"/>
    <s v="Valid"/>
    <s v="Heatherbury"/>
  </r>
  <r>
    <s v="#2143"/>
    <d v="2026-08-04T14:06:54"/>
    <d v="2026-08-04T14:06:54"/>
    <s v="Daniel Parsons"/>
    <x v="0"/>
    <s v="daniel.parsons636@gmail.com"/>
    <s v="Running Shoes - Men's"/>
    <s v="Footwear"/>
    <s v="FTW-RUN-M"/>
    <n v="2"/>
    <n v="54.99"/>
    <s v="FREESHIP"/>
    <n v="0"/>
    <n v="0"/>
    <s v="$109.98"/>
    <s v="Apple Pay"/>
    <x v="1"/>
    <s v="fulfilled"/>
    <s v="United States"/>
    <s v="NY"/>
    <s v="Valid"/>
    <s v="Sanchezmouth"/>
  </r>
  <r>
    <s v="#2144"/>
    <d v="2026-08-04T13:57:05"/>
    <d v="2026-08-04T13:57:05"/>
    <s v="Alan Davis"/>
    <x v="0"/>
    <s v="alan.davis483@icloud.com"/>
    <s v="Non-Stick Frying Pan 10in"/>
    <s v="Home &amp; Kitchen"/>
    <s v="HK-PAN-10"/>
    <n v="1"/>
    <n v="24.99"/>
    <m/>
    <n v="0"/>
    <n v="4.99"/>
    <s v="$29.98"/>
    <s v="Credit Card"/>
    <x v="2"/>
    <s v="cancelled"/>
    <s v="Canada"/>
    <m/>
    <s v="Not Required"/>
    <s v="East Margaret"/>
  </r>
  <r>
    <s v="#2145"/>
    <d v="2026-08-04T13:56:00"/>
    <d v="2026-08-04T13:56:00"/>
    <s v="Joshua Miller"/>
    <x v="0"/>
    <s v="joshua.miller362@gmail.com"/>
    <s v="Classic Cotton T-Shirt"/>
    <s v="Apparel"/>
    <s v="TSH-BLK-L"/>
    <n v="1"/>
    <n v="14.99"/>
    <s v="SAVE20"/>
    <n v="3"/>
    <n v="4.99"/>
    <n v="16.98"/>
    <s v="Shopify Payments"/>
    <x v="0"/>
    <s v="cancelled"/>
    <s v="Canada"/>
    <m/>
    <s v="Not Required"/>
    <s v="Freemanville"/>
  </r>
  <r>
    <s v="#2146"/>
    <d v="2026-08-04T13:56:17"/>
    <d v="2026-08-04T13:56:17"/>
    <s v="Nancy Nichols"/>
    <x v="0"/>
    <s v="nancy.nichols189@yahoo.com"/>
    <s v="Stainless Steel Water Bottle"/>
    <s v="Home &amp; Kitchen"/>
    <s v="HK-BTL-750"/>
    <n v="2"/>
    <n v="12.99"/>
    <m/>
    <n v="0"/>
    <n v="5.99"/>
    <n v="31.97"/>
    <s v="PayPal"/>
    <x v="2"/>
    <s v="pending"/>
    <s v="United States"/>
    <s v="Illinois"/>
    <s v="Valid"/>
    <s v="Port Sarah"/>
  </r>
  <r>
    <s v="#2147"/>
    <d v="2026-08-04T13:54:27"/>
    <d v="2026-08-04T13:54:27"/>
    <s v="Seth Price"/>
    <x v="0"/>
    <s v="seth.price179@gmail.com"/>
    <s v="Slim Fit Denim Jeans"/>
    <s v="Apparel"/>
    <s v="JNS-BLU-32"/>
    <n v="1"/>
    <n v="39.99"/>
    <s v="FREESHIP"/>
    <n v="0"/>
    <n v="0"/>
    <n v="39.99"/>
    <s v="Shopify Payments"/>
    <x v="0"/>
    <s v="fulfilled"/>
    <s v="United States"/>
    <s v="California"/>
    <s v="Valid"/>
    <s v="East Reneeborough"/>
  </r>
  <r>
    <s v="#2148"/>
    <d v="2026-08-04T13:58:26"/>
    <d v="2026-08-04T13:58:26"/>
    <s v="  Jane Gregory"/>
    <x v="0"/>
    <s v="jane.gregory935@icloud.com"/>
    <s v="Classic Cotton T-Shirt"/>
    <s v="Apparel"/>
    <s v="TSH-BLK-M"/>
    <n v="1"/>
    <n v="14.99"/>
    <s v="FREESHIP"/>
    <n v="0"/>
    <n v="0"/>
    <n v="14.99"/>
    <s v="PayPal"/>
    <x v="0"/>
    <s v="refunded"/>
    <s v="Germany"/>
    <m/>
    <s v="Not Required"/>
    <s v="Lake Cynthia"/>
  </r>
  <r>
    <s v="#2149"/>
    <d v="2026-08-04T00:00:00"/>
    <s v="04-08-2026 13:59"/>
    <s v="Andrea Martinez"/>
    <x v="0"/>
    <s v="andrea.martinez756@yahoo.com"/>
    <s v="Hooded Sweatshirt"/>
    <s v="Apparel"/>
    <s v="APR-HOD-GRY"/>
    <n v="1"/>
    <s v="$34.99"/>
    <s v="FREESHIP"/>
    <n v="0"/>
    <n v="0"/>
    <n v="34.99"/>
    <s v="Shopify Payments"/>
    <x v="1"/>
    <s v="fulfilled"/>
    <s v="Australia"/>
    <m/>
    <s v="Not Required"/>
    <s v="Hillmouth"/>
  </r>
  <r>
    <s v="#2150"/>
    <d v="2026-08-04T14:00:43"/>
    <d v="2026-08-04T14:00:43"/>
    <s v="Timothy Hodges"/>
    <x v="0"/>
    <s v="timothy.hodges687@icloud.com"/>
    <s v="USB C Fast Charger 20W"/>
    <s v="Electronics"/>
    <s v="ELC-CHG-20"/>
    <n v="2"/>
    <n v="15.49"/>
    <m/>
    <n v="0"/>
    <n v="7.99"/>
    <n v="38.97"/>
    <s v="Apple Pay"/>
    <x v="1"/>
    <s v="cancelled"/>
    <s v="Australia"/>
    <m/>
    <s v="Not Required"/>
    <s v="East Kimberlyborough"/>
  </r>
  <r>
    <s v="#2151"/>
    <d v="2026-08-04T14:08:25"/>
    <d v="2026-08-04T14:08:25"/>
    <s v="Marcus Sloan"/>
    <x v="0"/>
    <s v="marcus.sloan49@icloud.com"/>
    <s v="Phone Case - Clear"/>
    <s v="Electronics"/>
    <s v="ELC-CSE-CLR"/>
    <n v="1"/>
    <n v="8.99"/>
    <s v="WELCOME10"/>
    <n v="0.9"/>
    <n v="4.99"/>
    <n v="13.08"/>
    <s v="Google Pay"/>
    <x v="1"/>
    <s v="fulfilled"/>
    <s v="United States"/>
    <s v="North Carolina"/>
    <s v="Valid"/>
    <s v="Woodardton"/>
  </r>
  <r>
    <s v="#2152"/>
    <d v="2026-08-04T13:56:15"/>
    <d v="2026-08-04T13:56:15"/>
    <s v="Sara Hernandez"/>
    <x v="1"/>
    <m/>
    <s v="Kids Building Blocks Set"/>
    <s v="Toys"/>
    <s v="TOY-BLK-SET"/>
    <n v="1"/>
    <n v="27.99"/>
    <m/>
    <n v="0"/>
    <n v="5.99"/>
    <n v="33.979999999999997"/>
    <s v="Credit Card"/>
    <x v="1"/>
    <s v="fulfilled"/>
    <s v="United States"/>
    <s v="Florida"/>
    <s v="Valid"/>
    <s v="Jasonchester"/>
  </r>
  <r>
    <s v="#2153"/>
    <d v="2026-08-04T13:58:18"/>
    <d v="2026-08-04T13:58:18"/>
    <s v="Gerald Li"/>
    <x v="1"/>
    <m/>
    <s v="Phone Case - Clear"/>
    <s v="Electronics"/>
    <s v="ELC-CSE-CLR"/>
    <n v="1"/>
    <n v="8.99"/>
    <s v="FREESHIP"/>
    <n v="0"/>
    <n v="0"/>
    <n v="8.99"/>
    <s v="Shopify Payments"/>
    <x v="0"/>
    <s v="fulfilled"/>
    <s v="United States"/>
    <s v="Ohio"/>
    <s v="Valid"/>
    <s v="Lewisland"/>
  </r>
  <r>
    <s v="#2154"/>
    <d v="2026-08-04T13:54:47"/>
    <d v="2026-08-04T13:54:47"/>
    <s v="Elizabeth Johnston"/>
    <x v="0"/>
    <s v="elizabeth.johnston946@gmail.com"/>
    <s v="Facial Cleanser 200ml"/>
    <s v="Beauty"/>
    <s v="BTY-CLN-200"/>
    <n v="2"/>
    <n v="13.49"/>
    <m/>
    <n v="0"/>
    <n v="4.99"/>
    <n v="31.97"/>
    <s v="PayPal"/>
    <x v="0"/>
    <s v="fulfilled"/>
    <s v="United Kingdom"/>
    <m/>
    <s v="Not Required"/>
    <s v="Christymouth"/>
  </r>
  <r>
    <s v="#2155"/>
    <d v="2026-08-04T14:01:49"/>
    <d v="2026-08-04T14:01:49"/>
    <s v="Christopher Lopez"/>
    <x v="1"/>
    <m/>
    <s v="Leather Wallet - Brown"/>
    <s v="Accessories"/>
    <s v="ACC-WLT-BRN"/>
    <n v="2"/>
    <n v="19.989999999999998"/>
    <s v="BFCM25"/>
    <n v="9.99"/>
    <n v="7.99"/>
    <n v="37.979999999999997"/>
    <s v="Shopify Payments"/>
    <x v="1"/>
    <s v="cancelled"/>
    <s v="Pakistan"/>
    <m/>
    <s v="Not Required"/>
    <s v="New Annamouth"/>
  </r>
  <r>
    <s v="#2156"/>
    <d v="2026-08-04T14:03:35"/>
    <d v="2026-08-04T14:03:35"/>
    <s v="Alan Davis"/>
    <x v="0"/>
    <s v="alan.davis483@icloud.com"/>
    <s v="Throw Blanket - Fleece"/>
    <s v="Home &amp; Kitchen"/>
    <s v="HK-BLK-FLC"/>
    <n v="1"/>
    <n v="17.989999999999998"/>
    <s v="FREESHIP"/>
    <n v="0"/>
    <n v="0"/>
    <n v="17.989999999999998"/>
    <s v="Credit Card"/>
    <x v="2"/>
    <s v="pending"/>
    <s v="Canada"/>
    <m/>
    <s v="Not Required"/>
    <s v="East Melissastad"/>
  </r>
  <r>
    <s v="#2157"/>
    <d v="2026-08-04T14:05:11"/>
    <d v="2026-08-04T14:05:11"/>
    <s v="Tasha Morales"/>
    <x v="1"/>
    <m/>
    <s v="Scented Soy Candle - Vanilla"/>
    <s v="Home &amp; Kitchen"/>
    <s v="HK-CND-VAN"/>
    <n v="2"/>
    <n v="9.99"/>
    <s v="FREESHIP"/>
    <n v="0"/>
    <n v="0"/>
    <n v="19.98"/>
    <s v="Shopify Payments"/>
    <x v="0"/>
    <s v="fulfilled"/>
    <s v="United States"/>
    <s v="North Carolina"/>
    <s v="Valid"/>
    <s v="East James"/>
  </r>
  <r>
    <s v="#2158"/>
    <d v="2026-08-04T13:59:54"/>
    <d v="2026-08-04T13:59:54"/>
    <s v="Eric Bailey"/>
    <x v="0"/>
    <s v="eric.bailey970@yahoo.com"/>
    <s v="Ceramic Coffee Mug Set (4pc)"/>
    <s v="Home &amp; Kitchen"/>
    <s v="HK-MUG-4PK"/>
    <n v="2"/>
    <n v="18.989999999999998"/>
    <m/>
    <n v="0"/>
    <n v="7.99"/>
    <n v="45.97"/>
    <s v="Shopify Payments"/>
    <x v="1"/>
    <s v="refunded"/>
    <s v="United Kingdom"/>
    <m/>
    <s v="Not Required"/>
    <s v="Lake Charles"/>
  </r>
  <r>
    <s v="#2159"/>
    <d v="2026-08-04T13:59:37"/>
    <d v="2026-08-04T13:59:37"/>
    <s v="Angela Rose"/>
    <x v="0"/>
    <s v="angela.rose740@outlook.com"/>
    <s v="Non-Stick Frying Pan 10in"/>
    <s v="Home &amp; Kitchen"/>
    <s v="HK-PAN-10"/>
    <n v="1"/>
    <n v="24.99"/>
    <m/>
    <n v="0"/>
    <n v="4.99"/>
    <n v="29.98"/>
    <s v="Shopify Payments"/>
    <x v="1"/>
    <s v="fulfilled"/>
    <s v="United States"/>
    <s v="Georgia"/>
    <s v="Valid"/>
    <s v="Lake Jameston"/>
  </r>
  <r>
    <s v="#2160"/>
    <d v="2026-04-08T00:00:00"/>
    <s v="08/04/2026"/>
    <s v="Andrew Jones"/>
    <x v="0"/>
    <s v="andrew.jones338@icloud.com"/>
    <s v="Kids Building Blocks Set"/>
    <s v="Toys"/>
    <s v="TOY-BLK-SET"/>
    <n v="1"/>
    <n v="27.99"/>
    <s v="FREESHIP"/>
    <n v="0"/>
    <n v="0"/>
    <s v="$27.99"/>
    <s v="Apple Pay"/>
    <x v="1"/>
    <s v="fulfilled"/>
    <s v="United Kingdom"/>
    <m/>
    <s v="Not Required"/>
    <s v="West Angelafurt"/>
  </r>
  <r>
    <s v="#2161"/>
    <d v="2026-08-04T13:57:22"/>
    <d v="2026-08-04T13:57:22"/>
    <s v="Victoria Wilson"/>
    <x v="0"/>
    <s v="victoria.wilson114@gmail.com"/>
    <s v="Non Stick Frying Pan 10in"/>
    <s v="Home &amp; Kitchen"/>
    <s v="HK-PAN-10"/>
    <n v="1"/>
    <n v="24.99"/>
    <m/>
    <n v="0"/>
    <n v="5.99"/>
    <n v="30.98"/>
    <s v="Google Pay"/>
    <x v="2"/>
    <s v="fulfilled"/>
    <s v="Canada"/>
    <m/>
    <s v="Not Required"/>
    <s v="West Austin"/>
  </r>
  <r>
    <s v="#2162"/>
    <d v="2026-08-04T13:55:46"/>
    <d v="2026-08-04T13:55:46"/>
    <s v="Anthony Krueger"/>
    <x v="0"/>
    <s v="anthony.krueger812@yahoo.com"/>
    <s v="Non-Stick Frying Pan 10in"/>
    <s v="Home &amp; Kitchen"/>
    <s v="HK-PAN-10"/>
    <n v="2"/>
    <n v="24.99"/>
    <s v="SAVE20"/>
    <n v="10"/>
    <n v="5.99"/>
    <n v="45.97"/>
    <s v="Shopify Payments"/>
    <x v="3"/>
    <s v="fulfilled"/>
    <s v="Pakistan"/>
    <m/>
    <s v="Not Required"/>
    <s v="Joditon"/>
  </r>
  <r>
    <s v="#2163"/>
    <d v="2026-08-04T14:04:35"/>
    <d v="2026-08-04T14:04:35"/>
    <s v="Jaime Vargas"/>
    <x v="0"/>
    <s v="jaime.vargas795@outlook.com"/>
    <s v="Wireless Bluetooth Earbuds"/>
    <s v="Electronics"/>
    <s v="ELC-WBE-01"/>
    <n v="2"/>
    <n v="29.99"/>
    <m/>
    <n v="0"/>
    <n v="5.99"/>
    <n v="65.97"/>
    <s v="Apple Pay"/>
    <x v="0"/>
    <s v="fulfilled"/>
    <s v="United Kingdom"/>
    <m/>
    <s v="Not Required"/>
    <s v="Kimhaven"/>
  </r>
  <r>
    <s v="#2164"/>
    <d v="2026-08-04T13:53:37"/>
    <d v="2026-08-04T13:53:37"/>
    <s v="Philip Stevens"/>
    <x v="0"/>
    <s v="philip.stevens908@outlook.com"/>
    <s v="USB-C Fast Charger 20W"/>
    <s v="Electronics"/>
    <s v="ELC-CHG-20"/>
    <n v="2"/>
    <n v="15.49"/>
    <s v="SAVE20"/>
    <n v="6.2"/>
    <n v="4.99"/>
    <n v="29.77"/>
    <s v="Credit Card"/>
    <x v="1"/>
    <s v="fulfilled"/>
    <s v="United States"/>
    <s v="North Carolina"/>
    <s v="Valid"/>
    <s v="Smithmouth"/>
  </r>
  <r>
    <s v="#2165"/>
    <d v="2026-08-04T13:56:35"/>
    <d v="2026-08-04T13:56:35"/>
    <s v="Debbie Joseph"/>
    <x v="0"/>
    <s v="debbie.joseph531@outlook.com"/>
    <s v="Adjustable Dumbbell Set"/>
    <s v="Sports &amp; Outdoors"/>
    <s v="SP-DMB-ADJ"/>
    <n v="1"/>
    <n v="89.99"/>
    <m/>
    <n v="0"/>
    <n v="0"/>
    <n v="89.99"/>
    <s v="Google Pay"/>
    <x v="1"/>
    <s v="fulfilled"/>
    <s v="United States"/>
    <s v="California"/>
    <s v="Valid"/>
    <s v="Johnsonborough"/>
  </r>
  <r>
    <s v="#2166"/>
    <d v="2026-08-04T13:59:17"/>
    <d v="2026-08-04T13:59:17"/>
    <s v="George Green"/>
    <x v="0"/>
    <s v="george.green694@icloud.com"/>
    <s v="Kids Building Blocks Set"/>
    <s v="Toys"/>
    <s v="TOY-BLK-SET"/>
    <n v="3"/>
    <n v="27.99"/>
    <m/>
    <n v="0"/>
    <n v="0"/>
    <n v="83.97"/>
    <s v="Google Pay"/>
    <x v="2"/>
    <s v="fulfilled"/>
    <s v="United States"/>
    <s v="FL"/>
    <s v="Valid"/>
    <s v="South Christy"/>
  </r>
  <r>
    <s v="#2167"/>
    <d v="2026-08-04T13:58:27"/>
    <d v="2026-08-04T13:58:27"/>
    <s v="Donald Davis"/>
    <x v="0"/>
    <s v="donald.davis404@icloud.com"/>
    <s v="Wireless Mouse"/>
    <s v="Electronics"/>
    <s v="ELC-MSE-WL"/>
    <n v="1"/>
    <n v="11.99"/>
    <m/>
    <n v="0"/>
    <n v="5.99"/>
    <n v="17.98"/>
    <s v="PayPal"/>
    <x v="0"/>
    <s v="cancelled"/>
    <s v="Canada"/>
    <m/>
    <s v="Not Required"/>
    <s v="Salasfurt"/>
  </r>
  <r>
    <s v="#2168"/>
    <d v="2026-08-04T13:53:39"/>
    <d v="2026-08-04T13:53:39"/>
    <s v="Anthony Patterson"/>
    <x v="1"/>
    <m/>
    <s v="Classic Cotton T-Shirt"/>
    <s v="Apparel"/>
    <s v="TSH-BLK-L"/>
    <n v="1"/>
    <s v="$14.99"/>
    <s v="VIP15"/>
    <n v="2.25"/>
    <n v="7.99"/>
    <n v="20.73"/>
    <s v="Google Pay"/>
    <x v="0"/>
    <s v="fulfilled"/>
    <s v="Pakistan"/>
    <m/>
    <s v="Not Required"/>
    <s v="Gailmouth"/>
  </r>
  <r>
    <s v="#2169"/>
    <d v="2026-08-04T14:04:08"/>
    <d v="2026-08-04T14:04:08"/>
    <s v="William Houston"/>
    <x v="0"/>
    <s v="william.houston340@outlook.com"/>
    <s v="Slim Fit Denim Jeans"/>
    <s v="Apparel"/>
    <s v="JNS-BLU-32"/>
    <n v="1"/>
    <n v="39.99"/>
    <m/>
    <n v="0"/>
    <n v="5.99"/>
    <n v="45.98"/>
    <s v="PayPal"/>
    <x v="2"/>
    <s v="pending"/>
    <s v="United States"/>
    <s v="Arizona"/>
    <s v="Valid"/>
    <s v="West Emilyview"/>
  </r>
  <r>
    <s v="#2170"/>
    <d v="2026-04-08T00:00:00"/>
    <s v="08/04/2026"/>
    <s v="Jaime Vargas"/>
    <x v="1"/>
    <m/>
    <s v="Ceramic Coffee Mug Set (4pc)"/>
    <s v="Home &amp; Kitchen"/>
    <s v="HK-MUG-4PK"/>
    <n v="1"/>
    <n v="18.989999999999998"/>
    <s v="WELCOME10"/>
    <n v="1.9"/>
    <n v="7.99"/>
    <n v="25.08"/>
    <s v="Apple Pay"/>
    <x v="0"/>
    <s v="cancelled"/>
    <s v="United Kingdom"/>
    <m/>
    <s v="Not Required"/>
    <s v="Thompsonbury"/>
  </r>
  <r>
    <s v="#2171"/>
    <d v="2026-08-04T14:07:49"/>
    <d v="2026-08-04T14:07:49"/>
    <s v="Maria Patterson"/>
    <x v="0"/>
    <s v="maria.patterson62@icloud.com"/>
    <s v="Facial Cleanser 200ml"/>
    <s v="Beauty"/>
    <s v="BTY-CLN-200"/>
    <n v="1"/>
    <s v="$13.49"/>
    <s v="WELCOME10"/>
    <n v="1.35"/>
    <n v="4.99"/>
    <n v="17.13"/>
    <s v="PayPal"/>
    <x v="0"/>
    <s v="cancelled"/>
    <s v="United States"/>
    <s v="Arizona"/>
    <s v="Valid"/>
    <s v="West Steven"/>
  </r>
  <r>
    <s v="#2172"/>
    <d v="2026-08-04T13:53:46"/>
    <d v="2026-08-04T13:53:46"/>
    <s v="Natalie Dixon"/>
    <x v="0"/>
    <s v="natalie.dixon388@outlook.com"/>
    <s v="Phone Case - Clear"/>
    <s v="Electronics"/>
    <s v="ELC-CSE-CLR"/>
    <n v="1"/>
    <n v="8.99"/>
    <s v="FREESHIP"/>
    <n v="0"/>
    <n v="0"/>
    <n v="8.99"/>
    <s v="Google Pay"/>
    <x v="0"/>
    <s v="fulfilled"/>
    <s v="United States"/>
    <s v="North Carolina"/>
    <s v="Valid"/>
    <s v="Bushberg"/>
  </r>
  <r>
    <s v="#2173"/>
    <d v="2026-08-04T13:54:21"/>
    <d v="2026-08-04T13:54:21"/>
    <s v="Courtney Bullock"/>
    <x v="0"/>
    <s v="courtney.bullock860@outlook.com"/>
    <s v="Throw Blanket - Fleece"/>
    <s v="Home &amp; Kitchen"/>
    <s v="HK-BLK-FLC"/>
    <n v="1"/>
    <n v="17.989999999999998"/>
    <s v="VIP15"/>
    <n v="2.7"/>
    <n v="4.99"/>
    <n v="20.28"/>
    <s v="Google Pay"/>
    <x v="3"/>
    <s v="fulfilled"/>
    <s v="United Kingdom"/>
    <m/>
    <s v="Not Required"/>
    <s v="Tracyshire"/>
  </r>
  <r>
    <s v="#2174"/>
    <d v="2026-08-04T13:57:18"/>
    <d v="2026-08-04T13:57:18"/>
    <s v="Ronald Johnson"/>
    <x v="0"/>
    <s v="ronald.johnson972@icloud.com"/>
    <s v="Hooded Sweatshirt"/>
    <s v="Apparel"/>
    <s v="APR-HOD-GRY"/>
    <n v="1"/>
    <n v="34.99"/>
    <m/>
    <n v="0"/>
    <n v="4.99"/>
    <n v="39.979999999999997"/>
    <s v="Credit Card"/>
    <x v="1"/>
    <s v="pending"/>
    <s v="Germany"/>
    <m/>
    <s v="Not Required"/>
    <s v="Port Devinstad"/>
  </r>
  <r>
    <s v="#2175"/>
    <d v="2026-08-04T14:02:10"/>
    <d v="2026-08-04T14:02:10"/>
    <s v="Samuel Lee"/>
    <x v="1"/>
    <m/>
    <s v="USB-C Fast Charger 20W"/>
    <s v="Electronics"/>
    <s v="ELC-CHG-20"/>
    <n v="2"/>
    <n v="15.49"/>
    <s v="FREESHIP"/>
    <n v="0"/>
    <n v="0"/>
    <n v="30.98"/>
    <s v="Shopify Payments"/>
    <x v="1"/>
    <s v="cancelled"/>
    <s v="Australia"/>
    <m/>
    <s v="Not Required"/>
    <s v="Welchberg"/>
  </r>
  <r>
    <s v="#2176"/>
    <d v="2026-08-04T00:00:00"/>
    <s v="Aug 04, 2026"/>
    <s v="joseph martin"/>
    <x v="0"/>
    <s v="joseph.martin348@icloud.com"/>
    <s v="Facial Cleanser 200ml"/>
    <s v="Beauty"/>
    <s v="BTY-CLN-200"/>
    <n v="1"/>
    <n v="13.49"/>
    <s v="VIP15"/>
    <n v="2.02"/>
    <n v="4.99"/>
    <n v="16.46"/>
    <s v="Credit Card"/>
    <x v="1"/>
    <s v="fulfilled"/>
    <s v="United States"/>
    <s v="Ohio"/>
    <s v="Valid"/>
    <s v="North Patrickbury"/>
  </r>
  <r>
    <s v="#2177"/>
    <d v="2026-08-04T14:05:25"/>
    <d v="2026-08-04T14:05:25"/>
    <s v="James Miller"/>
    <x v="0"/>
    <s v="james.miller866@yahoo.com"/>
    <s v="Wireless Bluetooth Earbuds"/>
    <s v="Electronics"/>
    <s v="ELC-WBE-01"/>
    <n v="1"/>
    <s v="$29.99"/>
    <m/>
    <n v="0"/>
    <n v="4.99"/>
    <n v="34.979999999999997"/>
    <s v="Apple Pay"/>
    <x v="0"/>
    <s v="fulfilled"/>
    <s v="Pakistan"/>
    <m/>
    <s v="Not Required"/>
    <s v="Clarkeland"/>
  </r>
  <r>
    <s v="#2178"/>
    <d v="2026-08-04T13:56:42"/>
    <d v="2026-08-04T13:56:42"/>
    <s v="Rebecca Watts"/>
    <x v="0"/>
    <s v="rebecca.watts779@gmail.com"/>
    <s v="Backpack - 25L"/>
    <s v="Accessories"/>
    <s v="ACC-BPK-25L"/>
    <n v="1"/>
    <n v="32.99"/>
    <s v="WELCOME10"/>
    <n v="3.3"/>
    <n v="5.99"/>
    <n v="35.68"/>
    <s v="Apple Pay"/>
    <x v="0"/>
    <s v="fulfilled"/>
    <s v="United States"/>
    <s v="Washington"/>
    <s v="Valid"/>
    <s v="Jasmineland"/>
  </r>
  <r>
    <s v="#2179"/>
    <d v="2026-08-04T13:58:31"/>
    <d v="2026-08-04T13:58:31"/>
    <s v="Andrea Martinez"/>
    <x v="0"/>
    <s v="andrea.martinez756@yahoo.com"/>
    <s v="Adjustable Dumbbell Set"/>
    <s v="Sports &amp; Outdoors"/>
    <s v="SP-DMB-ADJ"/>
    <n v="1"/>
    <n v="89.99"/>
    <s v="SAVE20"/>
    <n v="18"/>
    <n v="0"/>
    <n v="71.989999999999995"/>
    <s v="PayPal"/>
    <x v="1"/>
    <s v="fulfilled"/>
    <s v="Australia"/>
    <m/>
    <s v="Not Required"/>
    <s v="Danielsview"/>
  </r>
  <r>
    <s v="#2180"/>
    <d v="2026-08-04T13:59:05"/>
    <d v="2026-08-04T13:59:05"/>
    <s v="Autumn Stewart"/>
    <x v="0"/>
    <s v="autumn.stewart565@outlook.com"/>
    <s v="Classic Cotton T-Shirt"/>
    <s v="Apparel"/>
    <s v="TSH-BLK-L"/>
    <n v="3"/>
    <n v="14.99"/>
    <m/>
    <s v="$0.00"/>
    <n v="4.99"/>
    <n v="49.96"/>
    <s v="Shopify Payments"/>
    <x v="0"/>
    <s v="refunded"/>
    <s v="United Kingdom"/>
    <m/>
    <s v="Not Required"/>
    <s v="Taylorshire"/>
  </r>
  <r>
    <s v="#2181"/>
    <d v="2026-08-04T13:54:11"/>
    <d v="2026-08-04T13:54:11"/>
    <s v="VICKI JOHNSON"/>
    <x v="1"/>
    <m/>
    <s v="Backpack - 25L"/>
    <s v="Accessories"/>
    <s v="ACC-BPK-25L"/>
    <n v="2"/>
    <n v="32.99"/>
    <s v="VIP15"/>
    <n v="9.9"/>
    <n v="7.99"/>
    <n v="64.069999999999993"/>
    <s v="Google Pay"/>
    <x v="0"/>
    <s v="cancelled"/>
    <s v="Canada"/>
    <m/>
    <s v="Not Required"/>
    <s v="Calvinfurt"/>
  </r>
  <r>
    <s v="#2182"/>
    <d v="2026-08-04T14:01:55"/>
    <d v="2026-08-04T14:01:55"/>
    <s v="Robert Boyd"/>
    <x v="0"/>
    <s v="robert.boyd184@yahoo.com"/>
    <s v="Running Shoes - Women's"/>
    <s v="Footwear"/>
    <s v="FTW-RUN-W"/>
    <n v="1"/>
    <n v="54.99"/>
    <s v="SAVE20"/>
    <n v="11"/>
    <n v="5.99"/>
    <n v="49.98"/>
    <s v="Apple Pay"/>
    <x v="1"/>
    <s v="cancelled"/>
    <s v="Canada"/>
    <m/>
    <s v="Not Required"/>
    <s v="Joshuachester"/>
  </r>
  <r>
    <s v="#2183"/>
    <d v="2026-08-04T13:55:57"/>
    <d v="2026-08-04T13:55:57"/>
    <s v="Melinda Williams"/>
    <x v="0"/>
    <s v="melinda.williams310@icloud.com"/>
    <s v="Classic Cotton T-Shirt"/>
    <s v="Apparel"/>
    <s v="TSH-BLK-M"/>
    <n v="1"/>
    <n v="14.99"/>
    <s v="VIP15"/>
    <n v="2.25"/>
    <n v="7.99"/>
    <n v="20.73"/>
    <s v="Apple Pay"/>
    <x v="2"/>
    <s v="fulfilled"/>
    <s v="United States"/>
    <s v="GA"/>
    <s v="Valid"/>
    <s v="East Lesliefort"/>
  </r>
  <r>
    <s v="#2184"/>
    <d v="2026-08-04T14:04:43"/>
    <d v="2026-08-04T14:04:43"/>
    <s v="AMANDA ROBINSON"/>
    <x v="0"/>
    <s v="amanda.robinson263@icloud.com"/>
    <s v="Non-Stick Frying Pan 10in"/>
    <s v="Home &amp; Kitchen"/>
    <s v="HK-PAN-10"/>
    <n v="2"/>
    <n v="24.99"/>
    <s v="FREESHIP"/>
    <n v="0"/>
    <n v="0"/>
    <n v="49.98"/>
    <s v="Shopify Payments"/>
    <x v="3"/>
    <s v="fulfilled"/>
    <s v="United States"/>
    <s v="Ohio"/>
    <s v="Valid"/>
    <s v="New Jameschester"/>
  </r>
  <r>
    <s v="#2185"/>
    <d v="2026-08-04T14:06:10"/>
    <d v="2026-08-04T14:06:10"/>
    <s v="David Hernandez"/>
    <x v="0"/>
    <s v="david.hernandez260@yahoo.com"/>
    <s v="Vitamin C Serum 30ml"/>
    <s v="Beauty"/>
    <s v="BTY-SRM-30"/>
    <n v="1"/>
    <n v="24.99"/>
    <m/>
    <n v="0"/>
    <n v="7.99"/>
    <n v="32.979999999999997"/>
    <s v="Apple Pay"/>
    <x v="1"/>
    <s v="cancelled"/>
    <s v="Australia"/>
    <m/>
    <s v="Not Required"/>
    <s v="Johnmouth"/>
  </r>
  <r>
    <s v="#2186"/>
    <d v="2026-08-04T13:53:41"/>
    <d v="2026-08-04T13:53:41"/>
    <s v="Christopher Harrington"/>
    <x v="0"/>
    <s v="christopher.harrington960@gmail.com"/>
    <s v="Kids Building Blocks Set"/>
    <s v="Toys"/>
    <s v="TOY-BLK-SET"/>
    <n v="1"/>
    <n v="27.99"/>
    <m/>
    <n v="0"/>
    <n v="7.99"/>
    <n v="35.979999999999997"/>
    <s v="Google Pay"/>
    <x v="0"/>
    <s v="pending"/>
    <s v="Australia"/>
    <m/>
    <s v="Not Required"/>
    <s v="Sullivanmouth"/>
  </r>
  <r>
    <s v="#2187"/>
    <d v="2026-08-04T14:01:11"/>
    <d v="2026-08-04T14:01:11"/>
    <s v="Tiffany Jones"/>
    <x v="0"/>
    <s v="tiffany.jones564@outlook.com"/>
    <s v="USB-C Fast Charger 20W"/>
    <s v="Electronics"/>
    <s v="ELC-CHG-20"/>
    <n v="1"/>
    <n v="15.49"/>
    <m/>
    <n v="0"/>
    <n v="4.99"/>
    <n v="20.48"/>
    <s v="Credit Card"/>
    <x v="2"/>
    <s v="refunded"/>
    <s v="Germany"/>
    <m/>
    <s v="Not Required"/>
    <s v="Oliviatown"/>
  </r>
  <r>
    <s v="#2188"/>
    <d v="2026-08-04T14:04:27"/>
    <d v="2026-08-04T14:04:27"/>
    <s v="THOMAS ROJAS"/>
    <x v="0"/>
    <s v="thomas.rojas667@icloud.com"/>
    <s v="Leather Wallet - Brown"/>
    <s v="Accessories"/>
    <s v="ACC-WLT-BRN"/>
    <n v="2"/>
    <n v="19.989999999999998"/>
    <m/>
    <n v="0"/>
    <n v="7.99"/>
    <n v="47.97"/>
    <s v="Credit Card"/>
    <x v="2"/>
    <s v="fulfilled"/>
    <s v="United States"/>
    <s v="Georgia"/>
    <s v="Valid"/>
    <s v="Rodriguezbury"/>
  </r>
  <r>
    <s v="#2189"/>
    <d v="2026-08-04T13:54:32"/>
    <d v="2026-08-04T13:54:32"/>
    <s v="Adam Johnson"/>
    <x v="0"/>
    <s v="adam.johnson932@outlook.com"/>
    <s v="Adjustable Dumbbell Set"/>
    <s v="Sports &amp; Outdoors"/>
    <s v="SP-DMB-ADJ"/>
    <n v="1"/>
    <n v="89.99"/>
    <m/>
    <n v="0"/>
    <n v="0"/>
    <n v="89.99"/>
    <s v="Apple Pay"/>
    <x v="0"/>
    <s v="fulfilled"/>
    <s v="Australia"/>
    <m/>
    <s v="Not Required"/>
    <s v="East Justinstad"/>
  </r>
  <r>
    <s v="#2190"/>
    <d v="2026-08-04T13:54:42"/>
    <d v="2026-08-04T13:54:42"/>
    <s v="marie rose"/>
    <x v="0"/>
    <s v="marie.rose93@gmail.com"/>
    <s v="Non-Stick Frying Pan 10in"/>
    <s v="Home &amp; Kitchen"/>
    <s v="HK-PAN-10"/>
    <n v="1"/>
    <s v="$24.99"/>
    <s v="BFCM25"/>
    <n v="6.25"/>
    <n v="5.99"/>
    <n v="24.73"/>
    <s v="Apple Pay"/>
    <x v="3"/>
    <s v="fulfilled"/>
    <s v="United States"/>
    <s v="Georgia"/>
    <s v="Valid"/>
    <s v="Shannonfort"/>
  </r>
  <r>
    <s v="#2191"/>
    <d v="2026-08-04T13:54:32"/>
    <d v="2026-08-04T13:54:32"/>
    <s v="Amanda Robinson"/>
    <x v="0"/>
    <s v="amanda.robinson263@icloud.com"/>
    <s v="Portable Power Bank 10000mAh"/>
    <s v="Electronics"/>
    <s v="ELC-PWB-10K"/>
    <n v="4"/>
    <n v="21.99"/>
    <s v="VIP15"/>
    <n v="13.19"/>
    <n v="0"/>
    <s v="$74.77"/>
    <s v="Shopify Payments"/>
    <x v="3"/>
    <s v="fulfilled"/>
    <s v="United States"/>
    <s v="Illinois"/>
    <s v="Valid"/>
    <s v="Lake Mariaberg"/>
  </r>
  <r>
    <s v="#2192"/>
    <d v="2026-08-04T13:54:54"/>
    <d v="2026-08-04T13:54:54"/>
    <s v="Megan Dickson"/>
    <x v="0"/>
    <s v="megan.dickson508@gmail.com"/>
    <s v="Phone Case - Clear"/>
    <s v="Electronics"/>
    <s v="ELC-CSE-CLR"/>
    <n v="1"/>
    <n v="8.99"/>
    <m/>
    <n v="0"/>
    <n v="4.99"/>
    <n v="13.98"/>
    <s v="Apple Pay"/>
    <x v="1"/>
    <s v="refunded"/>
    <s v="United Kingdom"/>
    <m/>
    <s v="Not Required"/>
    <s v="New Franciscoberg"/>
  </r>
  <r>
    <s v="#2193"/>
    <d v="2026-08-04T13:54:01"/>
    <d v="2026-08-04T13:54:01"/>
    <s v="Christopher Osborne"/>
    <x v="0"/>
    <s v="christopher.osborne481@yahoo.com"/>
    <s v="Kids Building Blocks Set"/>
    <s v="Toys"/>
    <s v="TOY-BLK-SET"/>
    <n v="1"/>
    <n v="27.99"/>
    <s v="VIP15"/>
    <s v="$4.20"/>
    <n v="7.99"/>
    <n v="31.78"/>
    <s v="Apple Pay"/>
    <x v="3"/>
    <s v="fulfilled"/>
    <s v="United States"/>
    <s v="Illinois"/>
    <s v="Valid"/>
    <s v="Christinastad"/>
  </r>
  <r>
    <s v="#2194"/>
    <d v="2026-08-04T14:08:08"/>
    <d v="2026-08-04T14:08:08"/>
    <s v="Tracy Kennedy"/>
    <x v="0"/>
    <s v="tracy.kennedy796@outlook.com"/>
    <s v="Slim Fit Denim Jeans"/>
    <s v="Apparel"/>
    <s v="JNS-BLU-32"/>
    <n v="1"/>
    <n v="39.99"/>
    <m/>
    <n v="0"/>
    <n v="5.99"/>
    <s v="$45.98"/>
    <s v="Credit Card"/>
    <x v="0"/>
    <s v="cancelled"/>
    <s v="Pakistan"/>
    <m/>
    <s v="Not Required"/>
    <s v="Caseyfurt"/>
  </r>
  <r>
    <s v="#2195"/>
    <d v="2026-08-04T14:05:04"/>
    <d v="2026-08-04T14:05:04"/>
    <s v="Randall Rhodes"/>
    <x v="0"/>
    <s v="randall.rhodes730@outlook.com"/>
    <s v="Stainless Steel Water Bottle"/>
    <s v="Home &amp; Kitchen"/>
    <s v="HK-BTL-750"/>
    <n v="1"/>
    <n v="12.99"/>
    <m/>
    <n v="0"/>
    <n v="5.99"/>
    <n v="18.98"/>
    <s v="Apple Pay"/>
    <x v="0"/>
    <s v="fulfilled"/>
    <s v="United Kingdom"/>
    <m/>
    <s v="Not Required"/>
    <s v="Port Emilyfort"/>
  </r>
  <r>
    <s v="#2196"/>
    <d v="2026-08-04T13:58:49"/>
    <d v="2026-08-04T13:58:49"/>
    <s v="Anthony Vaughn"/>
    <x v="0"/>
    <s v="anthony.vaughn72@gmail.com"/>
    <s v="Slim Fit Denim Jeans"/>
    <s v="Apparel"/>
    <s v="JNS-BLU-32"/>
    <n v="2"/>
    <n v="39.99"/>
    <m/>
    <s v="$0.00"/>
    <n v="0"/>
    <n v="79.98"/>
    <s v="Google Pay"/>
    <x v="0"/>
    <s v="fulfilled"/>
    <s v="Germany"/>
    <m/>
    <s v="Not Required"/>
    <s v="Lake Karenchester"/>
  </r>
  <r>
    <s v="#2197"/>
    <d v="2026-08-04T14:00:06"/>
    <d v="2026-08-04T14:00:06"/>
    <s v="Barbara Brown"/>
    <x v="0"/>
    <s v="barbara.brown26@gmail.com"/>
    <s v="Stainless Steel Water Bottle"/>
    <s v="Home &amp; Kitchen"/>
    <s v="HK-BTL-750"/>
    <n v="1"/>
    <n v="12.99"/>
    <m/>
    <n v="0"/>
    <n v="4.99"/>
    <n v="17.98"/>
    <s v="Credit Card"/>
    <x v="3"/>
    <s v="pending"/>
    <s v="United States"/>
    <s v="California"/>
    <s v="Valid"/>
    <s v="East Patrick"/>
  </r>
  <r>
    <s v="#2198"/>
    <d v="2026-08-04T14:03:03"/>
    <d v="2026-08-04T14:03:03"/>
    <s v="Autumn Stewart"/>
    <x v="0"/>
    <s v="autumn.stewart565@outlook.com"/>
    <s v="Classic Cotton T-Shirt"/>
    <s v="Apparel"/>
    <s v="TSH-BLK-L"/>
    <n v="1"/>
    <n v="14.99"/>
    <s v="BFCM25"/>
    <n v="3.75"/>
    <n v="7.99"/>
    <n v="19.23"/>
    <s v="Google Pay"/>
    <x v="0"/>
    <s v="fulfilled"/>
    <s v="United Kingdom"/>
    <m/>
    <s v="Not Required"/>
    <s v="Gloriafurt"/>
  </r>
  <r>
    <s v="#2199"/>
    <d v="2026-08-04T14:06:32"/>
    <d v="2026-08-04T14:06:32"/>
    <s v="Christopher Osborne"/>
    <x v="0"/>
    <s v="christopher.osborne481@yahoo.com"/>
    <s v="Portable Power Bank 10000mAh"/>
    <s v="Electronics"/>
    <s v="ELC-PWB-10K"/>
    <n v="1"/>
    <n v="21.99"/>
    <s v="VIP15"/>
    <n v="3.3"/>
    <n v="5.99"/>
    <n v="24.68"/>
    <s v="Google Pay"/>
    <x v="0"/>
    <s v="fulfilled"/>
    <s v="United States"/>
    <s v="Florida"/>
    <s v="Valid"/>
    <s v="Davidshire"/>
  </r>
  <r>
    <s v="#2200"/>
    <d v="2026-08-04T13:57:05"/>
    <d v="2026-08-04T13:57:05"/>
    <s v="Donald Davis"/>
    <x v="1"/>
    <m/>
    <s v="Polarized Sunglasses"/>
    <s v="Accessories"/>
    <s v="ACC-SUN-01"/>
    <n v="1"/>
    <n v="16.989999999999998"/>
    <m/>
    <n v="0"/>
    <n v="7.99"/>
    <n v="24.98"/>
    <s v="Shopify Payments"/>
    <x v="2"/>
    <s v="cancelled"/>
    <s v="Canada"/>
    <m/>
    <s v="Not Required"/>
    <s v="West David"/>
  </r>
  <r>
    <s v="#2201"/>
    <d v="2026-08-04T00:00:00"/>
    <s v="2026-08-04"/>
    <s v="Rachel Colon"/>
    <x v="1"/>
    <m/>
    <s v="Backpack - 25L"/>
    <s v="Accessories"/>
    <s v="ACC-BPK-25L"/>
    <n v="1"/>
    <n v="32.99"/>
    <s v="WELCOME10"/>
    <n v="3.3"/>
    <n v="4.99"/>
    <s v="$34.68"/>
    <s v="Google Pay"/>
    <x v="0"/>
    <s v="pending"/>
    <s v="Australia"/>
    <m/>
    <s v="Not Required"/>
    <s v="Port Lisa"/>
  </r>
  <r>
    <s v="#2202"/>
    <d v="2026-08-04T13:54:49"/>
    <d v="2026-08-04T13:54:49"/>
    <s v="Rebecca Watts"/>
    <x v="0"/>
    <s v="rebecca.watts779@gmail.com"/>
    <s v="Running Shoes - Men's"/>
    <s v="Footwear"/>
    <s v="FTW-RUN-M"/>
    <n v="1"/>
    <n v="54.99"/>
    <m/>
    <s v="$0.00"/>
    <n v="7.99"/>
    <n v="62.98"/>
    <s v="Credit Card"/>
    <x v="0"/>
    <s v="refunded"/>
    <s v="United States"/>
    <s v="Arizona"/>
    <s v="Valid"/>
    <s v="New Jerry"/>
  </r>
  <r>
    <s v="#2203"/>
    <d v="2026-08-04T13:59:52"/>
    <d v="2026-08-04T13:59:52"/>
    <s v="Jessica Garcia"/>
    <x v="0"/>
    <s v="jessica.garcia931@gmail.com"/>
    <s v="Stainless Steel Water Bottle"/>
    <s v="Home &amp; Kitchen"/>
    <s v="HK-BTL-750"/>
    <n v="2"/>
    <n v="12.99"/>
    <m/>
    <s v="$0.00"/>
    <n v="7.99"/>
    <s v="$33.97"/>
    <s v="PayPal"/>
    <x v="0"/>
    <s v="cancelled"/>
    <s v="United States"/>
    <s v="California"/>
    <s v="Valid"/>
    <s v="Lake Jillianfurt"/>
  </r>
  <r>
    <s v="#2205"/>
    <d v="2026-08-04T14:04:10"/>
    <d v="2026-08-04T14:04:10"/>
    <s v="Rebecca Watts"/>
    <x v="0"/>
    <s v="rebecca.watts779@gmail.com"/>
    <s v="Leather Wallet - Brown"/>
    <s v="Accessories"/>
    <s v="ACC-WLT-BRN"/>
    <n v="1"/>
    <n v="19.989999999999998"/>
    <s v="SAVE20"/>
    <n v="4"/>
    <n v="5.99"/>
    <n v="21.98"/>
    <s v="PayPal"/>
    <x v="2"/>
    <s v="fulfilled"/>
    <s v="United States"/>
    <s v="Arizona"/>
    <s v="Valid"/>
    <s v="New Thomaston"/>
  </r>
  <r>
    <s v="#2206"/>
    <d v="2026-08-04T13:55:17"/>
    <d v="2026-08-04T13:55:17"/>
    <s v="Patrick Richardson"/>
    <x v="0"/>
    <s v="patrick.richardson270@icloud.com"/>
    <s v="Stainless Steel Water Bottle"/>
    <s v="Home &amp; Kitchen"/>
    <s v="HK-BTL-750"/>
    <n v="2"/>
    <n v="12.99"/>
    <m/>
    <n v="0"/>
    <n v="7.99"/>
    <n v="33.97"/>
    <s v="Credit Card"/>
    <x v="0"/>
    <s v="fulfilled"/>
    <s v="United States"/>
    <s v="Georgia"/>
    <s v="Valid"/>
    <s v="Fernandezbury"/>
  </r>
  <r>
    <s v="#2207"/>
    <d v="2026-08-04T13:56:12"/>
    <d v="2026-08-04T13:56:12"/>
    <s v="Sergio Turner"/>
    <x v="0"/>
    <s v="sergio.turner744@outlook.com"/>
    <s v="Vitamin C Serum 30ml"/>
    <s v="Beauty"/>
    <s v="BTY-SRM-30"/>
    <n v="1"/>
    <n v="24.99"/>
    <s v="VIP15"/>
    <n v="3.75"/>
    <n v="4.99"/>
    <n v="26.23"/>
    <s v="Shopify Payments"/>
    <x v="2"/>
    <s v="fulfilled"/>
    <s v="Germany"/>
    <m/>
    <s v="Not Required"/>
    <s v="Jefferyberg"/>
  </r>
  <r>
    <s v="#2208"/>
    <d v="2026-08-04T13:59:49"/>
    <d v="2026-08-04T13:59:49"/>
    <s v="Autumn Stewart"/>
    <x v="0"/>
    <s v="autumn.stewart565@outlook.com"/>
    <s v="Running Shoes - Women's"/>
    <s v="Footwear"/>
    <s v="FTW-RUN-W"/>
    <n v="2"/>
    <n v="54.99"/>
    <m/>
    <n v="0"/>
    <n v="0"/>
    <n v="109.98"/>
    <s v="Shopify Payments"/>
    <x v="0"/>
    <s v="cancelled"/>
    <s v="United Kingdom"/>
    <m/>
    <s v="Not Required"/>
    <s v="Lake Gina"/>
  </r>
  <r>
    <s v="#2209"/>
    <d v="2026-08-04T14:03:20"/>
    <d v="2026-08-04T14:03:20"/>
    <s v="Tiffany Jones"/>
    <x v="0"/>
    <s v="tiffany.jones564@outlook.com"/>
    <s v="Running Shoes - Women's"/>
    <s v="Footwear"/>
    <s v="FTW-RUN-W"/>
    <n v="1"/>
    <n v="54.99"/>
    <m/>
    <n v="0"/>
    <n v="5.99"/>
    <n v="60.98"/>
    <s v="Google Pay"/>
    <x v="2"/>
    <s v="fulfilled"/>
    <s v="Germany"/>
    <m/>
    <s v="Not Required"/>
    <s v="Markfort"/>
  </r>
  <r>
    <s v="#2210"/>
    <d v="2026-08-04T14:00:19"/>
    <d v="2026-08-04T14:00:19"/>
    <s v="Bryan Smith"/>
    <x v="0"/>
    <s v="bryan.smith876@yahoo.com"/>
    <s v="Wireless Mouse"/>
    <s v="Electronics"/>
    <s v="ELC-MSE-WL"/>
    <n v="2"/>
    <s v="$11.99"/>
    <m/>
    <n v="0"/>
    <n v="5.99"/>
    <n v="29.97"/>
    <s v="Shopify Payments"/>
    <x v="0"/>
    <s v="fulfilled"/>
    <s v="United States"/>
    <s v="Texas"/>
    <s v="Valid"/>
    <s v="Port Thomasville"/>
  </r>
  <r>
    <s v="#2211"/>
    <d v="2026-08-04T13:57:58"/>
    <d v="2026-08-04T13:57:58"/>
    <s v="Rebecca Watts"/>
    <x v="0"/>
    <s v="rebecca.watts779@gmail.com"/>
    <s v="Hooded Sweatshirt"/>
    <s v="Apparel"/>
    <s v="APR-HOD-GRY"/>
    <n v="1"/>
    <s v="$34.99"/>
    <m/>
    <n v="0"/>
    <n v="4.99"/>
    <s v="$39.98"/>
    <s v="Google Pay"/>
    <x v="2"/>
    <s v="fulfilled"/>
    <s v="United States"/>
    <s v="New York"/>
    <s v="Valid"/>
    <s v="West Gregoryborough"/>
  </r>
  <r>
    <s v="#2213"/>
    <d v="2026-08-04T14:02:10"/>
    <d v="2026-08-04T14:02:10"/>
    <s v="Victor Herrera"/>
    <x v="0"/>
    <s v="victor.herrera394@outlook.com"/>
    <s v="Phone Case - Clear"/>
    <s v="Electronics"/>
    <s v="ELC-CSE-CLR"/>
    <n v="1"/>
    <s v="$8.99"/>
    <s v="FREESHIP"/>
    <n v="0"/>
    <n v="0"/>
    <n v="8.99"/>
    <s v="Shopify Payments"/>
    <x v="0"/>
    <s v="fulfilled"/>
    <s v="Pakistan"/>
    <m/>
    <s v="Not Required"/>
    <s v="Bradshawshire"/>
  </r>
  <r>
    <s v="#2214"/>
    <d v="2026-08-04T13:57:25"/>
    <d v="2026-08-04T13:57:25"/>
    <s v="Kimberly Williams"/>
    <x v="0"/>
    <s v="kimberly.williams555@outlook.com"/>
    <s v="Wireless Mouse"/>
    <s v="Electronics"/>
    <s v="ELC-MSE-WL"/>
    <n v="2"/>
    <n v="11.99"/>
    <m/>
    <n v="0"/>
    <n v="7.99"/>
    <n v="31.97"/>
    <s v="PayPal"/>
    <x v="0"/>
    <s v="fulfilled"/>
    <s v="United Kingdom"/>
    <m/>
    <s v="Not Required"/>
    <s v="New Erin"/>
  </r>
  <r>
    <s v="#2215"/>
    <d v="2026-04-08T00:00:00"/>
    <s v="08/04/2026"/>
    <s v="Margaret Conley"/>
    <x v="0"/>
    <s v="margaret.conley327@icloud.com"/>
    <s v="Backpack - 25L"/>
    <s v="Accessories"/>
    <s v="ACC-BPK-25L"/>
    <n v="1"/>
    <n v="32.99"/>
    <s v="SAVE20"/>
    <n v="6.6"/>
    <n v="4.99"/>
    <n v="31.38"/>
    <s v="Apple Pay"/>
    <x v="2"/>
    <s v="cancelled"/>
    <s v="Australia"/>
    <m/>
    <s v="Not Required"/>
    <s v="Lake Andrewstad"/>
  </r>
  <r>
    <s v="#2216"/>
    <d v="2026-04-08T00:00:00"/>
    <s v="08/04/2026"/>
    <s v="Kenneth Coleman"/>
    <x v="0"/>
    <s v="kenneth.coleman447@icloud.com"/>
    <s v="Wireless Mouse"/>
    <s v="Electronics"/>
    <s v="ELC-MSE-WL"/>
    <n v="2"/>
    <n v="11.99"/>
    <m/>
    <n v="0"/>
    <n v="7.99"/>
    <n v="31.97"/>
    <s v="Shopify Payments"/>
    <x v="2"/>
    <s v="cancelled"/>
    <s v="United States"/>
    <s v="North Carolina"/>
    <s v="Valid"/>
    <s v="Laurenchester"/>
  </r>
  <r>
    <s v="#2217"/>
    <d v="2026-08-04T13:57:16"/>
    <d v="2026-08-04T13:57:16"/>
    <s v="Kelly Wyatt"/>
    <x v="0"/>
    <s v="kelly.wyatt277@yahoo.com"/>
    <s v="Adjustable Dumbbell Set"/>
    <s v="Sports &amp; Outdoors"/>
    <s v="SP-DMB-ADJ"/>
    <n v="1"/>
    <n v="89.99"/>
    <s v="WELCOME10"/>
    <n v="9"/>
    <n v="0"/>
    <n v="80.989999999999995"/>
    <s v="Google Pay"/>
    <x v="2"/>
    <s v="fulfilled"/>
    <s v="Germany"/>
    <m/>
    <s v="Not Required"/>
    <s v="Lake Tiffany"/>
  </r>
  <r>
    <s v="#2218"/>
    <d v="2026-04-08T00:00:00"/>
    <s v="08/04/2026"/>
    <s v="Melissa Jones"/>
    <x v="0"/>
    <s v="melissa.jones297@yahoo.com"/>
    <s v="Yoga Mat - Extra Thick"/>
    <s v="Sports &amp; Outdoors"/>
    <s v="SP-YGM-EX"/>
    <n v="1"/>
    <n v="22.99"/>
    <m/>
    <n v="0"/>
    <n v="7.99"/>
    <n v="30.98"/>
    <s v="Google Pay"/>
    <x v="0"/>
    <s v="fulfilled"/>
    <s v="United States"/>
    <s v="Texas"/>
    <s v="Valid"/>
    <s v="Haydenton"/>
  </r>
  <r>
    <s v="#2219"/>
    <d v="2026-08-04T14:03:31"/>
    <d v="2026-08-04T14:03:31"/>
    <s v="Alexandria Miller"/>
    <x v="0"/>
    <s v="alexandria.miller414@outlook.com"/>
    <s v="Ceramic Coffee Mug Set (4pc)"/>
    <s v="Home &amp; Kitchen"/>
    <s v="HK-MUG-4PK"/>
    <n v="2"/>
    <n v="18.989999999999998"/>
    <s v="SAVE20"/>
    <n v="7.6"/>
    <n v="5.99"/>
    <n v="36.369999999999997"/>
    <s v="Credit Card"/>
    <x v="0"/>
    <s v="cancelled"/>
    <s v="Australia"/>
    <m/>
    <s v="Not Required"/>
    <s v="North Nicholas"/>
  </r>
  <r>
    <s v="#2220"/>
    <d v="2026-08-04T14:07:26"/>
    <d v="2026-08-04T14:07:26"/>
    <s v="Brian Shaffer"/>
    <x v="0"/>
    <s v="brian.shaffer90@yahoo.com"/>
    <s v="Leather Wallet - Brown"/>
    <s v="Accessories"/>
    <s v="ACC-WLT-BRN"/>
    <n v="1"/>
    <n v="19.989999999999998"/>
    <m/>
    <n v="0"/>
    <n v="5.99"/>
    <n v="25.98"/>
    <s v="Credit Card"/>
    <x v="0"/>
    <s v="fulfilled"/>
    <s v="United States"/>
    <s v="California"/>
    <s v="Valid"/>
    <s v="East Williamport"/>
  </r>
  <r>
    <s v="#2221"/>
    <d v="2026-08-04T14:05:01"/>
    <d v="2026-08-04T14:05:01"/>
    <s v="Tammy Hawkins"/>
    <x v="0"/>
    <s v="tammy.hawkins461@outlook.com"/>
    <s v="Running Shoes - Men's"/>
    <s v="Footwear"/>
    <s v="FTW-RUN-M"/>
    <n v="1"/>
    <n v="54.99"/>
    <s v="BFCM25"/>
    <n v="13.75"/>
    <n v="7.99"/>
    <n v="49.23"/>
    <s v="Credit Card"/>
    <x v="3"/>
    <s v="fulfilled"/>
    <s v="United States"/>
    <s v="California"/>
    <s v="Valid"/>
    <s v="East Karen"/>
  </r>
  <r>
    <s v="#2222"/>
    <d v="2026-08-04T14:01:11"/>
    <d v="2026-08-04T14:01:11"/>
    <s v="Christopher Martin"/>
    <x v="0"/>
    <s v="christopher.martin10@gmail.com"/>
    <s v="Adjustable Dumbbell Set"/>
    <s v="Sports &amp; Outdoors"/>
    <s v="SP-DMB-ADJ"/>
    <n v="1"/>
    <n v="89.99"/>
    <s v="FREESHIP"/>
    <n v="0"/>
    <n v="0"/>
    <n v="89.99"/>
    <s v="Google Pay"/>
    <x v="0"/>
    <s v="fulfilled"/>
    <s v="United States"/>
    <s v="New York"/>
    <s v="Valid"/>
    <s v="Tiffanyborough"/>
  </r>
  <r>
    <s v="#2223"/>
    <d v="2026-08-04T13:54:26"/>
    <d v="2026-08-04T13:54:26"/>
    <s v="Jesus Mason"/>
    <x v="0"/>
    <s v="jesus.mason798@icloud.com"/>
    <s v="Phone Case - Clear"/>
    <s v="Electronics"/>
    <s v="ELC-CSE-CLR"/>
    <n v="1"/>
    <n v="8.99"/>
    <s v="BFCM25"/>
    <n v="2.25"/>
    <n v="5.99"/>
    <n v="12.73"/>
    <s v="Apple Pay"/>
    <x v="1"/>
    <s v="pending"/>
    <s v="United States"/>
    <s v="Illinois"/>
    <s v="Valid"/>
    <s v="West Angela"/>
  </r>
  <r>
    <s v="#2224"/>
    <d v="2026-08-04T14:00:44"/>
    <d v="2026-08-04T14:00:44"/>
    <s v="Jasmine Parker"/>
    <x v="0"/>
    <s v="jasmine.parker47@icloud.com"/>
    <s v="Leather Wallet - Brown"/>
    <s v="Accessories"/>
    <s v="ACC-WLT-BRN"/>
    <n v="2"/>
    <n v="19.989999999999998"/>
    <s v="BFCM25"/>
    <n v="9.99"/>
    <n v="7.99"/>
    <n v="37.979999999999997"/>
    <s v="PayPal"/>
    <x v="2"/>
    <s v="fulfilled"/>
    <s v="Pakistan"/>
    <m/>
    <s v="Not Required"/>
    <s v="East Jennifer"/>
  </r>
  <r>
    <s v="#2225"/>
    <d v="2026-08-04T14:05:07"/>
    <d v="2026-08-04T14:05:07"/>
    <s v="Richard Ward"/>
    <x v="0"/>
    <s v="richard.ward894@icloud.com"/>
    <s v="Yoga Mat - Extra Thick"/>
    <s v="Sports &amp; Outdoors"/>
    <s v="SP-YGM-EX"/>
    <n v="1"/>
    <n v="22.99"/>
    <s v="BFCM25"/>
    <n v="5.75"/>
    <n v="5.99"/>
    <n v="23.23"/>
    <s v="Shopify Payments"/>
    <x v="1"/>
    <s v="fulfilled"/>
    <s v="Pakistan"/>
    <m/>
    <s v="Not Required"/>
    <s v="Jessicaberg"/>
  </r>
  <r>
    <s v="#2226"/>
    <d v="2026-04-08T00:00:00"/>
    <s v="08/04/2026"/>
    <s v="Jon Lambert"/>
    <x v="0"/>
    <s v="jon.lambert231@icloud.com"/>
    <s v="Polarized Sunglasses"/>
    <s v="Accessories"/>
    <s v="ACC-SUN-01"/>
    <n v="1"/>
    <n v="16.989999999999998"/>
    <m/>
    <n v="0"/>
    <n v="4.99"/>
    <n v="21.98"/>
    <s v="Apple Pay"/>
    <x v="3"/>
    <s v="fulfilled"/>
    <s v="United States"/>
    <s v="California"/>
    <s v="Valid"/>
    <s v="Elizabethside"/>
  </r>
  <r>
    <s v="#2227"/>
    <d v="2026-08-04T13:56:25"/>
    <d v="2026-08-04T13:56:25"/>
    <s v="Miranda Gray"/>
    <x v="0"/>
    <s v="miranda.gray649@yahoo.com"/>
    <s v="Phone Case - Clear"/>
    <s v="Electronics"/>
    <s v="ELC-CSE-CLR"/>
    <n v="1"/>
    <n v="8.99"/>
    <m/>
    <n v="0"/>
    <n v="7.99"/>
    <n v="16.98"/>
    <s v="Shopify Payments"/>
    <x v="2"/>
    <s v="refunded"/>
    <s v="Pakistan"/>
    <m/>
    <s v="Not Required"/>
    <s v="Lake Wendyshire"/>
  </r>
  <r>
    <s v="#2228"/>
    <d v="2026-08-04T14:02:10"/>
    <d v="2026-08-04T14:02:10"/>
    <s v="Timothy Weaver"/>
    <x v="0"/>
    <s v="timothy.weaver591@gmail.com"/>
    <s v="Classic Cotton T-Shirt"/>
    <s v="Apparel"/>
    <s v="TSH-BLK-L"/>
    <n v="1"/>
    <n v="14.99"/>
    <s v="SAVE20"/>
    <n v="3"/>
    <n v="4.99"/>
    <n v="16.98"/>
    <s v="Shopify Payments"/>
    <x v="0"/>
    <s v="cancelled"/>
    <s v="Australia"/>
    <m/>
    <s v="Not Required"/>
    <s v="Williamschester"/>
  </r>
  <r>
    <s v="#2229"/>
    <d v="2026-08-04T14:04:28"/>
    <d v="2026-08-04T14:04:28"/>
    <s v="Diane Harper"/>
    <x v="0"/>
    <s v="diane.harper925@gmail.com"/>
    <s v="Non-Stick Frying Pan 10in"/>
    <s v="Home &amp; Kitchen"/>
    <s v="HK-PAN-10"/>
    <n v="2"/>
    <n v="24.99"/>
    <s v="VIP15"/>
    <n v="7.5"/>
    <n v="5.99"/>
    <n v="48.47"/>
    <s v="PayPal"/>
    <x v="3"/>
    <s v="cancelled"/>
    <s v="United States"/>
    <s v="Washington"/>
    <s v="Valid"/>
    <s v="North Jennifer"/>
  </r>
  <r>
    <s v="#2230"/>
    <d v="2026-08-04T00:00:00"/>
    <s v="04-08-2026 13:55"/>
    <s v="Christopher Osborne"/>
    <x v="0"/>
    <s v="christopher.osborne481@yahoo.com"/>
    <s v="Polarized Sunglasses"/>
    <s v="Accessories"/>
    <s v="ACC-SUN-01"/>
    <n v="1"/>
    <n v="16.989999999999998"/>
    <m/>
    <n v="0"/>
    <n v="7.99"/>
    <n v="24.98"/>
    <s v="PayPal"/>
    <x v="0"/>
    <s v="cancelled"/>
    <s v="United States"/>
    <s v="California"/>
    <s v="Valid"/>
    <s v="South Chadside"/>
  </r>
  <r>
    <s v="#2231"/>
    <d v="2026-08-04T13:53:45"/>
    <d v="2026-08-04T13:53:45"/>
    <s v="Ingram, Jose"/>
    <x v="0"/>
    <s v="jose.ingram37@gmail.com"/>
    <s v="Adjustable Dumbbell Set"/>
    <s v="Sports &amp; Outdoors"/>
    <s v="SP-DMB-ADJ"/>
    <n v="2"/>
    <n v="89.99"/>
    <s v="SAVE20"/>
    <n v="36"/>
    <n v="0"/>
    <n v="143.97999999999999"/>
    <s v="Shopify Payments"/>
    <x v="0"/>
    <s v="fulfilled"/>
    <s v="United States"/>
    <s v="Georgia"/>
    <s v="Valid"/>
    <s v="Daniellefort"/>
  </r>
  <r>
    <s v="#2232"/>
    <d v="2026-08-04T13:58:03"/>
    <d v="2026-08-04T13:58:03"/>
    <s v="Joel Williams"/>
    <x v="0"/>
    <s v="joel.williams850@gmail.com"/>
    <s v="Vitamin C Serum 30ml"/>
    <s v="Beauty"/>
    <s v="BTY-SRM-30"/>
    <n v="2"/>
    <s v="$24.99"/>
    <s v="BFCM25"/>
    <s v="$12.49"/>
    <n v="7.99"/>
    <n v="45.48"/>
    <s v="Apple Pay"/>
    <x v="2"/>
    <s v="pending"/>
    <s v="United States"/>
    <s v="New York"/>
    <s v="Valid"/>
    <s v="Port Michele"/>
  </r>
  <r>
    <s v="#2233"/>
    <d v="2026-08-04T13:57:09"/>
    <d v="2026-08-04T13:57:09"/>
    <s v="Matthew Riley"/>
    <x v="0"/>
    <s v="matthew.riley309@yahoo.com"/>
    <s v="Polarized Sunglasses"/>
    <s v="Accessories"/>
    <s v="ACC-SUN-01"/>
    <n v="1"/>
    <n v="16.989999999999998"/>
    <s v="WELCOME10"/>
    <n v="1.7"/>
    <n v="7.99"/>
    <n v="23.28"/>
    <s v="Google Pay"/>
    <x v="0"/>
    <s v="fulfilled"/>
    <s v="Canada"/>
    <m/>
    <s v="Not Required"/>
    <s v="Port Scottfurt"/>
  </r>
  <r>
    <s v="#2234"/>
    <d v="2026-08-04T14:01:05"/>
    <d v="2026-08-04T14:01:05"/>
    <s v="Stacey Morales"/>
    <x v="0"/>
    <s v="stacey.morales538@yahoo.com"/>
    <s v="Polarized Sunglasses"/>
    <s v="Accessories"/>
    <s v="ACC-SUN-01"/>
    <n v="1"/>
    <n v="16.989999999999998"/>
    <m/>
    <n v="0"/>
    <n v="7.99"/>
    <s v="$24.98"/>
    <s v="Google Pay"/>
    <x v="3"/>
    <s v="pending"/>
    <s v="Australia"/>
    <m/>
    <s v="Not Required"/>
    <s v="Pettytown"/>
  </r>
  <r>
    <s v="#2235"/>
    <d v="2026-08-04T14:07:46"/>
    <d v="2026-08-04T14:07:46"/>
    <s v="Heather Rivers"/>
    <x v="0"/>
    <s v="heather.rivers451@icloud.com"/>
    <s v="Scented Soy Candle - Vanilla"/>
    <s v="Home &amp; Kitchen"/>
    <s v="HK-CND-VAN"/>
    <n v="1"/>
    <n v="9.99"/>
    <m/>
    <n v="0"/>
    <n v="5.99"/>
    <n v="15.98"/>
    <s v="Google Pay"/>
    <x v="0"/>
    <s v="fulfilled"/>
    <s v="United States"/>
    <s v="Georgia"/>
    <s v="Valid"/>
    <s v="Lindastad"/>
  </r>
  <r>
    <s v="#2236"/>
    <d v="2026-08-04T14:07:33"/>
    <d v="2026-08-04T14:07:33"/>
    <s v="Gregory Vega"/>
    <x v="0"/>
    <s v="gregory.vega882@outlook.com"/>
    <s v="USB-C Fast Charger 20W"/>
    <s v="Electronics"/>
    <s v="ELC-CHG-20"/>
    <n v="1"/>
    <n v="15.49"/>
    <m/>
    <n v="0"/>
    <n v="7.99"/>
    <n v="23.48"/>
    <s v="Shopify Payments"/>
    <x v="0"/>
    <s v="pending"/>
    <s v="Pakistan"/>
    <m/>
    <s v="Not Required"/>
    <s v="Katrinastad"/>
  </r>
  <r>
    <s v="#2237"/>
    <d v="2026-08-04T13:54:36"/>
    <d v="2026-08-04T13:54:36"/>
    <s v="Barbara Brown"/>
    <x v="0"/>
    <s v="barbara.brown26@gmail.com"/>
    <s v="Running Shoes - Men's"/>
    <s v="Footwear"/>
    <s v="FTW-RUN-M"/>
    <n v="1"/>
    <n v="54.99"/>
    <m/>
    <n v="0"/>
    <n v="7.99"/>
    <n v="62.98"/>
    <s v="Credit Card"/>
    <x v="1"/>
    <s v="pending"/>
    <s v="United States"/>
    <s v="NY"/>
    <s v="Valid"/>
    <s v="Port Stephanieview"/>
  </r>
  <r>
    <s v="#2238"/>
    <d v="2026-04-08T00:00:00"/>
    <s v="08/04/2026"/>
    <s v="Frank Diaz"/>
    <x v="0"/>
    <s v="frank.diaz795@gmail.com"/>
    <s v="Kids Building Blocks Set"/>
    <s v="Toys"/>
    <s v="TOY-BLK-SET"/>
    <n v="2"/>
    <n v="27.99"/>
    <m/>
    <n v="0"/>
    <n v="7.99"/>
    <n v="63.97"/>
    <s v="PayPal"/>
    <x v="0"/>
    <s v="fulfilled"/>
    <s v="United States"/>
    <s v="Georgia"/>
    <s v="Valid"/>
    <s v="Rossmouth"/>
  </r>
  <r>
    <s v="#2239"/>
    <d v="2026-08-04T00:00:00"/>
    <s v="04-08-2026 14:04"/>
    <s v="Sandra Wilson"/>
    <x v="0"/>
    <s v="sandra.wilson554@outlook.com"/>
    <s v="Classic Cotton T-Shirt"/>
    <s v="Apparel"/>
    <s v="TSH-BLK-L"/>
    <n v="1"/>
    <n v="14.99"/>
    <m/>
    <n v="0"/>
    <n v="4.99"/>
    <s v="$19.98"/>
    <s v="Apple Pay"/>
    <x v="0"/>
    <s v="fulfilled"/>
    <s v="Canada"/>
    <m/>
    <s v="Not Required"/>
    <s v="Popeberg"/>
  </r>
  <r>
    <s v="#2240"/>
    <d v="2026-08-04T14:01:53"/>
    <d v="2026-08-04T14:01:53"/>
    <s v="Rose English"/>
    <x v="0"/>
    <s v="rose.english118@icloud.com"/>
    <s v="Non-Stick Frying Pan 10in"/>
    <s v="Home &amp; Kitchen"/>
    <s v="HK-PAN-10"/>
    <n v="1"/>
    <n v="24.99"/>
    <s v="WELCOME10"/>
    <n v="2.5"/>
    <n v="5.99"/>
    <n v="28.48"/>
    <s v="Credit Card"/>
    <x v="1"/>
    <s v="fulfilled"/>
    <s v="Germany"/>
    <m/>
    <s v="Not Required"/>
    <s v="North Lisa"/>
  </r>
  <r>
    <s v="#2241"/>
    <d v="2026-08-04T13:56:10"/>
    <d v="2026-08-04T13:56:10"/>
    <s v="Kayla Morris"/>
    <x v="0"/>
    <s v="kayla.morris339@outlook.com"/>
    <s v="Leather Wallet - Brown"/>
    <s v="Accessories"/>
    <s v="ACC-WLT-BRN"/>
    <n v="1"/>
    <n v="19.989999999999998"/>
    <m/>
    <n v="0"/>
    <n v="4.99"/>
    <s v="$24.98"/>
    <s v="Credit Card"/>
    <x v="1"/>
    <s v="pending"/>
    <s v="Canada"/>
    <m/>
    <s v="Not Required"/>
    <s v="South Thomas"/>
  </r>
  <r>
    <s v="#2242"/>
    <d v="2026-08-04T13:54:59"/>
    <d v="2026-08-04T13:54:59"/>
    <s v="James Castro"/>
    <x v="0"/>
    <s v="james.castro923@icloud.com"/>
    <s v="Leather Wallet - Brown"/>
    <s v="Accessories"/>
    <s v="ACC-WLT-BRN"/>
    <n v="1"/>
    <n v="19.989999999999998"/>
    <s v="VIP15"/>
    <n v="3"/>
    <n v="7.99"/>
    <n v="24.98"/>
    <s v="Credit Card"/>
    <x v="1"/>
    <s v="cancelled"/>
    <s v="Pakistan"/>
    <m/>
    <s v="Not Required"/>
    <s v="Bishopland"/>
  </r>
  <r>
    <s v="#2243"/>
    <d v="2026-08-04T14:06:19"/>
    <d v="2026-08-04T14:06:19"/>
    <s v="Samuel Lee"/>
    <x v="0"/>
    <s v="samuel.lee63@icloud.com"/>
    <s v="Running Shoes - Men's"/>
    <s v="Footwear"/>
    <s v="FTW-RUN-M"/>
    <n v="1"/>
    <s v="$54.99"/>
    <s v="SAVE20"/>
    <n v="11"/>
    <n v="5.99"/>
    <n v="49.98"/>
    <s v="Google Pay"/>
    <x v="2"/>
    <s v="fulfilled"/>
    <s v="Australia"/>
    <m/>
    <s v="Not Required"/>
    <s v="New Williamhaven"/>
  </r>
  <r>
    <s v="#2244"/>
    <d v="2026-08-04T14:02:57"/>
    <d v="2026-08-04T14:02:57"/>
    <s v="Carrie White"/>
    <x v="0"/>
    <s v="carrie.white846@gmail.com"/>
    <s v="USB-C Fast Charger 20W"/>
    <s v="Electronics"/>
    <s v="ELC-CHG-20"/>
    <n v="1"/>
    <n v="15.49"/>
    <s v="BFCM25"/>
    <n v="3.87"/>
    <n v="5.99"/>
    <n v="17.61"/>
    <s v="Google Pay"/>
    <x v="3"/>
    <s v="fulfilled"/>
    <s v="United Kingdom"/>
    <m/>
    <s v="Not Required"/>
    <s v="Nicholsberg"/>
  </r>
  <r>
    <s v="#2245"/>
    <d v="2026-04-08T00:00:00"/>
    <s v="08/04/2026"/>
    <s v="Erika Maxwell"/>
    <x v="0"/>
    <s v="erika.maxwell281@gmail.com"/>
    <s v="Stainless Steel Water Bottle"/>
    <s v="Home &amp; Kitchen"/>
    <s v="HK-BTL-750"/>
    <n v="1"/>
    <n v="12.99"/>
    <m/>
    <s v="$0.00"/>
    <n v="7.99"/>
    <n v="20.98"/>
    <s v="Credit Card"/>
    <x v="3"/>
    <s v="fulfilled"/>
    <s v="United States"/>
    <s v="Ohio"/>
    <s v="Valid"/>
    <s v="North Pamela"/>
  </r>
  <r>
    <s v="#2246"/>
    <d v="2026-08-04T14:06:42"/>
    <d v="2026-08-04T14:06:42"/>
    <s v="Brady Garcia"/>
    <x v="0"/>
    <s v="brady.garcia57@yahoo.com"/>
    <s v="Polarized Sunglasses"/>
    <s v="Accessories"/>
    <s v="ACC-SUN-01"/>
    <n v="1"/>
    <s v="$16.99"/>
    <m/>
    <n v="0"/>
    <n v="4.99"/>
    <s v="$21.98"/>
    <s v="PayPal"/>
    <x v="0"/>
    <s v="cancelled"/>
    <s v="Australia"/>
    <m/>
    <s v="Not Required"/>
    <s v="Hernandezhaven"/>
  </r>
  <r>
    <s v="#2247"/>
    <d v="2026-08-04T13:57:50"/>
    <d v="2026-08-04T13:57:50"/>
    <s v="Timothy Sanchez"/>
    <x v="1"/>
    <m/>
    <s v="Leather Wallet - Brown"/>
    <s v="Accessories"/>
    <s v="ACC-WLT-BRN"/>
    <n v="1"/>
    <n v="19.989999999999998"/>
    <m/>
    <n v="0"/>
    <n v="5.99"/>
    <s v="$25.98"/>
    <s v="Credit Card"/>
    <x v="0"/>
    <s v="cancelled"/>
    <s v="United States"/>
    <s v="Arizona"/>
    <s v="Valid"/>
    <s v="Walkershire"/>
  </r>
  <r>
    <s v="#2248"/>
    <d v="2026-08-04T00:00:00"/>
    <s v="2026-08-04"/>
    <s v="Jacqueline Miller"/>
    <x v="0"/>
    <s v="jacqueline.miller687@yahoo.com"/>
    <s v="Ceramic Coffee Mug Set (4pc)"/>
    <s v="Home &amp; Kitchen"/>
    <s v="HK-MUG-4PK"/>
    <n v="2"/>
    <n v="18.989999999999998"/>
    <s v="WELCOME10"/>
    <n v="3.8"/>
    <n v="4.99"/>
    <n v="39.17"/>
    <s v="Google Pay"/>
    <x v="2"/>
    <s v="refunded"/>
    <s v="Canada"/>
    <m/>
    <s v="Not Required"/>
    <s v="Abbottchester"/>
  </r>
  <r>
    <s v="#2249"/>
    <d v="2026-08-04T14:07:03"/>
    <d v="2026-08-04T14:07:03"/>
    <s v="Karen Bautista"/>
    <x v="0"/>
    <s v="karen.bautista779@icloud.com"/>
    <s v="Vitamin C Serum 30ml"/>
    <s v="Beauty"/>
    <s v="BTY-SRM-30"/>
    <n v="1"/>
    <n v="24.99"/>
    <s v="VIP15"/>
    <n v="3.75"/>
    <n v="4.99"/>
    <n v="26.23"/>
    <s v="Shopify Payments"/>
    <x v="0"/>
    <s v="fulfilled"/>
    <s v="United States"/>
    <s v="Washington"/>
    <s v="Valid"/>
    <s v="Port Alexander"/>
  </r>
  <r>
    <s v="#2250"/>
    <d v="2026-08-04T14:07:36"/>
    <d v="2026-08-04T14:07:36"/>
    <s v="Mary Garcia"/>
    <x v="0"/>
    <s v="mary.garcia899@icloud.com"/>
    <s v="Slim Fit Denim Jeans"/>
    <s v="Apparel"/>
    <s v="JNS-BLU-32"/>
    <n v="4"/>
    <n v="39.99"/>
    <s v="WELCOME10"/>
    <n v="16"/>
    <n v="0"/>
    <n v="143.96"/>
    <s v="Credit Card"/>
    <x v="3"/>
    <s v="refunded"/>
    <s v="Canada"/>
    <m/>
    <s v="Not Required"/>
    <s v="East Michelle"/>
  </r>
  <r>
    <s v="#2251"/>
    <d v="2026-08-04T14:02:49"/>
    <d v="2026-08-04T14:02:49"/>
    <s v="Ian Morris"/>
    <x v="0"/>
    <s v="ian.morris90@outlook.com"/>
    <s v="Non-Stick Frying Pan 10in"/>
    <s v="Home &amp; Kitchen"/>
    <s v="HK-PAN-10"/>
    <n v="1"/>
    <n v="24.99"/>
    <m/>
    <n v="0"/>
    <n v="7.99"/>
    <n v="32.979999999999997"/>
    <s v="Shopify Payments"/>
    <x v="0"/>
    <s v="refunded"/>
    <s v="Pakistan"/>
    <m/>
    <s v="Not Required"/>
    <s v="East Patriciaborough"/>
  </r>
  <r>
    <s v="#2252"/>
    <d v="2026-08-04T14:06:04"/>
    <d v="2026-08-04T14:06:04"/>
    <s v="Tina Crane"/>
    <x v="0"/>
    <s v="tina.crane554@gmail.com"/>
    <s v="Hooded Sweatshirt"/>
    <s v="Apparel"/>
    <s v="APR-HOD-GRY"/>
    <n v="2"/>
    <n v="34.99"/>
    <m/>
    <n v="0"/>
    <n v="4.99"/>
    <n v="74.97"/>
    <s v="Google Pay"/>
    <x v="2"/>
    <s v="fulfilled"/>
    <s v="United Kingdom"/>
    <m/>
    <s v="Not Required"/>
    <s v="Matthewstad"/>
  </r>
  <r>
    <s v="#2253"/>
    <d v="2026-08-04T13:58:28"/>
    <d v="2026-08-04T13:58:28"/>
    <s v="Sara Sims"/>
    <x v="0"/>
    <s v="sara.sims992@icloud.com"/>
    <s v="Scented Soy Candle - Vanilla"/>
    <s v="Home &amp; Kitchen"/>
    <s v="HK-CND-VAN"/>
    <n v="1"/>
    <n v="9.99"/>
    <m/>
    <n v="0"/>
    <n v="5.99"/>
    <n v="15.98"/>
    <s v="Shopify Payments"/>
    <x v="0"/>
    <s v="fulfilled"/>
    <s v="Germany"/>
    <m/>
    <s v="Not Required"/>
    <s v="Amychester"/>
  </r>
  <r>
    <s v="#2254"/>
    <d v="2026-08-04T13:58:18"/>
    <d v="2026-08-04T13:58:18"/>
    <s v="Misty Martin"/>
    <x v="0"/>
    <s v="misty.martin667@gmail.com"/>
    <s v="Polarized Sunglasses"/>
    <s v="Accessories"/>
    <s v="ACC-SUN-01"/>
    <n v="1"/>
    <n v="16.989999999999998"/>
    <s v=" SAVE20 "/>
    <n v="3.4"/>
    <n v="4.99"/>
    <n v="18.579999999999998"/>
    <s v="Google Pay"/>
    <x v="1"/>
    <s v="fulfilled"/>
    <s v="United States"/>
    <s v="Texas"/>
    <s v="Valid"/>
    <s v="Jimeneztown"/>
  </r>
  <r>
    <s v="#2255"/>
    <d v="2026-08-04T14:03:36"/>
    <d v="2026-08-04T14:03:36"/>
    <s v="Angela Carr"/>
    <x v="0"/>
    <s v="angela.carr488@yahoo.com"/>
    <s v="Non-Stick Frying Pan 10in"/>
    <s v="Home &amp; Kitchen"/>
    <s v="HK-PAN-10"/>
    <n v="1"/>
    <n v="24.99"/>
    <m/>
    <n v="0"/>
    <n v="5.99"/>
    <n v="30.98"/>
    <s v="PayPal"/>
    <x v="0"/>
    <s v="fulfilled"/>
    <s v="United States"/>
    <s v="California"/>
    <s v="Valid"/>
    <s v="East Tammybury"/>
  </r>
  <r>
    <s v="#2256"/>
    <d v="2026-04-08T00:00:00"/>
    <s v="08/04/2026"/>
    <s v="Jaime Vargas"/>
    <x v="0"/>
    <s v="jaime.vargas795@outlook.com"/>
    <s v="Classic Cotton T-Shirt"/>
    <s v="Apparel"/>
    <s v="TSH-BLK-M"/>
    <n v="1"/>
    <n v="14.99"/>
    <s v="BFCM25"/>
    <n v="3.75"/>
    <n v="7.99"/>
    <n v="19.23"/>
    <s v="Google Pay"/>
    <x v="1"/>
    <s v="refunded"/>
    <s v="United Kingdom"/>
    <m/>
    <s v="Not Required"/>
    <s v="Port Rodney"/>
  </r>
  <r>
    <s v="#2257"/>
    <d v="2026-08-04T14:02:54"/>
    <d v="2026-08-04T14:02:54"/>
    <s v="Daniel Parsons"/>
    <x v="0"/>
    <s v="daniel.parsons636@gmail.com"/>
    <s v="Ceramic Coffee Mug Set (4pc)"/>
    <s v="Home &amp; Kitchen"/>
    <s v="HK-MUG-4PK"/>
    <n v="1"/>
    <n v="18.989999999999998"/>
    <m/>
    <n v="0"/>
    <n v="4.99"/>
    <s v="$23.98"/>
    <s v="PayPal"/>
    <x v="0"/>
    <s v="fulfilled"/>
    <s v="United States"/>
    <s v="Florida"/>
    <s v="Valid"/>
    <s v="Romeroview"/>
  </r>
  <r>
    <s v="#2258"/>
    <d v="2026-08-04T14:01:57"/>
    <d v="2026-08-04T14:01:57"/>
    <s v="Sarah Hart"/>
    <x v="0"/>
    <s v="sarah.hart267@yahoo.com"/>
    <s v="USB-C Fast Charger 20W"/>
    <s v="Electronics"/>
    <s v="ELC-CHG-20"/>
    <n v="1"/>
    <n v="15.49"/>
    <s v="VIP15"/>
    <n v="2.3199999999999998"/>
    <n v="4.99"/>
    <s v="$18.16"/>
    <s v="PayPal"/>
    <x v="0"/>
    <s v="fulfilled"/>
    <s v="United Kingdom"/>
    <m/>
    <s v="Not Required"/>
    <s v="West Shawna"/>
  </r>
  <r>
    <s v="#2259"/>
    <d v="2026-08-04T14:02:17"/>
    <d v="2026-08-04T14:02:17"/>
    <s v="Karen Lewis"/>
    <x v="0"/>
    <s v="karen.lewis137@icloud.com"/>
    <s v="Resistance Bands Set"/>
    <s v="Sports &amp; Outdoors"/>
    <s v="SP-RBS-SET"/>
    <n v="1"/>
    <n v="13.99"/>
    <m/>
    <n v="0"/>
    <n v="5.99"/>
    <n v="19.98"/>
    <s v="Google Pay"/>
    <x v="1"/>
    <s v="fulfilled"/>
    <s v="Australia"/>
    <m/>
    <s v="Not Required"/>
    <s v="Port Tylerstad"/>
  </r>
  <r>
    <s v="#2260"/>
    <d v="2026-08-04T13:56:15"/>
    <d v="2026-08-04T13:56:15"/>
    <s v="  Stacey Johnson"/>
    <x v="0"/>
    <s v="stacey.johnson95@gmail.com"/>
    <s v="Leather Wallet - Brown"/>
    <s v="Accessories"/>
    <s v="ACC-WLT-BRN"/>
    <n v="1"/>
    <n v="19.989999999999998"/>
    <s v="BFCM25"/>
    <n v="5"/>
    <n v="5.99"/>
    <n v="20.98"/>
    <s v="Credit Card"/>
    <x v="3"/>
    <s v="refunded"/>
    <s v="Germany"/>
    <m/>
    <s v="Not Required"/>
    <s v="Simonchester"/>
  </r>
  <r>
    <s v="#2261"/>
    <d v="2026-08-04T13:57:24"/>
    <d v="2026-08-04T13:57:24"/>
    <s v="Kristopher Barnett"/>
    <x v="0"/>
    <s v="kristopher.barnett178@outlook.com"/>
    <s v="Facial Cleanser 200ml"/>
    <s v="Beauty"/>
    <s v="BTY-CLN-200"/>
    <n v="2"/>
    <n v="13.49"/>
    <m/>
    <n v="0"/>
    <n v="4.99"/>
    <n v="31.97"/>
    <s v="Shopify Payments"/>
    <x v="3"/>
    <s v="cancelled"/>
    <s v="Australia"/>
    <m/>
    <s v="Not Required"/>
    <s v="East Lisaland"/>
  </r>
  <r>
    <s v="#2262"/>
    <d v="2026-04-08T00:00:00"/>
    <s v="08/04/2026"/>
    <s v="David Duke"/>
    <x v="0"/>
    <s v="david.duke814@icloud.com"/>
    <s v="Polarized Sunglasses"/>
    <s v="Accessories"/>
    <s v="ACC-SUN-01"/>
    <n v="1"/>
    <n v="16.989999999999998"/>
    <s v="BFCM25"/>
    <n v="4.25"/>
    <n v="4.99"/>
    <n v="17.73"/>
    <s v="Google Pay"/>
    <x v="3"/>
    <s v="refunded"/>
    <s v="United States"/>
    <s v="IL"/>
    <s v="Valid"/>
    <s v="West Laura"/>
  </r>
  <r>
    <s v="#2263"/>
    <d v="2026-08-04T14:05:44"/>
    <d v="2026-08-04T14:05:44"/>
    <s v="Vincent Rosales"/>
    <x v="1"/>
    <m/>
    <s v="Running Shoes - Men's"/>
    <s v="Footwear"/>
    <s v="FTW-RUN-M"/>
    <n v="1"/>
    <n v="54.99"/>
    <m/>
    <s v="$0.00"/>
    <n v="7.99"/>
    <n v="62.98"/>
    <s v="Apple Pay"/>
    <x v="3"/>
    <s v="pending"/>
    <s v="United States"/>
    <s v="Georgia"/>
    <s v="Valid"/>
    <s v="Joeview"/>
  </r>
  <r>
    <s v="#2264"/>
    <d v="2026-08-04T00:00:00"/>
    <s v="2026-08-04"/>
    <s v="Chad Smith"/>
    <x v="0"/>
    <s v="chad.smith773@icloud.com"/>
    <s v="Scented Soy Candle - Vanilla"/>
    <s v="Home &amp; Kitchen"/>
    <s v="HK-CND-VAN"/>
    <n v="1"/>
    <n v="9.99"/>
    <s v="SAVE20"/>
    <n v="2"/>
    <n v="5.99"/>
    <n v="13.98"/>
    <s v="PayPal"/>
    <x v="1"/>
    <s v="pending"/>
    <s v="Pakistan"/>
    <m/>
    <s v="Not Required"/>
    <s v="Richardsonview"/>
  </r>
  <r>
    <s v="#2265"/>
    <d v="2026-08-04T14:01:28"/>
    <d v="2026-08-04T14:01:28"/>
    <s v="Heather Rivers"/>
    <x v="0"/>
    <s v="heather.rivers451@icloud.com"/>
    <s v="Vitamin C Serum 30ml"/>
    <s v="Beauty"/>
    <s v="BTY-SRM-30"/>
    <n v="1"/>
    <n v="24.99"/>
    <s v="WELCOME10"/>
    <n v="2.5"/>
    <n v="4.99"/>
    <n v="27.48"/>
    <s v="Shopify Payments"/>
    <x v="2"/>
    <s v="fulfilled"/>
    <s v="United States"/>
    <s v="Arizona"/>
    <s v="Valid"/>
    <s v="North Allisonville"/>
  </r>
  <r>
    <s v="#2266"/>
    <d v="2026-04-08T00:00:00"/>
    <s v="08/04/2026"/>
    <s v="Tracy Kennedy"/>
    <x v="1"/>
    <m/>
    <s v="Stainless Steel Water Bottle"/>
    <s v="Home &amp; Kitchen"/>
    <s v="HK-BTL-750"/>
    <n v="1"/>
    <n v="12.99"/>
    <s v="SAVE20"/>
    <n v="2.6"/>
    <n v="7.99"/>
    <n v="18.38"/>
    <s v="Credit Card"/>
    <x v="0"/>
    <s v="cancelled"/>
    <s v="Pakistan"/>
    <m/>
    <s v="Not Required"/>
    <s v="New Richardhaven"/>
  </r>
  <r>
    <s v="#2267"/>
    <d v="2026-08-04T13:56:47"/>
    <d v="2026-08-04T13:56:47"/>
    <s v="Natalie Dixon"/>
    <x v="0"/>
    <s v="natalie.dixon388@outlook.com"/>
    <s v="Running Shoes - Men's"/>
    <s v="Footwear"/>
    <s v="FTW-RUN-M"/>
    <n v="1"/>
    <n v="54.99"/>
    <m/>
    <s v="$0.00"/>
    <n v="5.99"/>
    <n v="60.98"/>
    <s v="PayPal"/>
    <x v="0"/>
    <s v="fulfilled"/>
    <s v="United States"/>
    <s v="Ohio"/>
    <s v="Valid"/>
    <s v="Port Megan"/>
  </r>
  <r>
    <s v="#2268"/>
    <d v="2026-08-04T13:58:37"/>
    <d v="2026-08-04T13:58:37"/>
    <s v="Jeremy Hicks"/>
    <x v="0"/>
    <s v="jeremy.hicks984@yahoo.com"/>
    <s v="Scented Soy Candle - Vanilla"/>
    <s v="Home &amp; Kitchen"/>
    <s v="HK-CND-VAN"/>
    <n v="1"/>
    <n v="9.99"/>
    <s v="BFCM25"/>
    <n v="2.5"/>
    <n v="7.99"/>
    <n v="15.48"/>
    <s v="PayPal"/>
    <x v="2"/>
    <s v="refunded"/>
    <s v="United Kingdom"/>
    <m/>
    <s v="Not Required"/>
    <s v="Port Patrickton"/>
  </r>
  <r>
    <s v="#2269"/>
    <d v="2026-08-04T14:06:36"/>
    <d v="2026-08-04T14:06:36"/>
    <s v="Kathleen Mayer"/>
    <x v="0"/>
    <s v="kathleen.mayer237@outlook.com"/>
    <s v="Running Shoes - Women's"/>
    <s v="Footwear"/>
    <s v="FTW-RUN-W"/>
    <n v="3"/>
    <n v="54.99"/>
    <s v="VIP15"/>
    <n v="24.75"/>
    <n v="0"/>
    <n v="140.22"/>
    <s v="Credit Card"/>
    <x v="3"/>
    <s v="fulfilled"/>
    <s v="United States"/>
    <s v="Illinois"/>
    <s v="Valid"/>
    <s v="Lake Elizabethside"/>
  </r>
  <r>
    <s v="#2270"/>
    <d v="2026-08-04T13:56:04"/>
    <d v="2026-08-04T13:56:04"/>
    <s v="Lauren Howard"/>
    <x v="0"/>
    <s v="lauren.howard163@icloud.com"/>
    <s v="Adjustable Dumbbell Set"/>
    <s v="Sports &amp; Outdoors"/>
    <s v="SP-DMB-ADJ"/>
    <n v="3"/>
    <n v="89.99"/>
    <m/>
    <n v="0"/>
    <n v="0"/>
    <n v="269.97000000000003"/>
    <s v="PayPal"/>
    <x v="2"/>
    <s v="pending"/>
    <s v="United States"/>
    <s v="Washington"/>
    <s v="Valid"/>
    <s v="Mcdonaldfurt"/>
  </r>
  <r>
    <s v="#2271"/>
    <d v="2026-08-04T13:56:45"/>
    <d v="2026-08-04T13:56:45"/>
    <s v="Brian Ruiz"/>
    <x v="0"/>
    <s v="brian.ruiz246@gmail.com"/>
    <s v="Portable Power Bank 10000mAh"/>
    <s v="Electronics"/>
    <s v="ELC-PWB-10K"/>
    <n v="1"/>
    <n v="21.99"/>
    <m/>
    <n v="0"/>
    <n v="7.99"/>
    <n v="29.98"/>
    <s v="Credit Card"/>
    <x v="2"/>
    <s v="fulfilled"/>
    <s v="Germany"/>
    <m/>
    <s v="Not Required"/>
    <s v="Chelseatown"/>
  </r>
  <r>
    <s v="#2272"/>
    <d v="2026-04-08T00:00:00"/>
    <s v="08/04/2026"/>
    <s v="Marcus Sloan"/>
    <x v="1"/>
    <m/>
    <s v="Classic Cotton T-Shirt"/>
    <s v="Apparel"/>
    <s v="TSH-BLK-L"/>
    <n v="2"/>
    <s v="$14.99"/>
    <s v="WELCOME10"/>
    <n v="3"/>
    <n v="4.99"/>
    <n v="31.97"/>
    <s v="Shopify Payments"/>
    <x v="0"/>
    <s v="refunded"/>
    <s v="United States"/>
    <s v="Florida"/>
    <s v="Valid"/>
    <s v="North Kevinville"/>
  </r>
  <r>
    <s v="#2273"/>
    <d v="2026-08-04T14:07:38"/>
    <d v="2026-08-04T14:07:38"/>
    <s v="Christopher Harrington"/>
    <x v="0"/>
    <s v="christopher.harrington960@gmail.com"/>
    <s v="Resistance Bands Set"/>
    <s v="Sports &amp; Outdoors"/>
    <s v="SP-RBS-SET"/>
    <n v="2"/>
    <n v="13.99"/>
    <m/>
    <n v="0"/>
    <n v="7.99"/>
    <n v="35.97"/>
    <s v="PayPal"/>
    <x v="1"/>
    <s v="fulfilled"/>
    <s v="Australia"/>
    <m/>
    <s v="Not Required"/>
    <s v="Wrighttown"/>
  </r>
  <r>
    <s v="#2274"/>
    <d v="2026-08-04T13:56:16"/>
    <d v="2026-08-04T13:56:16"/>
    <s v="Mark Mata"/>
    <x v="0"/>
    <s v="mark.mata757@outlook.com"/>
    <s v="Stainless Steel Water Bottle"/>
    <s v="Home &amp; Kitchen"/>
    <s v="HK-BTL-750"/>
    <n v="1"/>
    <s v="$12.99"/>
    <m/>
    <n v="0"/>
    <n v="4.99"/>
    <n v="899"/>
    <s v="Google Pay"/>
    <x v="0"/>
    <s v="refunded"/>
    <s v="United States"/>
    <s v="Florida"/>
    <s v="Valid"/>
    <s v="Taylortown"/>
  </r>
  <r>
    <s v="#2275"/>
    <d v="2026-08-04T14:02:08"/>
    <d v="2026-08-04T14:02:08"/>
    <s v="Tiffany Jones"/>
    <x v="0"/>
    <s v="tiffany.jones564@outlook.com"/>
    <s v="Non-Stick Frying Pan 10in"/>
    <s v="Home &amp; Kitchen"/>
    <s v="HK-PAN-10"/>
    <n v="2"/>
    <n v="24.99"/>
    <s v="FREESHIP"/>
    <s v="$0.00"/>
    <n v="0"/>
    <n v="49.98"/>
    <s v="Apple Pay"/>
    <x v="3"/>
    <s v="refunded"/>
    <s v="Germany"/>
    <m/>
    <s v="Not Required"/>
    <s v="East Patriciahaven"/>
  </r>
  <r>
    <s v="#2276"/>
    <d v="2026-08-04T00:00:00"/>
    <s v="Aug 04, 2026"/>
    <s v="Tracy Adams"/>
    <x v="0"/>
    <s v="tracy.adams712@icloud.com"/>
    <s v="Portable Power Bank 10000mAh"/>
    <s v="Electronics"/>
    <s v="ELC-PWB-10K"/>
    <n v="1"/>
    <n v="21.99"/>
    <s v="BFCM25"/>
    <n v="5.5"/>
    <n v="5.99"/>
    <n v="22.48"/>
    <s v="Apple Pay"/>
    <x v="0"/>
    <s v="refunded"/>
    <s v="United States"/>
    <s v="California"/>
    <s v="Valid"/>
    <s v="North Katherine"/>
  </r>
  <r>
    <s v="#2277"/>
    <d v="2026-08-04T13:54:16"/>
    <d v="2026-08-04T13:54:16"/>
    <s v="Arthur Kelley"/>
    <x v="0"/>
    <s v="arthur.kelley558@gmail.com"/>
    <s v="Classic Cotton T Shirt"/>
    <s v="Apparel"/>
    <s v="TSH-BLK-L"/>
    <n v="1"/>
    <n v="14.99"/>
    <s v="VIP15"/>
    <s v="$2.25"/>
    <n v="4.99"/>
    <n v="17.73"/>
    <s v="Google Pay"/>
    <x v="0"/>
    <s v="fulfilled"/>
    <s v="Australia"/>
    <m/>
    <s v="Not Required"/>
    <s v="Alextown"/>
  </r>
  <r>
    <s v="#2278"/>
    <d v="2026-08-04T13:58:15"/>
    <d v="2026-08-04T13:58:15"/>
    <s v="Darin Alvarez"/>
    <x v="0"/>
    <s v="darin.alvarez843@gmail.com"/>
    <s v="Adjustable Dumbbell Set"/>
    <s v="Sports &amp; Outdoors"/>
    <s v="SP-DMB-ADJ"/>
    <n v="1"/>
    <s v="$89.99"/>
    <m/>
    <n v="0"/>
    <n v="0"/>
    <n v="89.99"/>
    <s v="Google Pay"/>
    <x v="1"/>
    <s v="fulfilled"/>
    <s v="Canada"/>
    <m/>
    <s v="Not Required"/>
    <s v="Howardmouth"/>
  </r>
  <r>
    <s v="#2279"/>
    <d v="2026-08-04T14:06:32"/>
    <d v="2026-08-04T14:06:32"/>
    <s v="Christopher Martin"/>
    <x v="0"/>
    <s v="christopher.martin10@gmail.com"/>
    <s v="Classic Cotton T-Shirt"/>
    <s v="Apparel"/>
    <s v="TSH-BLK-L"/>
    <n v="1"/>
    <n v="14.99"/>
    <m/>
    <n v="0"/>
    <n v="7.99"/>
    <n v="22.98"/>
    <s v="PayPal"/>
    <x v="2"/>
    <s v="fulfilled"/>
    <s v="United States"/>
    <s v="North Carolina"/>
    <s v="Valid"/>
    <s v="New Angela"/>
  </r>
  <r>
    <s v="#2280"/>
    <d v="2026-04-08T00:00:00"/>
    <s v="08/04/2026"/>
    <s v="Allen Diaz"/>
    <x v="0"/>
    <s v="allen.diaz546@gmail.com"/>
    <s v="Classic Cotton T-Shirt"/>
    <s v="Apparel"/>
    <s v="TSH-BLK-M"/>
    <n v="1"/>
    <n v="14.99"/>
    <s v="BFCM25"/>
    <n v="3.75"/>
    <n v="5.99"/>
    <n v="17.23"/>
    <s v="Apple Pay"/>
    <x v="0"/>
    <s v="fulfilled"/>
    <s v="United States"/>
    <s v="Georgia"/>
    <s v="Valid"/>
    <s v="East Peggyport"/>
  </r>
  <r>
    <s v="#2281"/>
    <d v="2026-08-04T00:00:00"/>
    <s v="2026-08-04"/>
    <s v="Joshua Owens"/>
    <x v="0"/>
    <s v="joshua.owens56@icloud.com"/>
    <s v="USB-C Fast Charger 20W"/>
    <s v="Electronics"/>
    <s v="ELC-CHG-20"/>
    <n v="1"/>
    <n v="15.49"/>
    <m/>
    <n v="0"/>
    <n v="5.99"/>
    <n v="21.48"/>
    <s v="Apple Pay"/>
    <x v="0"/>
    <s v="fulfilled"/>
    <s v="United States"/>
    <s v="Canada"/>
    <s v="Valid"/>
    <s v="New Charlesport"/>
  </r>
  <r>
    <s v="#2282"/>
    <d v="2026-08-04T13:54:08"/>
    <d v="2026-08-04T13:54:08"/>
    <s v="Amanda Rodriguez"/>
    <x v="0"/>
    <s v="amanda.rodriguez770@yahoo.com"/>
    <s v="Throw Blanket - Fleece"/>
    <s v="Home &amp; Kitchen"/>
    <s v="HK-BLK-FLC"/>
    <n v="1"/>
    <n v="17.989999999999998"/>
    <s v="WELCOME10"/>
    <s v="$1.80"/>
    <n v="4.99"/>
    <n v="21.18"/>
    <s v="Credit Card"/>
    <x v="1"/>
    <s v="refunded"/>
    <s v="United States"/>
    <s v="Ohio"/>
    <s v="Valid"/>
    <s v="East Wesleyberg"/>
  </r>
  <r>
    <s v="#2283"/>
    <d v="2026-08-04T13:59:24"/>
    <d v="2026-08-04T13:59:24"/>
    <s v="Tracy Adams"/>
    <x v="0"/>
    <s v="tracy.adams712@icloud.com"/>
    <s v="Stainless Steel Water Bottle"/>
    <s v="Home &amp; Kitchen"/>
    <s v="HK-BTL-750"/>
    <n v="4"/>
    <n v="12.99"/>
    <m/>
    <n v="0"/>
    <n v="7.99"/>
    <s v="$59.95"/>
    <s v="PayPal"/>
    <x v="0"/>
    <s v="fulfilled"/>
    <s v="United States"/>
    <s v="California"/>
    <s v="Valid"/>
    <s v="New Ann"/>
  </r>
  <r>
    <s v="#2284"/>
    <d v="2026-08-04T14:01:47"/>
    <d v="2026-08-04T14:01:47"/>
    <m/>
    <x v="0"/>
    <s v="timothy.hodges687@icloud.com"/>
    <s v="Running Shoes - Women's"/>
    <s v="Footwear"/>
    <s v="FTW-RUN-W"/>
    <n v="1"/>
    <n v="54.99"/>
    <s v="BFCM25"/>
    <n v="13.75"/>
    <n v="5.99"/>
    <n v="47.23"/>
    <s v="PayPal"/>
    <x v="0"/>
    <s v="refunded"/>
    <s v="Australia"/>
    <m/>
    <s v="Not Required"/>
    <s v="Simonton"/>
  </r>
  <r>
    <s v="#2285"/>
    <d v="2026-08-04T14:05:56"/>
    <d v="2026-08-04T14:05:56"/>
    <s v="Amanda Robinson"/>
    <x v="0"/>
    <s v="amanda.robinson263@icloud.com"/>
    <s v="Wireless Mouse"/>
    <s v="Electronics"/>
    <s v="ELC-MSE-WL"/>
    <n v="1"/>
    <n v="11.99"/>
    <s v="SAVE20"/>
    <s v="$2.40"/>
    <n v="7.99"/>
    <n v="17.579999999999998"/>
    <s v="Apple Pay"/>
    <x v="0"/>
    <s v="fulfilled"/>
    <s v="United States"/>
    <s v="New York"/>
    <s v="Valid"/>
    <s v="Hodgechester"/>
  </r>
  <r>
    <s v="#2286"/>
    <d v="2026-08-04T00:00:00"/>
    <s v="04-08-2026 13:57"/>
    <s v="Joshua Chavez"/>
    <x v="1"/>
    <m/>
    <s v="Running Shoes - Men's"/>
    <s v="Footwear"/>
    <s v="FTW-RUN-M"/>
    <n v="1"/>
    <n v="54.99"/>
    <s v="SAVE20"/>
    <n v="11"/>
    <n v="4.99"/>
    <n v="48.98"/>
    <s v="Credit Card"/>
    <x v="1"/>
    <s v="fulfilled"/>
    <s v="United States"/>
    <s v="Texas"/>
    <s v="Valid"/>
    <s v="Kathrynshire"/>
  </r>
  <r>
    <s v="#2287"/>
    <d v="2026-08-04T14:01:06"/>
    <d v="2026-08-04T14:01:06"/>
    <s v="David Hernandez"/>
    <x v="0"/>
    <s v="david.hernandez260@yahoo.com"/>
    <s v="Portable Power Bank 10000mAh"/>
    <s v="Electronics"/>
    <s v="ELC-PWB-10K"/>
    <n v="1"/>
    <n v="21.99"/>
    <m/>
    <n v="0"/>
    <n v="5.99"/>
    <n v="27.98"/>
    <s v="Apple Pay"/>
    <x v="0"/>
    <s v="refunded"/>
    <s v="Australia"/>
    <m/>
    <s v="Not Required"/>
    <s v="Barbaraland"/>
  </r>
  <r>
    <s v="#2288"/>
    <d v="2026-08-04T14:02:51"/>
    <d v="2026-08-04T14:02:51"/>
    <s v="Timothy Becker"/>
    <x v="0"/>
    <s v="timothy.becker88@yahoo.com"/>
    <s v="Backpack - 25L  "/>
    <s v="Accessories"/>
    <s v="ACC-BPK-25L"/>
    <n v="2"/>
    <n v="32.99"/>
    <s v="VIP15"/>
    <n v="9.9"/>
    <n v="7.99"/>
    <n v="64.069999999999993"/>
    <s v="Apple Pay"/>
    <x v="0"/>
    <s v="cancelled"/>
    <s v="United States"/>
    <s v="Ohio"/>
    <s v="Valid"/>
    <s v="Stevensberg"/>
  </r>
  <r>
    <s v="#2289"/>
    <d v="2026-08-04T13:59:11"/>
    <d v="2026-08-04T13:59:11"/>
    <s v="Alan Davis"/>
    <x v="0"/>
    <s v="alan.davis483@icloud.com"/>
    <s v="Phone Case - Clear"/>
    <s v="Electronics"/>
    <s v="ELC-CSE-CLR"/>
    <n v="1"/>
    <n v="8.99"/>
    <m/>
    <n v="0"/>
    <n v="7.99"/>
    <n v="16.98"/>
    <s v="Google Pay"/>
    <x v="3"/>
    <s v="cancelled"/>
    <s v="Canada"/>
    <m/>
    <s v="Not Required"/>
    <s v="West Donald"/>
  </r>
  <r>
    <s v="#2290"/>
    <d v="2026-08-04T13:53:53"/>
    <d v="2026-08-04T13:53:53"/>
    <s v="Kayla Cruz"/>
    <x v="0"/>
    <s v="kayla.cruz151@outlook.com"/>
    <s v="Adjustable Dumbbell Set"/>
    <s v="Sports &amp; Outdoors"/>
    <s v="SP-DMB-ADJ"/>
    <n v="2"/>
    <n v="89.99"/>
    <m/>
    <s v="$0.00"/>
    <n v="0"/>
    <n v="179.98"/>
    <s v="Credit Card"/>
    <x v="0"/>
    <s v="fulfilled"/>
    <s v="Pakistan"/>
    <m/>
    <s v="Not Required"/>
    <s v="Mariatown"/>
  </r>
  <r>
    <s v="#2291"/>
    <d v="2026-08-04T13:59:56"/>
    <d v="2026-08-04T13:59:56"/>
    <s v="Andrea Martinez"/>
    <x v="0"/>
    <s v="andrea.martinez756@yahoo.com"/>
    <s v="Polarized Sunglasses"/>
    <s v="Accessories"/>
    <s v="ACC-SUN-01"/>
    <n v="1"/>
    <n v="16.989999999999998"/>
    <s v="BFCM25"/>
    <n v="4.25"/>
    <n v="5.99"/>
    <n v="18.73"/>
    <s v="Shopify Payments"/>
    <x v="1"/>
    <s v="pending"/>
    <s v="Australia"/>
    <m/>
    <s v="Not Required"/>
    <s v="Christopherland"/>
  </r>
  <r>
    <s v="#2292"/>
    <d v="2026-08-04T14:00:09"/>
    <d v="2026-08-04T14:00:09"/>
    <s v="DANIELLE THORNTON"/>
    <x v="0"/>
    <s v="danielle.thornton674@icloud.com"/>
    <s v="Wireless Bluetooth Earbuds"/>
    <s v="Electronics"/>
    <s v="ELC-WBE-01"/>
    <n v="2"/>
    <n v="29.99"/>
    <m/>
    <n v="0"/>
    <n v="5.99"/>
    <n v="65.97"/>
    <s v="Apple Pay"/>
    <x v="0"/>
    <s v="cancelled"/>
    <s v="United States"/>
    <s v="New York"/>
    <s v="Valid"/>
    <s v="Christophershire"/>
  </r>
  <r>
    <s v="#2293"/>
    <d v="2026-04-08T00:00:00"/>
    <s v="08/04/2026"/>
    <s v="Paul Dillon"/>
    <x v="0"/>
    <s v="paul.dillon750@icloud.com"/>
    <s v="Ceramic Coffee Mug Set (4pc)"/>
    <s v="Home &amp; Kitchen"/>
    <s v="HK-MUG-4PK"/>
    <n v="3"/>
    <n v="18.989999999999998"/>
    <s v="BFCM25"/>
    <n v="14.24"/>
    <n v="4.99"/>
    <n v="47.72"/>
    <s v="PayPal"/>
    <x v="0"/>
    <s v="fulfilled"/>
    <s v="Australia"/>
    <m/>
    <s v="Not Required"/>
    <s v="New Danielle"/>
  </r>
  <r>
    <s v="#2294"/>
    <d v="2026-08-04T13:58:10"/>
    <d v="2026-08-04T13:58:10"/>
    <s v="John Jacobs"/>
    <x v="0"/>
    <s v="john.jacobs137@yahoo.com"/>
    <s v="Ceramic Coffee Mug Set (4pc)"/>
    <s v="Home &amp; Kitchen"/>
    <s v="HK-MUG-4PK"/>
    <n v="2"/>
    <s v="$18.99"/>
    <m/>
    <n v="0"/>
    <n v="5.99"/>
    <n v="43.97"/>
    <s v="Google Pay"/>
    <x v="0"/>
    <s v="fulfilled"/>
    <s v="Australia"/>
    <m/>
    <s v="Not Required"/>
    <s v="Port Brentton"/>
  </r>
  <r>
    <s v="#2295"/>
    <d v="2026-08-04T13:54:19"/>
    <d v="2026-08-04T13:54:19"/>
    <s v="MICHELE DAVIS"/>
    <x v="0"/>
    <s v="michele.davis844@gmail.com"/>
    <s v="Classic Cotton T-Shirt"/>
    <s v="Apparel"/>
    <s v="TSH-BLK-L"/>
    <n v="2"/>
    <n v="14.99"/>
    <m/>
    <n v="0"/>
    <n v="7.99"/>
    <n v="37.97"/>
    <s v="Google Pay"/>
    <x v="0"/>
    <s v="fulfilled"/>
    <s v="Australia"/>
    <m/>
    <s v="Not Required"/>
    <s v="North April"/>
  </r>
  <r>
    <s v="#2296"/>
    <d v="2026-08-04T00:00:00"/>
    <s v="Aug 04, 2026"/>
    <s v="Taylor Lee"/>
    <x v="0"/>
    <s v="taylor.lee613@gmail.com"/>
    <s v="Vitamin C Serum 30ml"/>
    <s v="Beauty"/>
    <s v="BTY-SRM-30"/>
    <n v="1"/>
    <n v="24.99"/>
    <s v="VIP15"/>
    <n v="3.75"/>
    <n v="4.99"/>
    <n v="26.23"/>
    <s v="Shopify Payments"/>
    <x v="0"/>
    <s v="cancelled"/>
    <s v="United Kingdom"/>
    <m/>
    <s v="Not Required"/>
    <s v="Ashleyborough"/>
  </r>
  <r>
    <s v="#2297"/>
    <d v="2026-08-04T13:53:39"/>
    <d v="2026-08-04T13:53:39"/>
    <s v="Debbie Joseph"/>
    <x v="0"/>
    <s v="debbie.joseph531@outlook.com"/>
    <s v="USB-C Fast Charger 20W"/>
    <s v="Electronics"/>
    <s v="ELC-CHG-20"/>
    <n v="1"/>
    <n v="15.49"/>
    <m/>
    <n v="0"/>
    <n v="7.99"/>
    <n v="23.48"/>
    <s v="Google Pay"/>
    <x v="0"/>
    <s v="fulfilled"/>
    <s v="United States"/>
    <s v="Canada"/>
    <s v="Valid"/>
    <s v="East Sandra"/>
  </r>
  <r>
    <s v="#2298"/>
    <d v="2026-08-04T14:01:25"/>
    <d v="2026-08-04T14:01:25"/>
    <s v="Kayla Lee"/>
    <x v="0"/>
    <s v="kayla.lee278@yahoo.com"/>
    <s v="Backpack - 25L"/>
    <s v="Accessories"/>
    <s v="ACC-BPK-25L"/>
    <n v="1"/>
    <n v="32.99"/>
    <s v="VIP15"/>
    <n v="4.95"/>
    <n v="5.99"/>
    <n v="34.03"/>
    <s v="PayPal"/>
    <x v="0"/>
    <s v="refunded"/>
    <s v="United Kingdom"/>
    <m/>
    <s v="Not Required"/>
    <s v="New Bradley"/>
  </r>
  <r>
    <s v="#2299"/>
    <d v="2026-08-04T14:08:06"/>
    <d v="2026-08-04T14:08:06"/>
    <s v="TINA SINGH"/>
    <x v="0"/>
    <s v="tina.singh98@icloud.com"/>
    <s v="Non-Stick Frying Pan 10in"/>
    <s v="Home &amp; Kitchen"/>
    <s v="HK-PAN-10"/>
    <n v="1"/>
    <n v="24.99"/>
    <m/>
    <n v="0"/>
    <n v="7.99"/>
    <n v="32.979999999999997"/>
    <s v="PayPal"/>
    <x v="0"/>
    <s v="fulfilled"/>
    <s v="United States"/>
    <s v="Georgia"/>
    <s v="Valid"/>
    <s v="Port Alejandrohaven"/>
  </r>
  <r>
    <s v="#2300"/>
    <d v="2026-08-04T13:55:16"/>
    <d v="2026-08-04T13:55:16"/>
    <s v="Christopher Martin"/>
    <x v="0"/>
    <s v="christopher.martin10@gmail.com"/>
    <s v="Throw Blanket - Fleece"/>
    <s v="Home &amp; Kitchen"/>
    <s v="HK-BLK-FLC"/>
    <n v="2"/>
    <n v="17.989999999999998"/>
    <m/>
    <n v="0"/>
    <n v="5.99"/>
    <n v="41.97"/>
    <s v="PayPal"/>
    <x v="0"/>
    <s v="refunded"/>
    <s v="United States"/>
    <s v="Ohio"/>
    <s v="Valid"/>
    <s v="Bestview"/>
  </r>
  <r>
    <s v="#2301"/>
    <d v="2026-08-04T13:58:45"/>
    <d v="2026-08-04T13:58:45"/>
    <s v="Megan Dickson"/>
    <x v="0"/>
    <s v="megan.dickson508@gmail.com"/>
    <s v="Running Shoes - Women's"/>
    <s v="Footwear"/>
    <s v="FTW-RUN-W"/>
    <n v="2"/>
    <n v="54.99"/>
    <m/>
    <n v="0"/>
    <n v="0"/>
    <n v="109.98"/>
    <s v="Credit Card"/>
    <x v="0"/>
    <s v="refunded"/>
    <s v="United Kingdom"/>
    <m/>
    <s v="Not Required"/>
    <s v="Stanleyside"/>
  </r>
  <r>
    <s v="#2302"/>
    <d v="2026-08-04T14:02:34"/>
    <d v="2026-08-04T14:02:34"/>
    <s v="Peter Alvarez"/>
    <x v="0"/>
    <s v="peter.alvarez465@yahoo.com"/>
    <s v="Ceramic Coffee Mug Set (4pc)"/>
    <s v="Home &amp; Kitchen"/>
    <s v="HK-MUG-4PK"/>
    <n v="1"/>
    <n v="18.989999999999998"/>
    <s v="BFCM25"/>
    <n v="4.75"/>
    <n v="5.99"/>
    <n v="20.23"/>
    <s v="PayPal"/>
    <x v="0"/>
    <s v="refunded"/>
    <s v="United States"/>
    <s v="North Carolina"/>
    <s v="Valid"/>
    <s v="North Angela"/>
  </r>
  <r>
    <s v="#2303"/>
    <d v="2026-04-08T00:00:00"/>
    <s v="08/04/2026"/>
    <s v="Sharon Brown"/>
    <x v="0"/>
    <s v="sharon.brown14@gmail.com"/>
    <s v="Portable Power Bank 10000mAh"/>
    <s v="Electronics"/>
    <s v="ELC-PWB-10K"/>
    <n v="1"/>
    <n v="21.99"/>
    <m/>
    <n v="0"/>
    <n v="7.99"/>
    <n v="29.98"/>
    <s v="Shopify Payments"/>
    <x v="1"/>
    <s v="refunded"/>
    <s v="United States"/>
    <s v="Texas"/>
    <s v="Valid"/>
    <s v="Port Traceyton"/>
  </r>
  <r>
    <s v="#2304"/>
    <d v="2026-08-04T13:56:47"/>
    <d v="2026-08-04T13:56:47"/>
    <s v="Victoria Wilson"/>
    <x v="0"/>
    <s v="victoria.wilson114@gmail.com"/>
    <s v="Vitamin C Serum 30ml"/>
    <s v="Beauty"/>
    <s v="BTY-SRM-30"/>
    <n v="1"/>
    <n v="24.99"/>
    <s v="FREESHIP"/>
    <n v="0"/>
    <n v="0"/>
    <n v="24.99"/>
    <s v="Shopify Payments"/>
    <x v="1"/>
    <s v="fulfilled"/>
    <s v="Canada"/>
    <m/>
    <s v="Not Required"/>
    <s v="Michealtown"/>
  </r>
  <r>
    <s v="#2305"/>
    <d v="2026-08-04T14:07:06"/>
    <d v="2026-08-04T14:07:06"/>
    <s v="James Miller"/>
    <x v="0"/>
    <s v="james.miller866@yahoo.com"/>
    <s v="USB-C Fast Charger 20W"/>
    <s v="Electronics"/>
    <s v="ELC-CHG-20"/>
    <n v="1"/>
    <n v="15.49"/>
    <m/>
    <n v="0"/>
    <n v="7.99"/>
    <n v="23.48"/>
    <s v="Google Pay"/>
    <x v="0"/>
    <s v="fulfilled"/>
    <s v="Pakistan"/>
    <m/>
    <s v="Not Required"/>
    <s v="Johnsonmouth"/>
  </r>
  <r>
    <s v="#2306"/>
    <d v="2026-08-04T14:03:23"/>
    <d v="2026-08-04T14:03:23"/>
    <s v="Kimberly Estrada"/>
    <x v="0"/>
    <s v="kimberly.estrada858@gmail.com"/>
    <s v="Non-Stick Frying Pan 10in"/>
    <s v="Home &amp; Kitchen"/>
    <s v="HK-PAN-10"/>
    <n v="2"/>
    <n v="24.99"/>
    <s v="VIP15"/>
    <n v="7.5"/>
    <n v="4.99"/>
    <n v="47.47"/>
    <s v="Google Pay"/>
    <x v="1"/>
    <s v="pending"/>
    <s v="Canada"/>
    <m/>
    <s v="Not Required"/>
    <s v="Grimesport"/>
  </r>
  <r>
    <s v="#2307"/>
    <d v="2026-08-04T14:01:36"/>
    <d v="2026-08-04T14:01:36"/>
    <s v="Natalie Dixon"/>
    <x v="0"/>
    <s v="natalie.dixon388@outlook.com"/>
    <s v="Resistance Bands Set"/>
    <s v="Sports &amp; Outdoors"/>
    <s v="SP-RBS-SET"/>
    <n v="1"/>
    <n v="13.99"/>
    <m/>
    <n v="0"/>
    <n v="5.99"/>
    <n v="19.98"/>
    <s v="Google Pay"/>
    <x v="0"/>
    <s v="fulfilled"/>
    <s v="United States"/>
    <s v="WA"/>
    <s v="Valid"/>
    <s v="Jennifershire"/>
  </r>
  <r>
    <s v="#2308"/>
    <d v="2026-04-08T00:00:00"/>
    <s v="08/04/2026"/>
    <s v="Michael Hays"/>
    <x v="0"/>
    <s v="michael.hays590@gmail.com"/>
    <s v="Classic Cotton T-Shirt"/>
    <s v="Apparel"/>
    <s v="TSH-BLK-M"/>
    <n v="1"/>
    <n v="14.99"/>
    <s v="VIP15"/>
    <n v="2.25"/>
    <n v="7.99"/>
    <n v="20.73"/>
    <s v="PayPal"/>
    <x v="0"/>
    <s v="fulfilled"/>
    <s v="United States"/>
    <s v="Georgia"/>
    <s v="Valid"/>
    <s v="Joseborough"/>
  </r>
  <r>
    <s v="#2309"/>
    <d v="2026-08-04T14:03:36"/>
    <d v="2026-08-04T14:03:36"/>
    <s v="Mary Garcia"/>
    <x v="0"/>
    <s v="mary.garcia899@icloud.com"/>
    <s v="Hooded Sweatshirt"/>
    <s v="Apparel"/>
    <s v="APR-HOD-GRY"/>
    <n v="2"/>
    <n v="34.99"/>
    <m/>
    <n v="0"/>
    <n v="4.99"/>
    <n v="74.97"/>
    <s v="PayPal"/>
    <x v="3"/>
    <s v="refunded"/>
    <s v="Canada"/>
    <m/>
    <s v="Not Required"/>
    <s v="Andresmouth"/>
  </r>
  <r>
    <s v="#2310"/>
    <d v="2026-04-08T00:00:00"/>
    <s v="08/04/2026"/>
    <s v="THOMAS ROJAS"/>
    <x v="0"/>
    <s v="thomas.rojas667@icloud.com"/>
    <s v="Wireless Bluetooth Earbuds"/>
    <s v="Electronics"/>
    <s v="ELC-WBE-01"/>
    <n v="1"/>
    <n v="29.99"/>
    <s v="SAVE20"/>
    <n v="6"/>
    <n v="5.99"/>
    <n v="29.98"/>
    <s v="Credit Card"/>
    <x v="3"/>
    <s v="cancelled"/>
    <s v="United States"/>
    <s v="Arizona"/>
    <s v="Valid"/>
    <s v="Harrischester"/>
  </r>
  <r>
    <s v="#2311"/>
    <d v="2026-08-04T14:02:25"/>
    <d v="2026-08-04T14:02:25"/>
    <s v="Amanda Robinson"/>
    <x v="0"/>
    <s v="amanda.robinson263@icloud.com"/>
    <s v="Running Shoes - Women's"/>
    <s v="Footwear"/>
    <s v="FTW-RUN-W"/>
    <n v="1"/>
    <n v="54.99"/>
    <s v="FREESHIP"/>
    <n v="0"/>
    <n v="0"/>
    <n v="54.99"/>
    <s v="Apple Pay"/>
    <x v="3"/>
    <s v="fulfilled"/>
    <s v="United States"/>
    <s v="Arizona"/>
    <s v="Valid"/>
    <s v="Jenniferfurt"/>
  </r>
  <r>
    <s v="#2312"/>
    <d v="2026-08-04T14:05:46"/>
    <d v="2026-08-04T14:05:46"/>
    <s v="Matthew Riley"/>
    <x v="0"/>
    <s v="matthew.riley309@yahoo.com"/>
    <s v="Resistance Bands Set"/>
    <s v="Sports &amp; Outdoors"/>
    <s v="SP-RBS-SET"/>
    <n v="1"/>
    <n v="13.99"/>
    <s v="FREESHIP"/>
    <n v="0"/>
    <n v="0"/>
    <n v="13.99"/>
    <s v="Google Pay"/>
    <x v="1"/>
    <s v="fulfilled"/>
    <s v="Canada"/>
    <m/>
    <s v="Not Required"/>
    <s v="Velezshire"/>
  </r>
  <r>
    <s v="#2313"/>
    <d v="2026-08-04T14:01:15"/>
    <d v="2026-08-04T14:01:15"/>
    <s v="Christopher Osborne"/>
    <x v="0"/>
    <s v="christopher.osborne481@yahoo.com"/>
    <s v="Adjustable Dumbbell Set"/>
    <s v="Sports &amp; Outdoors"/>
    <s v="SP-DMB-ADJ"/>
    <n v="2"/>
    <n v="89.99"/>
    <s v="SAVE20"/>
    <n v="36"/>
    <n v="0"/>
    <n v="143.97999999999999"/>
    <s v="Shopify Payments"/>
    <x v="0"/>
    <s v="fulfilled"/>
    <s v="United States"/>
    <s v="California"/>
    <s v="Valid"/>
    <s v="South Anthony"/>
  </r>
  <r>
    <s v="#2314"/>
    <d v="2026-08-04T13:59:12"/>
    <d v="2026-08-04T13:59:12"/>
    <s v="darin alvarez"/>
    <x v="0"/>
    <s v="darin.alvarez843@gmail.com"/>
    <s v="Polarized Sunglasses"/>
    <s v="Accessories"/>
    <s v="ACC-SUN-01"/>
    <n v="1"/>
    <n v="16.989999999999998"/>
    <s v="VIP15"/>
    <n v="2.5499999999999998"/>
    <n v="5.99"/>
    <n v="20.43"/>
    <s v="Apple Pay"/>
    <x v="3"/>
    <s v="fulfilled"/>
    <s v="Canada"/>
    <m/>
    <s v="Not Required"/>
    <s v="Port Russellstad"/>
  </r>
  <r>
    <s v="#2315"/>
    <d v="2026-08-04T13:55:05"/>
    <d v="2026-08-04T13:55:05"/>
    <s v="Anthony Patterson"/>
    <x v="0"/>
    <s v="anthony.patterson944@gmail.com"/>
    <s v="Facial Cleanser 200ml"/>
    <s v="Beauty"/>
    <s v="BTY-CLN-200"/>
    <n v="3"/>
    <n v="13.49"/>
    <m/>
    <n v="0"/>
    <n v="4.99"/>
    <n v="45.46"/>
    <s v="Apple Pay"/>
    <x v="0"/>
    <s v="cancelled"/>
    <s v="Pakistan"/>
    <m/>
    <s v="Not Required"/>
    <s v="West Debra"/>
  </r>
  <r>
    <s v="#2316"/>
    <d v="2026-08-04T13:56:28"/>
    <d v="2026-08-04T13:56:28"/>
    <s v="Paul Dillon"/>
    <x v="0"/>
    <s v="paul.dillon750@icloud.com"/>
    <s v="Kids Building Blocks Set"/>
    <s v="Toys"/>
    <s v="TOY-BLK-SET"/>
    <n v="1"/>
    <n v="27.99"/>
    <m/>
    <n v="0"/>
    <n v="4.99"/>
    <n v="32.979999999999997"/>
    <s v="Google Pay"/>
    <x v="3"/>
    <s v="pending"/>
    <s v="Australia"/>
    <m/>
    <s v="Not Required"/>
    <s v="West Jesseside"/>
  </r>
  <r>
    <s v="#2317"/>
    <d v="2026-08-04T14:07:08"/>
    <d v="2026-08-04T14:07:08"/>
    <s v="Anthony Vaughn"/>
    <x v="0"/>
    <s v="anthony.vaughn72@gmail.com"/>
    <s v="Adjustable Dumbbell Set"/>
    <s v="Sports &amp; Outdoors"/>
    <s v="SP-DMB-ADJ"/>
    <n v="1"/>
    <n v="89.99"/>
    <m/>
    <s v="$0.00"/>
    <n v="0"/>
    <n v="89.99"/>
    <s v="Google Pay"/>
    <x v="2"/>
    <s v="fulfilled"/>
    <s v="Germany"/>
    <m/>
    <s v="Not Required"/>
    <s v="Katherineborough"/>
  </r>
  <r>
    <s v="#2318"/>
    <d v="2026-08-04T00:00:00"/>
    <s v="Aug 04, 2026"/>
    <s v="Stephanie Miller"/>
    <x v="0"/>
    <s v="stephanie.miller962@yahoo.com"/>
    <s v="Polarized Sunglasses"/>
    <s v="Accessories"/>
    <s v="ACC-SUN-01"/>
    <n v="2"/>
    <n v="16.989999999999998"/>
    <s v="SAVE20"/>
    <n v="6.8"/>
    <n v="5.99"/>
    <n v="33.17"/>
    <s v="Google Pay"/>
    <x v="1"/>
    <s v="fulfilled"/>
    <s v="United Kingdom"/>
    <m/>
    <s v="Not Required"/>
    <s v="South Michealfort"/>
  </r>
  <r>
    <s v="#2319"/>
    <d v="2026-08-04T13:57:35"/>
    <d v="2026-08-04T13:57:35"/>
    <s v="Andrea Martinez"/>
    <x v="0"/>
    <s v="andrea.martinez756@yahoo.com"/>
    <s v="Yoga Mat - Extra Thick"/>
    <s v="Sports &amp; Outdoors"/>
    <s v="SP-YGM-EX"/>
    <n v="1"/>
    <n v="22.99"/>
    <m/>
    <n v="0"/>
    <n v="4.99"/>
    <s v="$27.98"/>
    <s v="PayPal"/>
    <x v="1"/>
    <s v="pending"/>
    <s v="Australia"/>
    <m/>
    <s v="Not Required"/>
    <s v="Andreastad"/>
  </r>
  <r>
    <s v="#2320"/>
    <d v="2026-08-04T14:06:22"/>
    <d v="2026-08-04T14:06:22"/>
    <s v="Brittney Conway"/>
    <x v="0"/>
    <s v="brittney.conway383@outlook.com"/>
    <s v="Backpack - 25L"/>
    <s v="Accessories"/>
    <s v="ACC-BPK-25L"/>
    <n v="1"/>
    <n v="32.99"/>
    <m/>
    <n v="0"/>
    <n v="4.99"/>
    <n v="37.979999999999997"/>
    <s v="Credit Card"/>
    <x v="3"/>
    <s v="fulfilled"/>
    <s v="United States"/>
    <s v="Arizona"/>
    <s v="Valid"/>
    <s v="Yangburgh"/>
  </r>
  <r>
    <s v="#2321"/>
    <d v="2026-08-04T14:01:41"/>
    <d v="2026-08-04T14:01:41"/>
    <s v="William Houston"/>
    <x v="0"/>
    <s v="william.houston340@outlook.com"/>
    <s v="Throw Blanket - Fleece"/>
    <s v="Home &amp; Kitchen"/>
    <s v="HK-BLK-FLC"/>
    <n v="2"/>
    <n v="17.989999999999998"/>
    <s v="BFCM25"/>
    <n v="8.99"/>
    <n v="7.99"/>
    <n v="34.979999999999997"/>
    <s v="Shopify Payments"/>
    <x v="0"/>
    <s v="fulfilled"/>
    <s v="United States"/>
    <s v="Ohio"/>
    <s v="Valid"/>
    <s v="New Keith"/>
  </r>
  <r>
    <s v="#2322"/>
    <d v="2026-08-04T14:04:43"/>
    <d v="2026-08-04T14:04:43"/>
    <s v="Jamie Brown"/>
    <x v="0"/>
    <s v="jamie.brown582@icloud.com"/>
    <s v="Portable Power Bank 10000mAh"/>
    <s v="Electronics"/>
    <s v="ELC-PWB-10K"/>
    <n v="1"/>
    <n v="21.99"/>
    <s v="VIP15"/>
    <n v="3.3"/>
    <n v="7.99"/>
    <n v="26.68"/>
    <s v="Apple Pay"/>
    <x v="1"/>
    <s v="pending"/>
    <s v="United States"/>
    <s v="California"/>
    <s v="Valid"/>
    <s v="Scottfort"/>
  </r>
  <r>
    <s v="#2323"/>
    <d v="2026-08-04T14:05:38"/>
    <d v="2026-08-04T14:05:38"/>
    <s v="Devin Jones"/>
    <x v="0"/>
    <s v="devin.jones807@yahoo.com"/>
    <s v="Classic Cotton T-Shirt"/>
    <s v="Apparel"/>
    <s v="TSH-BLK-L"/>
    <n v="2"/>
    <s v="$14.99"/>
    <s v="BFCM25"/>
    <n v="7.5"/>
    <n v="5.99"/>
    <n v="28.47"/>
    <s v="Shopify Payments"/>
    <x v="0"/>
    <s v="pending"/>
    <s v="Pakistan"/>
    <m/>
    <s v="Not Required"/>
    <s v="Edwardside"/>
  </r>
  <r>
    <s v="#2324"/>
    <d v="2026-08-04T13:55:50"/>
    <d v="2026-08-04T13:55:50"/>
    <s v="David Duke"/>
    <x v="0"/>
    <s v="david.duke814@icloud.com"/>
    <s v="Classic Cotton T-Shirt"/>
    <s v="Apparel"/>
    <s v="TSH-BLK-L"/>
    <n v="1"/>
    <n v="14.99"/>
    <m/>
    <n v="0"/>
    <n v="5.99"/>
    <s v="$20.98"/>
    <s v="Apple Pay"/>
    <x v="0"/>
    <s v="fulfilled"/>
    <s v="United States"/>
    <s v="Canada"/>
    <s v="Valid"/>
    <s v="Lake Steven"/>
  </r>
  <r>
    <s v="#2325"/>
    <d v="2026-08-04T13:57:27"/>
    <d v="2026-08-04T13:57:27"/>
    <s v="Anthony Mullen"/>
    <x v="0"/>
    <s v="anthony.mullen523@yahoo.com"/>
    <s v="Throw Blanket - Fleece"/>
    <s v="Home &amp; Kitchen"/>
    <s v="HK-BLK-FLC"/>
    <n v="1"/>
    <n v="17.989999999999998"/>
    <m/>
    <n v="0"/>
    <n v="5.99"/>
    <n v="23.98"/>
    <s v="PayPal"/>
    <x v="0"/>
    <s v="fulfilled"/>
    <s v="United States"/>
    <s v="Georgia"/>
    <s v="Valid"/>
    <s v="West Cole"/>
  </r>
  <r>
    <s v="#2326"/>
    <d v="2026-08-04T14:01:01"/>
    <d v="2026-08-04T14:01:01"/>
    <s v="Kevin Williams"/>
    <x v="0"/>
    <s v="kevin.williams971@yahoo.com"/>
    <s v="Polarized Sunglasses"/>
    <s v="Accessories"/>
    <s v="ACC-SUN-01"/>
    <n v="4"/>
    <n v="16.989999999999998"/>
    <m/>
    <n v="0"/>
    <n v="7.99"/>
    <n v="75.95"/>
    <s v="Apple Pay"/>
    <x v="0"/>
    <s v="fulfilled"/>
    <s v="Pakistan"/>
    <m/>
    <s v="Not Required"/>
    <s v="New Darius"/>
  </r>
  <r>
    <s v="#2327"/>
    <d v="2026-08-04T14:02:16"/>
    <d v="2026-08-04T14:02:16"/>
    <s v="Stacey Johnson"/>
    <x v="0"/>
    <s v="stacey.johnson95@gmail.com"/>
    <s v="Slim Fit Denim Jeans"/>
    <s v="Apparel"/>
    <s v="JNS-BLU-32"/>
    <n v="1"/>
    <n v="39.99"/>
    <m/>
    <n v="0"/>
    <n v="5.99"/>
    <n v="45.98"/>
    <s v="Credit Card"/>
    <x v="0"/>
    <s v="pending"/>
    <s v="Germany"/>
    <m/>
    <s v="Not Required"/>
    <s v="Lake Yolandatown"/>
  </r>
  <r>
    <s v="#2328"/>
    <d v="2026-08-04T14:00:11"/>
    <d v="2026-08-04T14:00:11"/>
    <s v="Mary Meza"/>
    <x v="0"/>
    <s v="mary.meza759@gmail.com"/>
    <s v="Polarized Sunglasses"/>
    <s v="Accessories"/>
    <s v="ACC-SUN-01"/>
    <n v="2"/>
    <n v="16.989999999999998"/>
    <s v="BFCM25"/>
    <n v="8.49"/>
    <n v="4.99"/>
    <s v="$30.48"/>
    <s v="Credit Card"/>
    <x v="0"/>
    <s v="fulfilled"/>
    <s v="Canada"/>
    <m/>
    <s v="Not Required"/>
    <s v="South Holly"/>
  </r>
  <r>
    <s v="#2329"/>
    <d v="2026-08-04T13:59:59"/>
    <d v="2026-08-04T13:59:59"/>
    <s v="Amanda Rodriguez"/>
    <x v="0"/>
    <s v="amanda.rodriguez770@yahoo.com"/>
    <s v="Classic Cotton T-Shirt"/>
    <s v="Apparel"/>
    <s v="TSH-BLK-L"/>
    <n v="1"/>
    <n v="14.99"/>
    <m/>
    <n v="0"/>
    <n v="7.99"/>
    <n v="22.98"/>
    <s v="Apple Pay"/>
    <x v="0"/>
    <s v="refunded"/>
    <s v="United States"/>
    <s v="California"/>
    <s v="Valid"/>
    <s v="North Cynthia"/>
  </r>
  <r>
    <s v="#2330"/>
    <d v="2026-04-08T00:00:00"/>
    <s v="08/04/2026"/>
    <s v="Mary Garcia"/>
    <x v="0"/>
    <s v="mary.garcia899@icloud.com"/>
    <s v="Non-Stick Frying Pan 10in"/>
    <s v="Home &amp; Kitchen"/>
    <s v="HK-PAN-10"/>
    <n v="1"/>
    <n v="24.99"/>
    <m/>
    <n v="0"/>
    <n v="5.99"/>
    <n v="30.98"/>
    <s v="Apple Pay"/>
    <x v="2"/>
    <s v="fulfilled"/>
    <s v="Canada"/>
    <m/>
    <s v="Not Required"/>
    <s v="Rossland"/>
  </r>
  <r>
    <s v="#2332"/>
    <d v="2026-08-04T14:07:08"/>
    <d v="2026-08-04T14:07:08"/>
    <s v="Robert Clark"/>
    <x v="0"/>
    <s v="robert.clark185@icloud.com"/>
    <s v="Vitamin C Serum 30ml"/>
    <s v="Beauty"/>
    <s v="BTY-SRM-30"/>
    <n v="1"/>
    <n v="24.99"/>
    <s v="WELCOME10"/>
    <n v="2.5"/>
    <n v="5.99"/>
    <n v="28.48"/>
    <s v="Credit Card"/>
    <x v="0"/>
    <s v="pending"/>
    <s v="Pakistan"/>
    <m/>
    <s v="Not Required"/>
    <s v="Garciaborough"/>
  </r>
  <r>
    <s v="#2333"/>
    <d v="2026-08-04T13:57:50"/>
    <d v="2026-08-04T13:57:50"/>
    <s v="Joshua Anderson"/>
    <x v="0"/>
    <s v="joshua.anderson662@gmail.com"/>
    <s v="Hooded Sweatshirt"/>
    <s v="Apparel"/>
    <s v="APR-HOD-GRY"/>
    <n v="1"/>
    <n v="34.99"/>
    <s v="FREESHIP"/>
    <n v="0"/>
    <n v="0"/>
    <n v="34.99"/>
    <s v="Google Pay"/>
    <x v="0"/>
    <s v="refunded"/>
    <s v="Canada"/>
    <m/>
    <s v="Not Required"/>
    <s v="Lake Jasmine"/>
  </r>
  <r>
    <s v="#2334"/>
    <d v="2026-08-04T14:01:26"/>
    <d v="2026-08-04T14:01:26"/>
    <s v="Melissa James"/>
    <x v="0"/>
    <s v="melissa.james674@outlook.com"/>
    <s v="Throw Blanket - Fleece"/>
    <s v="Home &amp; Kitchen"/>
    <s v="HK-BLK-FLC"/>
    <n v="1"/>
    <n v="17.989999999999998"/>
    <m/>
    <n v="0"/>
    <n v="5.99"/>
    <n v="23.98"/>
    <s v="Shopify Payments"/>
    <x v="0"/>
    <s v="cancelled"/>
    <s v="United States"/>
    <s v="Illinois"/>
    <s v="Valid"/>
    <s v="Lake Claudiastad"/>
  </r>
  <r>
    <s v="#2335"/>
    <d v="2026-08-04T14:05:17"/>
    <d v="2026-08-04T14:05:17"/>
    <s v="Barbara Brown"/>
    <x v="0"/>
    <s v="barbara.brown26@gmail.com"/>
    <s v="Running Shoes - Women's"/>
    <s v="Footwear"/>
    <s v="FTW-RUN-W"/>
    <n v="1"/>
    <n v="54.99"/>
    <m/>
    <n v="0"/>
    <n v="7.99"/>
    <n v="62.98"/>
    <s v="PayPal"/>
    <x v="1"/>
    <s v="refunded"/>
    <s v="United States"/>
    <s v="California"/>
    <s v="Valid"/>
    <s v="Rileyborough"/>
  </r>
  <r>
    <s v="#2336"/>
    <d v="2026-08-04T14:00:09"/>
    <d v="2026-08-04T14:00:09"/>
    <s v="Morgan Brown"/>
    <x v="0"/>
    <s v="morgan.brown933@gmail.com"/>
    <s v="Yoga Mat - Extra Thick"/>
    <s v="Sports &amp; Outdoors"/>
    <s v="SP-YGM-EX"/>
    <n v="1"/>
    <s v="$22.99"/>
    <m/>
    <n v="0"/>
    <n v="4.99"/>
    <n v="27.98"/>
    <s v="Credit Card"/>
    <x v="1"/>
    <s v="fulfilled"/>
    <s v="United States"/>
    <s v="California"/>
    <s v="Valid"/>
    <s v="Lake Josephborough"/>
  </r>
  <r>
    <s v="#2337"/>
    <d v="2026-04-08T00:00:00"/>
    <s v="08/04/2026"/>
    <s v="Jennifer Willis"/>
    <x v="0"/>
    <s v="jennifer.willis714@gmail.com"/>
    <s v="Wireless Bluetooth Earbuds"/>
    <s v="Electronics"/>
    <s v="ELC-WBE-01"/>
    <n v="1"/>
    <n v="29.99"/>
    <m/>
    <n v="0"/>
    <n v="5.99"/>
    <s v="$35.98"/>
    <s v="PayPal"/>
    <x v="0"/>
    <s v="fulfilled"/>
    <s v="United States"/>
    <s v="Illinois"/>
    <s v="Valid"/>
    <s v="North Nicolefurt"/>
  </r>
  <r>
    <s v="#2338"/>
    <d v="2026-04-08T00:00:00"/>
    <s v="08/04/2026"/>
    <s v="Anthony Patterson"/>
    <x v="0"/>
    <s v="anthony.patterson944@gmail.com"/>
    <s v="Phone Case - Clear"/>
    <s v="Electronics"/>
    <s v="ELC-CSE-CLR"/>
    <n v="1"/>
    <n v="8.99"/>
    <s v="FREESHIP"/>
    <n v="0"/>
    <n v="0"/>
    <n v="8.99"/>
    <s v="Apple Pay"/>
    <x v="3"/>
    <s v="fulfilled"/>
    <s v="Pakistan"/>
    <m/>
    <s v="Not Required"/>
    <s v="East Donaldfort"/>
  </r>
  <r>
    <s v="#2339"/>
    <d v="2026-08-04T14:04:20"/>
    <d v="2026-08-04T14:04:20"/>
    <s v="Alan Davis"/>
    <x v="0"/>
    <s v="alan.davis483@icloud.com"/>
    <s v="Yoga Mat - Extra Thick"/>
    <s v="Sports &amp; Outdoors"/>
    <s v="SP-YGM-EX"/>
    <n v="2"/>
    <n v="22.99"/>
    <s v="VIP15"/>
    <n v="6.9"/>
    <n v="4.99"/>
    <n v="44.07"/>
    <s v="Google Pay"/>
    <x v="0"/>
    <s v="fulfilled"/>
    <s v="Canada"/>
    <m/>
    <s v="Not Required"/>
    <s v="Elizabethville"/>
  </r>
  <r>
    <s v="#2340"/>
    <d v="2026-08-04T13:58:06"/>
    <d v="2026-08-04T13:58:06"/>
    <s v="Joshua Ayers"/>
    <x v="0"/>
    <s v="joshua.ayers935@yahoo.com"/>
    <s v="Portable Power Bank 10000mAh"/>
    <s v="Electronics"/>
    <s v="ELC-PWB-10K"/>
    <n v="1"/>
    <n v="21.99"/>
    <s v="VIP15"/>
    <n v="3.3"/>
    <n v="7.99"/>
    <n v="26.68"/>
    <s v="PayPal"/>
    <x v="0"/>
    <s v="refunded"/>
    <s v="Germany"/>
    <m/>
    <s v="Not Required"/>
    <s v="South Loganbury"/>
  </r>
  <r>
    <s v="#2341"/>
    <d v="2026-08-04T14:07:30"/>
    <d v="2026-08-04T14:07:30"/>
    <s v="Kayla Cruz"/>
    <x v="0"/>
    <s v="kayla.cruz151@outlook.com"/>
    <s v="Throw Blanket - Fleece"/>
    <s v="Home &amp; Kitchen"/>
    <s v="HK-BLK-FLC"/>
    <n v="1"/>
    <n v="17.989999999999998"/>
    <s v="BFCM25"/>
    <n v="4.5"/>
    <n v="5.99"/>
    <n v="19.48"/>
    <s v="Apple Pay"/>
    <x v="3"/>
    <s v="fulfilled"/>
    <s v="Pakistan"/>
    <m/>
    <s v="Not Required"/>
    <s v="North Kimberly"/>
  </r>
  <r>
    <s v="#2342"/>
    <d v="2026-08-04T14:06:14"/>
    <d v="2026-08-04T14:06:14"/>
    <s v="Gregory Vega"/>
    <x v="0"/>
    <s v="gregory.vega882@outlook.com"/>
    <s v="Scented Soy Candle - Vanilla"/>
    <s v="Home &amp; Kitchen"/>
    <s v="HK-CND-VAN"/>
    <n v="4"/>
    <n v="9.99"/>
    <m/>
    <n v="0"/>
    <n v="7.99"/>
    <n v="47.95"/>
    <s v="Shopify Payments"/>
    <x v="3"/>
    <s v="fulfilled"/>
    <s v="Pakistan"/>
    <m/>
    <s v="Not Required"/>
    <s v="West Paulamouth"/>
  </r>
  <r>
    <s v="#2343"/>
    <d v="2026-08-04T13:58:12"/>
    <d v="2026-08-04T13:58:12"/>
    <s v="Benjamin Collins"/>
    <x v="0"/>
    <s v="benjamin.collins953@icloud.com"/>
    <s v="Backpack - 25L"/>
    <s v="Accessories"/>
    <s v="ACC-BPK-25L"/>
    <n v="1"/>
    <n v="32.99"/>
    <m/>
    <n v="0"/>
    <n v="4.99"/>
    <n v="37.979999999999997"/>
    <s v="PayPal"/>
    <x v="3"/>
    <s v="fulfilled"/>
    <s v="Pakistan"/>
    <m/>
    <s v="Not Required"/>
    <s v="Rasmussenbury"/>
  </r>
  <r>
    <s v="#2344"/>
    <d v="2026-08-04T13:54:47"/>
    <d v="2026-08-04T13:54:47"/>
    <s v="Gloria Ballard"/>
    <x v="0"/>
    <s v="gloria.ballard194@outlook.com"/>
    <s v="Vitamin C Serum 30ml"/>
    <s v="Beauty"/>
    <s v="BTY-SRM-30"/>
    <n v="1"/>
    <n v="24.99"/>
    <m/>
    <s v="$0.00"/>
    <n v="5.99"/>
    <n v="30.98"/>
    <s v="Google Pay"/>
    <x v="0"/>
    <s v="fulfilled"/>
    <s v="Germany"/>
    <m/>
    <s v="Not Required"/>
    <s v="Lake John"/>
  </r>
  <r>
    <s v="#2345"/>
    <d v="2026-08-04T13:58:15"/>
    <d v="2026-08-04T13:58:15"/>
    <s v="David Duke"/>
    <x v="0"/>
    <s v="david.duke814@icloud.com"/>
    <s v="Resistance Bands Set"/>
    <s v="Sports &amp; Outdoors"/>
    <s v="SP-RBS-SET"/>
    <n v="1"/>
    <n v="13.99"/>
    <s v="WELCOME10"/>
    <n v="1.4"/>
    <n v="7.99"/>
    <n v="20.58"/>
    <s v="Credit Card"/>
    <x v="0"/>
    <s v="fulfilled"/>
    <s v="United States"/>
    <s v="Florida"/>
    <s v="Valid"/>
    <s v="South Erik"/>
  </r>
  <r>
    <s v="#2346"/>
    <d v="2026-08-04T13:53:54"/>
    <d v="2026-08-04T13:53:54"/>
    <s v="Maldonado, Timothy"/>
    <x v="0"/>
    <s v="timothy.maldonado551@gmail.com"/>
    <s v="Classic Cotton T-Shirt"/>
    <s v="Apparel"/>
    <s v="TSH-BLK-M"/>
    <n v="1"/>
    <n v="14.99"/>
    <s v="WELCOME10"/>
    <n v="1.5"/>
    <n v="5.99"/>
    <n v="19.48"/>
    <s v="PayPal"/>
    <x v="3"/>
    <s v="fulfilled"/>
    <s v="United States"/>
    <s v="Arizona"/>
    <s v="Valid"/>
    <s v="West Jamie"/>
  </r>
  <r>
    <s v="#2347"/>
    <d v="2026-08-04T14:03:34"/>
    <d v="2026-08-04T14:03:34"/>
    <s v="Brian Gardner"/>
    <x v="0"/>
    <s v="brian.gardner260@outlook.com"/>
    <s v="Facial Cleanser 200ml"/>
    <s v="Beauty"/>
    <s v="BTY-CLN-200"/>
    <n v="1"/>
    <n v="13.49"/>
    <m/>
    <n v="0"/>
    <n v="7.99"/>
    <n v="21.48"/>
    <s v="PayPal"/>
    <x v="0"/>
    <s v="fulfilled"/>
    <s v="United States"/>
    <s v="NC"/>
    <s v="Valid"/>
    <s v="Andersonstad"/>
  </r>
  <r>
    <s v="#2348"/>
    <d v="2026-08-04T14:07:50"/>
    <d v="2026-08-04T14:07:50"/>
    <s v="Rebecca Watts"/>
    <x v="0"/>
    <s v="rebecca.watts779@gmail.com"/>
    <s v="Adjustable Dumbbell Set"/>
    <s v="Sports &amp; Outdoors"/>
    <s v="SP-DMB-ADJ"/>
    <n v="2"/>
    <n v="89.99"/>
    <m/>
    <n v="0"/>
    <n v="0"/>
    <n v="179.98"/>
    <s v="Google Pay"/>
    <x v="0"/>
    <s v="fulfilled"/>
    <s v="United States"/>
    <s v="California"/>
    <s v="Valid"/>
    <s v="Susanbury"/>
  </r>
  <r>
    <s v="#2349"/>
    <d v="2026-08-04T14:03:02"/>
    <d v="2026-08-04T14:03:02"/>
    <s v="Eric Bailey"/>
    <x v="0"/>
    <s v="eric.bailey970@yahoo.com"/>
    <s v="Classic Cotton T-Shirt"/>
    <s v="Apparel"/>
    <s v="TSH-BLK-M"/>
    <n v="1"/>
    <n v="14.99"/>
    <s v="BFCM25"/>
    <n v="3.75"/>
    <n v="7.99"/>
    <n v="19.23"/>
    <s v="Shopify Payments"/>
    <x v="0"/>
    <s v="fulfilled"/>
    <s v="United Kingdom"/>
    <m/>
    <s v="Not Required"/>
    <s v="Nealtown"/>
  </r>
  <r>
    <s v="#2350"/>
    <d v="2026-08-04T13:56:47"/>
    <d v="2026-08-04T13:56:47"/>
    <s v="David Duke"/>
    <x v="0"/>
    <s v="david.duke814@icloud.com"/>
    <s v="Adjustable Dumbbell Set"/>
    <s v="Sports &amp; Outdoors"/>
    <s v="SP-DMB-ADJ"/>
    <n v="1"/>
    <s v="$89.99"/>
    <m/>
    <n v="0"/>
    <n v="0"/>
    <n v="89.99"/>
    <s v="Shopify Payments"/>
    <x v="0"/>
    <s v="fulfilled"/>
    <s v="United States"/>
    <s v="Florida"/>
    <s v="Valid"/>
    <s v="Silvaside"/>
  </r>
  <r>
    <s v="#2351"/>
    <d v="2026-08-04T14:03:06"/>
    <d v="2026-08-04T14:03:06"/>
    <s v="Anthony Mullen"/>
    <x v="0"/>
    <s v="anthony.mullen523@yahoo.com"/>
    <s v="Scented Soy Candle - Vanilla"/>
    <s v="Home &amp; Kitchen"/>
    <s v="HK-CND-VAN"/>
    <n v="1"/>
    <n v="9.99"/>
    <s v="WELCOME10"/>
    <s v="$1.00"/>
    <n v="5.99"/>
    <n v="14.98"/>
    <s v="Google Pay"/>
    <x v="2"/>
    <s v="pending"/>
    <s v="United States"/>
    <s v="Ohio"/>
    <s v="Valid"/>
    <s v="Lisaton"/>
  </r>
  <r>
    <s v="#2352"/>
    <d v="2026-08-04T14:01:29"/>
    <d v="2026-08-04T14:01:29"/>
    <s v="Rebecca Watts"/>
    <x v="0"/>
    <s v="rebecca.watts779@gmail.com"/>
    <s v="Ceramic Coffee Mug Set (4pc)"/>
    <s v="Home &amp; Kitchen"/>
    <s v="HK-MUG-4PK"/>
    <n v="1"/>
    <n v="18.989999999999998"/>
    <m/>
    <n v="0"/>
    <n v="7.99"/>
    <n v="26.98"/>
    <s v="Apple Pay"/>
    <x v="0"/>
    <s v="fulfilled"/>
    <s v="United States"/>
    <s v="North Carolina"/>
    <s v="Valid"/>
    <s v="Ianberg"/>
  </r>
  <r>
    <s v="#2353"/>
    <d v="2026-08-04T14:07:10"/>
    <d v="2026-08-04T14:07:10"/>
    <s v="Jacqueline Wiley"/>
    <x v="0"/>
    <s v="jacqueline.wiley718@icloud.com"/>
    <s v="Running Shoes - Women's"/>
    <s v="Footwear"/>
    <s v="FTW-RUN-W"/>
    <n v="2"/>
    <n v="54.99"/>
    <s v="BFCM25"/>
    <n v="27.5"/>
    <n v="0"/>
    <n v="82.48"/>
    <s v="Apple Pay"/>
    <x v="0"/>
    <s v="fulfilled"/>
    <s v="United States"/>
    <s v="Washington"/>
    <s v="Valid"/>
    <s v="East Desiree"/>
  </r>
  <r>
    <s v="#2354"/>
    <d v="2026-08-04T14:04:02"/>
    <d v="2026-08-04T14:04:02"/>
    <s v="Laura Pruitt"/>
    <x v="0"/>
    <s v="laura.pruitt212@yahoo.com"/>
    <s v="Running Shoes - Women's"/>
    <s v="Footwear"/>
    <s v="FTW-RUN-W"/>
    <n v="1"/>
    <n v="54.99"/>
    <s v="SAVE20"/>
    <n v="11"/>
    <n v="7.99"/>
    <n v="51.98"/>
    <s v="Apple Pay"/>
    <x v="3"/>
    <s v="refunded"/>
    <s v="United States"/>
    <s v="Texas"/>
    <s v="Valid"/>
    <s v="Racheltown"/>
  </r>
  <r>
    <s v="#2355"/>
    <d v="2026-08-04T13:56:12"/>
    <d v="2026-08-04T13:56:12"/>
    <s v="Thomas Hall"/>
    <x v="0"/>
    <s v="thomas.hall134@gmail.com"/>
    <s v="Throw Blanket - Fleece"/>
    <s v="Home &amp; Kitchen"/>
    <s v="HK-BLK-FLC"/>
    <n v="1"/>
    <n v="17.989999999999998"/>
    <s v="VIP15"/>
    <n v="2.7"/>
    <n v="4.99"/>
    <s v="$20.28"/>
    <s v="Google Pay"/>
    <x v="0"/>
    <s v="cancelled"/>
    <s v="Canada"/>
    <m/>
    <s v="Not Required"/>
    <s v="Wilsonborough"/>
  </r>
  <r>
    <s v="#2356"/>
    <d v="2026-08-04T14:08:21"/>
    <d v="2026-08-04T14:08:21"/>
    <s v="Joanne Perez"/>
    <x v="0"/>
    <s v="joanne.perez120@gmail.com"/>
    <s v="Kids Building Blocks Set"/>
    <s v="Toys"/>
    <s v="TOY-BLK-SET"/>
    <n v="1"/>
    <n v="27.99"/>
    <m/>
    <n v="0"/>
    <n v="5.99"/>
    <n v="33.979999999999997"/>
    <s v="Credit Card"/>
    <x v="0"/>
    <s v="fulfilled"/>
    <s v="United States"/>
    <s v="Ohio"/>
    <s v="Valid"/>
    <s v="South Tammieborough"/>
  </r>
  <r>
    <s v="#2357"/>
    <d v="2026-08-04T14:06:28"/>
    <d v="2026-08-04T14:06:28"/>
    <s v="William Houston"/>
    <x v="0"/>
    <s v="william.houston340@outlook.com"/>
    <s v="Stainless Steel Water Bottle"/>
    <s v="Home &amp; Kitchen"/>
    <s v="HK-BTL-750"/>
    <n v="1"/>
    <n v="12.99"/>
    <s v="FREESHIP"/>
    <n v="0"/>
    <n v="0"/>
    <n v="12.99"/>
    <s v="PayPal"/>
    <x v="3"/>
    <s v="fulfilled"/>
    <s v="United States"/>
    <s v="Arizona"/>
    <s v="Valid"/>
    <s v="Frederickbury"/>
  </r>
  <r>
    <s v="#2358"/>
    <d v="2026-08-04T14:05:29"/>
    <d v="2026-08-04T14:05:29"/>
    <s v="Robert Ramsey"/>
    <x v="0"/>
    <s v="robert.ramsey440@outlook.com"/>
    <s v="Backpack - 25L"/>
    <s v="Accessories"/>
    <s v="ACC-BPK-25L"/>
    <n v="1"/>
    <n v="32.99"/>
    <s v="SAVE20"/>
    <n v="6.6"/>
    <n v="5.99"/>
    <n v="32.380000000000003"/>
    <s v="Google Pay"/>
    <x v="3"/>
    <s v="fulfilled"/>
    <s v="Canada"/>
    <m/>
    <s v="Not Required"/>
    <s v="Robinsonton"/>
  </r>
  <r>
    <s v="#2359"/>
    <d v="2026-08-04T14:08:23"/>
    <d v="2026-08-04T14:08:23"/>
    <s v="Paul Hopkins"/>
    <x v="0"/>
    <s v="paul.hopkins457@yahoo.com"/>
    <s v="Vitamin C Serum 30ml"/>
    <s v="Beauty"/>
    <s v="BTY-SRM-30"/>
    <n v="2"/>
    <n v="24.99"/>
    <s v="SAVE20"/>
    <n v="10"/>
    <n v="4.99"/>
    <n v="44.97"/>
    <s v="Apple Pay"/>
    <x v="1"/>
    <s v="fulfilled"/>
    <s v="United States"/>
    <s v="Washington"/>
    <s v="Valid"/>
    <s v="Michaelborough"/>
  </r>
  <r>
    <s v="#2360"/>
    <d v="2026-08-04T14:06:22"/>
    <d v="2026-08-04T14:06:22"/>
    <s v="Sarah Williams"/>
    <x v="0"/>
    <s v="sarah.williams329@icloud.com"/>
    <s v="Slim Fit Denim Jeans"/>
    <s v="Apparel"/>
    <s v="JNS-BLU-32"/>
    <n v="2"/>
    <n v="39.99"/>
    <m/>
    <n v="0"/>
    <n v="0"/>
    <n v="79.98"/>
    <s v="Shopify Payments"/>
    <x v="0"/>
    <s v="fulfilled"/>
    <s v="Canada"/>
    <m/>
    <s v="Not Required"/>
    <s v="Wesleymouth"/>
  </r>
  <r>
    <s v="#2361"/>
    <d v="2026-04-08T00:00:00"/>
    <s v="08/04/2026"/>
    <s v="Heather Rivers"/>
    <x v="0"/>
    <s v="heather.rivers451@icloud.com"/>
    <s v="Phone Case - Clear"/>
    <s v="Electronics"/>
    <s v="ELC-CSE-CLR"/>
    <n v="1"/>
    <n v="8.99"/>
    <m/>
    <n v="0"/>
    <n v="4.99"/>
    <n v="13.98"/>
    <s v="PayPal"/>
    <x v="2"/>
    <s v="cancelled"/>
    <s v="United States"/>
    <s v="Texas"/>
    <s v="Valid"/>
    <s v="New Steven"/>
  </r>
  <r>
    <s v="#2362"/>
    <d v="2026-08-04T14:00:25"/>
    <d v="2026-08-04T14:00:25"/>
    <s v="Kayla Cruz"/>
    <x v="0"/>
    <s v="kayla.cruz151@outlook.com"/>
    <s v="Portable Power Bank 10000mAh"/>
    <s v="Electronics"/>
    <s v="ELC-PWB-10K"/>
    <n v="1"/>
    <n v="21.99"/>
    <s v="SAVE20"/>
    <n v="4.4000000000000004"/>
    <n v="5.99"/>
    <n v="23.58"/>
    <s v="Credit Card"/>
    <x v="0"/>
    <s v="fulfilled"/>
    <s v="Pakistan"/>
    <m/>
    <s v="Not Required"/>
    <s v="West Beth"/>
  </r>
  <r>
    <s v="#2363"/>
    <d v="2026-08-04T14:00:00"/>
    <d v="2026-08-04T14:00:00"/>
    <s v="Tyler Williams"/>
    <x v="0"/>
    <s v="tyler.williams938@outlook.com"/>
    <s v="Resistance Bands Set"/>
    <s v="Sports &amp; Outdoors"/>
    <s v="SP-RBS-SET"/>
    <n v="1"/>
    <n v="13.99"/>
    <s v="BFCM25"/>
    <n v="3.5"/>
    <n v="7.99"/>
    <n v="18.48"/>
    <s v="PayPal"/>
    <x v="0"/>
    <s v="fulfilled"/>
    <s v="Australia"/>
    <m/>
    <s v="Not Required"/>
    <s v="Rebeccaton"/>
  </r>
  <r>
    <s v="#2364"/>
    <d v="2026-08-04T13:55:33"/>
    <d v="2026-08-04T13:55:33"/>
    <s v="Lauren Nguyen"/>
    <x v="0"/>
    <s v="lauren.nguyen819@outlook.com"/>
    <s v="Non-Stick Frying Pan 10in"/>
    <s v="Home &amp; Kitchen"/>
    <s v="HK-PAN-10"/>
    <n v="1"/>
    <n v="24.99"/>
    <s v="WELCOME10"/>
    <n v="2.5"/>
    <n v="4.99"/>
    <n v="27.48"/>
    <s v="PayPal"/>
    <x v="3"/>
    <s v="fulfilled"/>
    <s v="United Kingdom"/>
    <m/>
    <s v="Not Required"/>
    <s v="New Alyssa"/>
  </r>
  <r>
    <s v="#2365"/>
    <d v="2026-08-04T14:02:18"/>
    <d v="2026-08-04T14:02:18"/>
    <s v="Darin Alvarez"/>
    <x v="0"/>
    <s v="darin.alvarez843@gmail.com"/>
    <s v="Portable Power Bank 10000mAh"/>
    <s v="Electronics"/>
    <s v="ELC-PWB-10K"/>
    <n v="1"/>
    <s v="$21.99"/>
    <s v="FREESHIP"/>
    <n v="0"/>
    <n v="0"/>
    <n v="21.99"/>
    <s v="Apple Pay"/>
    <x v="1"/>
    <s v="cancelled"/>
    <s v="Canada"/>
    <m/>
    <s v="Not Required"/>
    <s v="Lake Charlesview"/>
  </r>
  <r>
    <s v="#2366"/>
    <d v="2026-08-04T14:00:18"/>
    <d v="2026-08-04T14:00:18"/>
    <s v="Gerald Li"/>
    <x v="0"/>
    <s v="gerald.li856@icloud.com"/>
    <s v="Backpack - 25L"/>
    <s v="Accessories"/>
    <s v="ACC-BPK-25L"/>
    <n v="1"/>
    <n v="32.99"/>
    <s v="FREESHIP"/>
    <n v="0"/>
    <n v="0"/>
    <n v="32.99"/>
    <s v="Credit Card"/>
    <x v="3"/>
    <s v="refunded"/>
    <s v="United States"/>
    <s v="Florida"/>
    <s v="Valid"/>
    <s v="Lake Amanda"/>
  </r>
  <r>
    <s v="#2367"/>
    <d v="2026-08-04T00:00:00"/>
    <s v="2026-08-04"/>
    <s v="CATHERINE VANG"/>
    <x v="0"/>
    <s v="catherine.vang600@yahoo.com"/>
    <s v="Stainless Steel Water Bottle"/>
    <s v="Home &amp; Kitchen"/>
    <s v="HK-BTL-750"/>
    <n v="1"/>
    <n v="12.99"/>
    <m/>
    <n v="0"/>
    <n v="4.99"/>
    <n v="17.98"/>
    <s v="PayPal"/>
    <x v="3"/>
    <s v="pending"/>
    <s v="Australia"/>
    <m/>
    <s v="Not Required"/>
    <s v="Brittneychester"/>
  </r>
  <r>
    <s v="#2368"/>
    <d v="2026-08-04T13:57:06"/>
    <d v="2026-08-04T13:57:06"/>
    <s v="James Miller"/>
    <x v="0"/>
    <s v="james.miller866@yahoo.com"/>
    <s v="Non-Stick Frying Pan 10in"/>
    <s v="Home &amp; Kitchen"/>
    <s v="HK-PAN-10"/>
    <n v="1"/>
    <n v="24.99"/>
    <s v="SAVE20"/>
    <n v="5"/>
    <n v="7.99"/>
    <n v="27.98"/>
    <s v="Google Pay"/>
    <x v="0"/>
    <s v="refunded"/>
    <s v="Pakistan"/>
    <m/>
    <s v="Not Required"/>
    <s v="South Marciafurt"/>
  </r>
  <r>
    <s v="#2369"/>
    <d v="2026-08-04T14:03:47"/>
    <d v="2026-08-04T14:03:47"/>
    <s v="David Duke"/>
    <x v="0"/>
    <s v="david.duke814@icloud.com"/>
    <s v="Running Shoes - Women's"/>
    <s v="Footwear"/>
    <s v="FTW-RUN-W"/>
    <n v="2"/>
    <n v="54.99"/>
    <m/>
    <n v="0"/>
    <n v="0"/>
    <n v="109.98"/>
    <s v="Credit Card"/>
    <x v="0"/>
    <s v="fulfilled"/>
    <s v="United States"/>
    <s v="Washington"/>
    <s v="Valid"/>
    <s v="Jacksonside"/>
  </r>
  <r>
    <s v="#2370"/>
    <d v="2026-08-04T13:59:10"/>
    <d v="2026-08-04T13:59:10"/>
    <s v="David Mcknight"/>
    <x v="0"/>
    <s v="david.mcknight827@gmail.com"/>
    <s v="Adjustable Dumbbell Set"/>
    <s v="Sports &amp; Outdoors"/>
    <s v="SP-DMB-ADJ"/>
    <n v="2"/>
    <n v="89.99"/>
    <m/>
    <n v="0"/>
    <n v="0"/>
    <n v="179.98"/>
    <s v="Credit Card"/>
    <x v="2"/>
    <s v="fulfilled"/>
    <s v="United States"/>
    <s v="NC"/>
    <s v="Valid"/>
    <s v="East Jamesshire"/>
  </r>
  <r>
    <s v="#2371"/>
    <d v="2026-04-08T00:00:00"/>
    <s v="08/04/2026"/>
    <s v="Lucas Lyons"/>
    <x v="0"/>
    <s v="lucas.lyons594@icloud.com"/>
    <s v="Facial Cleanser 200ml"/>
    <s v="Beauty"/>
    <s v="BTY-CLN-200"/>
    <n v="3"/>
    <n v="13.49"/>
    <m/>
    <n v="0"/>
    <n v="7.99"/>
    <n v="48.46"/>
    <s v="Google Pay"/>
    <x v="0"/>
    <s v="refunded"/>
    <s v="Pakistan"/>
    <m/>
    <s v="Not Required"/>
    <s v="North Nicholasport"/>
  </r>
  <r>
    <s v="#2372"/>
    <d v="2026-08-04T14:05:00"/>
    <d v="2026-08-04T14:05:00"/>
    <s v="Lisa Cook"/>
    <x v="0"/>
    <s v="lisa.cook622@gmail.com"/>
    <s v="Phone Case - Clear"/>
    <s v="Electronics"/>
    <s v="ELC-CSE-CLR"/>
    <n v="1"/>
    <n v="8.99"/>
    <s v="VIP15"/>
    <n v="1.35"/>
    <n v="7.99"/>
    <n v="15.63"/>
    <s v="Shopify Payments"/>
    <x v="1"/>
    <s v="fulfilled"/>
    <s v="Germany"/>
    <m/>
    <s v="Not Required"/>
    <s v="East Jennifer"/>
  </r>
  <r>
    <s v="#2373"/>
    <d v="2026-08-04T13:57:51"/>
    <d v="2026-08-04T13:57:51"/>
    <s v="Jennifer Burke"/>
    <x v="0"/>
    <s v="jennifer.burke472@icloud.com"/>
    <s v="Ceramic Coffee Mug Set (4pc)"/>
    <s v="Home &amp; Kitchen"/>
    <s v="HK-MUG-4PK"/>
    <n v="2"/>
    <n v="18.989999999999998"/>
    <m/>
    <n v="0"/>
    <n v="5.99"/>
    <n v="43.97"/>
    <s v="PayPal"/>
    <x v="1"/>
    <s v="fulfilled"/>
    <s v="Pakistan"/>
    <m/>
    <s v="Not Required"/>
    <s v="Davidfurt"/>
  </r>
  <r>
    <s v="#2374"/>
    <d v="2026-08-04T14:03:20"/>
    <d v="2026-08-04T14:03:20"/>
    <s v="Vincent Rosales"/>
    <x v="0"/>
    <s v="vincent.rosales30@icloud.com"/>
    <s v="USB-C Fast Charger 20W"/>
    <s v="Electronics"/>
    <s v="ELC-CHG-20"/>
    <n v="2"/>
    <n v="15.49"/>
    <s v="VIP15"/>
    <n v="4.6500000000000004"/>
    <n v="7.99"/>
    <s v="$34.32"/>
    <s v="Shopify Payments"/>
    <x v="0"/>
    <s v="fulfilled"/>
    <s v="United States"/>
    <s v="Illinois"/>
    <s v="Valid"/>
    <s v="New Jacqueline"/>
  </r>
  <r>
    <s v="#2375"/>
    <d v="2026-08-04T13:54:31"/>
    <d v="2026-08-04T13:54:31"/>
    <s v="Julie Hoffman"/>
    <x v="0"/>
    <s v="julie.hoffman913@gmail.com"/>
    <s v="Classic Cotton T-Shirt"/>
    <s v="Apparel"/>
    <s v="TSH-BLK-L"/>
    <n v="1"/>
    <n v="14.99"/>
    <m/>
    <n v="0"/>
    <n v="7.99"/>
    <n v="22.98"/>
    <s v="PayPal"/>
    <x v="0"/>
    <s v="cancelled"/>
    <s v="United States"/>
    <s v="California"/>
    <s v="Valid"/>
    <s v="Thomastown"/>
  </r>
  <r>
    <s v="#2376"/>
    <d v="2026-08-04T13:57:23"/>
    <d v="2026-08-04T13:57:23"/>
    <s v="Teresa Campbell"/>
    <x v="0"/>
    <s v="teresa.campbell610@icloud.com"/>
    <s v="Wireless Bluetooth Earbuds"/>
    <s v="Electronics"/>
    <s v="ELC-WBE-01"/>
    <n v="1"/>
    <n v="29.99"/>
    <m/>
    <n v="0"/>
    <n v="4.99"/>
    <n v="34.979999999999997"/>
    <s v="Credit Card"/>
    <x v="3"/>
    <s v="pending"/>
    <s v="United Kingdom"/>
    <m/>
    <s v="Not Required"/>
    <s v="Burkemouth"/>
  </r>
  <r>
    <s v="#2377"/>
    <d v="2026-08-04T14:01:44"/>
    <d v="2026-08-04T14:01:44"/>
    <s v="Brenda Perez"/>
    <x v="0"/>
    <s v="brenda.perez884@outlook.com"/>
    <s v="Facial Cleanser 200ml"/>
    <s v="Beauty"/>
    <s v="BTY-CLN-200"/>
    <n v="1"/>
    <n v="13.49"/>
    <s v="BFCM25"/>
    <n v="3.37"/>
    <n v="5.99"/>
    <n v="16.11"/>
    <s v="Apple Pay"/>
    <x v="0"/>
    <s v="cancelled"/>
    <s v="United States"/>
    <s v="New York"/>
    <s v="Valid"/>
    <s v="Singhtown"/>
  </r>
  <r>
    <s v="#2378"/>
    <d v="2026-08-04T14:00:03"/>
    <d v="2026-08-04T14:00:03"/>
    <s v="Sheryl Nguyen"/>
    <x v="0"/>
    <s v="sheryl.nguyen272@outlook.com"/>
    <s v="Resistance Bands Set"/>
    <s v="Sports &amp; Outdoors"/>
    <s v="SP-RBS-SET"/>
    <n v="1"/>
    <s v="$13.99"/>
    <s v="BFCM25"/>
    <n v="3.5"/>
    <n v="4.99"/>
    <n v="15.48"/>
    <s v="PayPal"/>
    <x v="1"/>
    <s v="fulfilled"/>
    <s v="United States"/>
    <s v="California"/>
    <s v="Valid"/>
    <s v="Turnerchester"/>
  </r>
  <r>
    <s v="#2379"/>
    <d v="2026-08-04T14:00:43"/>
    <d v="2026-08-04T14:00:43"/>
    <s v="Danielle Thornton"/>
    <x v="0"/>
    <s v="danielle.thornton674@icloud.com"/>
    <s v="Scented Soy Candle - Vanilla"/>
    <s v="Home &amp; Kitchen"/>
    <s v="HK-CND-VAN"/>
    <n v="1"/>
    <n v="9.99"/>
    <s v="SAVE20"/>
    <n v="2"/>
    <n v="7.99"/>
    <n v="15.98"/>
    <s v="Credit Card"/>
    <x v="3"/>
    <s v="cancelled"/>
    <s v="United States"/>
    <s v="Ohio"/>
    <s v="Valid"/>
    <s v="West Tamara"/>
  </r>
  <r>
    <s v="#2380"/>
    <d v="2026-08-04T14:04:08"/>
    <d v="2026-08-04T14:04:08"/>
    <s v="Dustin Mccoy"/>
    <x v="1"/>
    <m/>
    <s v="Ceramic Coffee Mug Set (4pc)"/>
    <s v="Home &amp; Kitchen"/>
    <s v="HK-MUG-4PK"/>
    <n v="1"/>
    <n v="18.989999999999998"/>
    <m/>
    <n v="0"/>
    <n v="7.99"/>
    <n v="26.98"/>
    <s v="Shopify Payments"/>
    <x v="0"/>
    <s v="refunded"/>
    <s v="Canada"/>
    <m/>
    <s v="Not Required"/>
    <s v="Tinachester"/>
  </r>
  <r>
    <s v="#2381"/>
    <d v="2026-08-04T14:07:11"/>
    <d v="2026-08-04T14:07:11"/>
    <s v="Vincent Rosales"/>
    <x v="0"/>
    <s v="vincent.rosales30@icloud.com"/>
    <s v="Classic Cotton T-Shirt"/>
    <s v="Apparel"/>
    <s v="TSH-BLK-M"/>
    <n v="1"/>
    <n v="14.99"/>
    <s v="BFCM25"/>
    <n v="3.75"/>
    <n v="5.99"/>
    <n v="17.23"/>
    <s v="Credit Card"/>
    <x v="1"/>
    <s v="fulfilled"/>
    <s v="United States"/>
    <s v="Ohio"/>
    <s v="Valid"/>
    <s v="Kingmouth"/>
  </r>
  <r>
    <s v="#2382"/>
    <d v="2026-08-04T13:58:59"/>
    <d v="2026-08-04T13:58:59"/>
    <s v="Patricia Thompson"/>
    <x v="0"/>
    <s v="patricia.thompson164@icloud.com"/>
    <s v="Kids Building Blocks Set"/>
    <s v="Toys"/>
    <s v="TOY-BLK-SET"/>
    <n v="1"/>
    <n v="27.99"/>
    <m/>
    <n v="0"/>
    <n v="5.99"/>
    <n v="33.979999999999997"/>
    <s v="PayPal"/>
    <x v="0"/>
    <s v="pending"/>
    <s v="United States"/>
    <s v="Ohio"/>
    <s v="Valid"/>
    <s v="Port Bradhaven"/>
  </r>
  <r>
    <s v="#2383"/>
    <d v="2026-08-04T13:57:23"/>
    <d v="2026-08-04T13:57:23"/>
    <s v="Elizabeth Carter"/>
    <x v="0"/>
    <s v="elizabeth.carter304@icloud.com"/>
    <s v="Kids Building Blocks Set"/>
    <s v="Toys"/>
    <s v="TOY-BLK-SET"/>
    <n v="1"/>
    <n v="27.99"/>
    <s v="WELCOME10"/>
    <n v="2.8"/>
    <n v="7.99"/>
    <n v="33.18"/>
    <s v="Shopify Payments"/>
    <x v="2"/>
    <s v="fulfilled"/>
    <s v="Canada"/>
    <m/>
    <s v="Not Required"/>
    <s v="Johntown"/>
  </r>
  <r>
    <s v="#2384"/>
    <d v="2026-08-04T13:58:59"/>
    <d v="2026-08-04T13:58:59"/>
    <s v="Devin Jones"/>
    <x v="0"/>
    <s v="devin.jones807@yahoo.com"/>
    <s v="Scented Soy Candle - Vanilla"/>
    <s v="Home &amp; Kitchen"/>
    <s v="HK-CND-VAN"/>
    <n v="1"/>
    <n v="9.99"/>
    <s v="WELCOME10"/>
    <n v="1"/>
    <n v="4.99"/>
    <n v="13.98"/>
    <s v="Apple Pay"/>
    <x v="0"/>
    <s v="fulfilled"/>
    <s v="Pakistan"/>
    <m/>
    <s v="Not Required"/>
    <s v="New Patrick"/>
  </r>
  <r>
    <s v="#2385"/>
    <d v="2026-08-04T14:00:51"/>
    <d v="2026-08-04T14:00:51"/>
    <s v="Sandra Potter"/>
    <x v="0"/>
    <s v="sandra.potter166@yahoo.com"/>
    <s v="Phone Case - Clear"/>
    <s v="Electronics"/>
    <s v="ELC-CSE-CLR"/>
    <n v="1"/>
    <n v="8.99"/>
    <m/>
    <n v="0"/>
    <n v="5.99"/>
    <n v="14.98"/>
    <s v="Apple Pay"/>
    <x v="0"/>
    <s v="fulfilled"/>
    <s v="United States"/>
    <s v="Illinois"/>
    <s v="Valid"/>
    <s v="Lake Nancyside"/>
  </r>
  <r>
    <s v="#2386"/>
    <d v="2026-08-04T13:58:05"/>
    <d v="2026-08-04T13:58:05"/>
    <s v="Donald Davis"/>
    <x v="0"/>
    <s v="donald.davis404@icloud.com"/>
    <s v="Leather Wallet - Brown"/>
    <s v="Accessories"/>
    <s v="ACC-WLT-BRN"/>
    <n v="1"/>
    <n v="19.989999999999998"/>
    <s v="BFCM25"/>
    <n v="5"/>
    <n v="5.99"/>
    <n v="20.98"/>
    <s v="Shopify Payments"/>
    <x v="1"/>
    <s v="refunded"/>
    <s v="Canada"/>
    <m/>
    <s v="Not Required"/>
    <s v="West Katherine"/>
  </r>
  <r>
    <s v="#2387"/>
    <d v="2026-08-04T00:00:00"/>
    <s v="04-08-2026 13:58"/>
    <s v="Kimberly Williams"/>
    <x v="1"/>
    <m/>
    <s v="Throw Blanket - Fleece"/>
    <s v="Home &amp; Kitchen"/>
    <s v="HK-BLK-FLC"/>
    <n v="1"/>
    <n v="17.989999999999998"/>
    <s v="VIP15"/>
    <n v="2.7"/>
    <n v="5.99"/>
    <n v="21.28"/>
    <s v="Google Pay"/>
    <x v="0"/>
    <s v="fulfilled"/>
    <s v="United Kingdom"/>
    <m/>
    <s v="Not Required"/>
    <s v="Guzmanfort"/>
  </r>
  <r>
    <s v="#2388"/>
    <d v="2026-08-04T13:57:45"/>
    <d v="2026-08-04T13:57:45"/>
    <s v="Sandra Potter"/>
    <x v="0"/>
    <s v="sandra.potter166@yahoo.com"/>
    <s v="Portable Power Bank 10000mAh"/>
    <s v="Electronics"/>
    <s v="ELC-PWB-10K"/>
    <n v="1"/>
    <n v="21.99"/>
    <s v="VIP15"/>
    <n v="3.3"/>
    <n v="7.99"/>
    <n v="26.68"/>
    <s v="PayPal"/>
    <x v="0"/>
    <s v="fulfilled"/>
    <s v="United States"/>
    <s v="Georgia"/>
    <s v="Valid"/>
    <s v="New Crystalside"/>
  </r>
  <r>
    <s v="#2389"/>
    <d v="2026-08-04T00:00:00"/>
    <s v="04-08-2026 14:07"/>
    <s v="Darin Alvarez"/>
    <x v="0"/>
    <s v="darin.alvarez843@gmail.com"/>
    <s v="Backpack - 25L"/>
    <s v="Accessories"/>
    <s v="ACC-BPK-25L"/>
    <n v="4"/>
    <n v="32.99"/>
    <s v="WELCOME10"/>
    <n v="13.2"/>
    <n v="0"/>
    <n v="118.76"/>
    <s v="Shopify Payments"/>
    <x v="1"/>
    <s v="cancelled"/>
    <s v="Canada"/>
    <m/>
    <s v="Not Required"/>
    <s v="Danielborough"/>
  </r>
  <r>
    <s v="#2390"/>
    <d v="2026-08-04T14:03:09"/>
    <d v="2026-08-04T14:03:09"/>
    <s v="Sharon Brown"/>
    <x v="0"/>
    <s v="sharon.brown14@gmail.com"/>
    <s v="Classic Cotton T-Shirt"/>
    <s v="Apparel"/>
    <s v="TSH-BLK-M"/>
    <n v="1"/>
    <n v="14.99"/>
    <s v="FREESHIP"/>
    <n v="0"/>
    <n v="0"/>
    <s v="$14.99"/>
    <s v="Google Pay"/>
    <x v="2"/>
    <s v="fulfilled"/>
    <s v="United States"/>
    <s v="FL"/>
    <s v="Valid"/>
    <s v="Richardton"/>
  </r>
  <r>
    <s v="#2391"/>
    <d v="2026-08-04T13:57:57"/>
    <d v="2026-08-04T13:57:57"/>
    <s v="Anthony Krueger"/>
    <x v="0"/>
    <s v="anthony.krueger812@yahoo.com"/>
    <s v="Facial Cleanser 200ml"/>
    <s v="Beauty"/>
    <s v="BTY-CLN-200"/>
    <n v="1"/>
    <n v="13.49"/>
    <m/>
    <n v="0"/>
    <n v="4.99"/>
    <n v="18.48"/>
    <s v="Google Pay"/>
    <x v="0"/>
    <s v="cancelled"/>
    <s v="Pakistan"/>
    <m/>
    <s v="Not Required"/>
    <s v="West Shelbytown"/>
  </r>
  <r>
    <s v="#2392"/>
    <d v="2026-08-04T13:53:58"/>
    <d v="2026-08-04T13:53:58"/>
    <s v="Frederick Bean"/>
    <x v="0"/>
    <s v="frederick.bean141@outlook.com"/>
    <s v="Slim Fit Denim Jeans"/>
    <s v="Apparel"/>
    <s v="JNS-BLU-32"/>
    <n v="1"/>
    <s v="$39.99"/>
    <s v="BFCM25"/>
    <n v="10"/>
    <n v="5.99"/>
    <n v="35.979999999999997"/>
    <s v="Shopify Payments"/>
    <x v="2"/>
    <s v="refunded"/>
    <s v="United States"/>
    <s v="North Carolina"/>
    <s v="Valid"/>
    <s v="Gabrielbury"/>
  </r>
  <r>
    <s v="#2393"/>
    <d v="2026-08-04T00:00:00"/>
    <s v="2026-08-04"/>
    <s v="BRYAN BARNES"/>
    <x v="0"/>
    <s v="bryan.barnes666@yahoo.com"/>
    <s v="Leather Wallet - Brown"/>
    <s v="Accessories"/>
    <s v="ACC-WLT-BRN"/>
    <n v="1"/>
    <n v="19.989999999999998"/>
    <s v="SAVE20"/>
    <n v="4"/>
    <n v="7.99"/>
    <n v="23.98"/>
    <s v="Google Pay"/>
    <x v="0"/>
    <s v="pending"/>
    <s v="United States"/>
    <s v="Illinois"/>
    <s v="Valid"/>
    <s v="South Angel"/>
  </r>
  <r>
    <s v="#2394"/>
    <d v="2026-08-04T13:54:29"/>
    <d v="2026-08-04T13:54:29"/>
    <s v="James Castro"/>
    <x v="0"/>
    <s v="james.castro923@icloud.com"/>
    <s v="Kids Building Blocks Set"/>
    <s v="Toys"/>
    <s v="TOY-BLK-SET"/>
    <n v="2"/>
    <n v="27.99"/>
    <s v="VIP15"/>
    <s v="$8.40"/>
    <n v="4.99"/>
    <s v="$52.57"/>
    <s v="Apple Pay"/>
    <x v="3"/>
    <s v="fulfilled"/>
    <s v="Pakistan"/>
    <m/>
    <s v="Not Required"/>
    <s v="North Isabellamouth"/>
  </r>
  <r>
    <s v="#2395"/>
    <d v="2026-08-04T13:54:13"/>
    <d v="2026-08-04T13:54:13"/>
    <s v="Michael Jacobson"/>
    <x v="0"/>
    <s v="michael.jacobson69@outlook.com"/>
    <s v="Phone Case   Clear"/>
    <s v="Electronics"/>
    <s v="ELC-CSE-CLR"/>
    <n v="1"/>
    <n v="8.99"/>
    <m/>
    <s v="$0.00"/>
    <n v="7.99"/>
    <n v="16.98"/>
    <s v="PayPal"/>
    <x v="0"/>
    <s v="fulfilled"/>
    <s v="Germany"/>
    <m/>
    <s v="Not Required"/>
    <s v="Christinachester"/>
  </r>
  <r>
    <s v="#2396"/>
    <d v="2026-08-04T14:05:47"/>
    <d v="2026-08-04T14:05:47"/>
    <s v="Morgan Brown"/>
    <x v="0"/>
    <s v="morgan.brown933@gmail.com"/>
    <s v="Stainless Steel Water Bottle"/>
    <s v="Home &amp; Kitchen"/>
    <s v="HK-BTL-750"/>
    <n v="3"/>
    <s v="$12.99"/>
    <m/>
    <n v="0"/>
    <n v="4.99"/>
    <n v="43.96"/>
    <s v="PayPal"/>
    <x v="0"/>
    <s v="fulfilled"/>
    <s v="United States"/>
    <s v="North Carolina"/>
    <s v="Valid"/>
    <s v="Lake Meganland"/>
  </r>
  <r>
    <s v="#2397"/>
    <d v="2026-08-04T14:02:41"/>
    <d v="2026-08-04T14:02:41"/>
    <s v="Christopher Osborne"/>
    <x v="0"/>
    <s v="christopher.osborne481@yahoo.com"/>
    <s v="USB-C Fast Charger 20W"/>
    <s v="Electronics"/>
    <s v="ELC-CHG-20"/>
    <n v="1"/>
    <n v="15.49"/>
    <m/>
    <n v="0"/>
    <n v="5.99"/>
    <n v="21.48"/>
    <s v="PayPal"/>
    <x v="1"/>
    <s v="pending"/>
    <s v="United States"/>
    <s v="OH"/>
    <s v="Valid"/>
    <s v="Alexandraport"/>
  </r>
  <r>
    <s v="#2398"/>
    <d v="2026-08-04T00:00:00"/>
    <s v="2026-08-04"/>
    <s v="Eric Golden"/>
    <x v="0"/>
    <s v="eric.golden379@outlook.com"/>
    <s v="Throw Blanket - Fleece"/>
    <s v="Home &amp; Kitchen"/>
    <s v="HK-BLK-FLC"/>
    <n v="1"/>
    <n v="17.989999999999998"/>
    <s v="FREESHIP"/>
    <n v="0"/>
    <n v="0"/>
    <n v="17.989999999999998"/>
    <s v="Google Pay"/>
    <x v="1"/>
    <s v="pending"/>
    <s v="United States"/>
    <s v="Ohio"/>
    <s v="Valid"/>
    <s v="Lake Devinstad"/>
  </r>
  <r>
    <s v="#2399"/>
    <d v="2026-04-08T00:00:00"/>
    <s v="08/04/2026"/>
    <s v="Julie Terrell"/>
    <x v="0"/>
    <s v="julie.terrell409@icloud.com"/>
    <s v="Polarized Sunglasses"/>
    <s v="Accessories"/>
    <s v="ACC-SUN-01"/>
    <n v="3"/>
    <n v="16.989999999999998"/>
    <s v="VIP15"/>
    <n v="7.65"/>
    <n v="5.99"/>
    <s v="$49.31"/>
    <s v="Google Pay"/>
    <x v="0"/>
    <s v="fulfilled"/>
    <s v="Australia"/>
    <m/>
    <s v="Not Required"/>
    <s v="Port Marvinport"/>
  </r>
  <r>
    <s v="#2400"/>
    <d v="2026-08-04T00:00:00"/>
    <s v="2026-08-04"/>
    <s v="Kiara Burke"/>
    <x v="0"/>
    <s v="kiara.burke246@yahoo.com"/>
    <s v="Throw Blanket - Fleece"/>
    <s v="Home &amp; Kitchen"/>
    <s v="HK-BLK-FLC"/>
    <n v="2"/>
    <n v="17.989999999999998"/>
    <m/>
    <n v="0"/>
    <n v="4.99"/>
    <n v="40.97"/>
    <s v="Apple Pay"/>
    <x v="1"/>
    <s v="cancelled"/>
    <s v="Germany"/>
    <m/>
    <s v="Not Required"/>
    <s v="Port Amy"/>
  </r>
  <r>
    <s v="#2401"/>
    <d v="2026-08-04T14:02:39"/>
    <d v="2026-08-04T14:02:39"/>
    <s v="Patrick Evans"/>
    <x v="0"/>
    <s v="patrick.evans152@icloud.com"/>
    <s v="Classic Cotton T-Shirt"/>
    <s v="Apparel"/>
    <s v="TSH-BLK-M"/>
    <n v="1"/>
    <n v="14.99"/>
    <s v="BFCM25"/>
    <n v="3.75"/>
    <n v="4.99"/>
    <n v="16.23"/>
    <s v="Google Pay"/>
    <x v="0"/>
    <s v="cancelled"/>
    <s v="United States"/>
    <s v="Ohio"/>
    <s v="Valid"/>
    <s v="Lake Pamelaport"/>
  </r>
  <r>
    <s v="#2403"/>
    <d v="2026-08-04T14:02:54"/>
    <d v="2026-08-04T14:02:54"/>
    <s v="James Castro"/>
    <x v="0"/>
    <s v="james.castro923@icloud.com"/>
    <s v="Portable Power Bank 10000mAh"/>
    <s v="Electronics"/>
    <s v="ELC-PWB-10K"/>
    <n v="1"/>
    <n v="21.99"/>
    <s v="BFCM25"/>
    <n v="5.5"/>
    <n v="7.99"/>
    <n v="24.48"/>
    <s v="Google Pay"/>
    <x v="0"/>
    <s v="fulfilled"/>
    <s v="Pakistan"/>
    <m/>
    <s v="Not Required"/>
    <s v="Hansenmouth"/>
  </r>
  <r>
    <s v="#2404"/>
    <d v="2026-08-04T14:01:18"/>
    <d v="2026-08-04T14:01:18"/>
    <s v="Tracy Barr"/>
    <x v="0"/>
    <s v="tracy.barr550@icloud.com"/>
    <s v="Hooded Sweatshirt"/>
    <s v="Apparel"/>
    <s v="APR-HOD-GRY"/>
    <n v="1"/>
    <n v="34.99"/>
    <s v="SAVE20"/>
    <s v="$7.00"/>
    <n v="4.99"/>
    <n v="32.979999999999997"/>
    <s v="Shopify Payments"/>
    <x v="0"/>
    <s v="pending"/>
    <s v="United States"/>
    <s v="North Carolina"/>
    <s v="Valid"/>
    <s v="Roberthaven"/>
  </r>
  <r>
    <s v="#2405"/>
    <d v="2026-08-04T13:53:46"/>
    <d v="2026-08-04T13:53:46"/>
    <s v="Karen Bautista"/>
    <x v="0"/>
    <s v="karen.bautista779@icloud.com"/>
    <s v="Classic Cotton T-Shirt"/>
    <s v="Apparel"/>
    <s v="TSH-BLK-L"/>
    <n v="1"/>
    <n v="14.99"/>
    <m/>
    <n v="0"/>
    <n v="7.99"/>
    <n v="22.98"/>
    <s v="Credit Card"/>
    <x v="0"/>
    <s v="cancelled"/>
    <s v="United States"/>
    <s v="Arizona"/>
    <s v="Valid"/>
    <s v="East Robert"/>
  </r>
  <r>
    <s v="#2406"/>
    <d v="2026-08-04T14:05:56"/>
    <d v="2026-08-04T14:05:56"/>
    <s v="Kayla Cruz"/>
    <x v="0"/>
    <s v="kayla.cruz151@outlook.com"/>
    <s v="Ceramic Coffee Mug Set (4pc)"/>
    <s v="Home &amp; Kitchen"/>
    <s v="HK-MUG-4PK"/>
    <n v="1"/>
    <n v="18.989999999999998"/>
    <s v="WELCOME10"/>
    <s v="$1.90"/>
    <n v="4.99"/>
    <n v="22.08"/>
    <s v="Apple Pay"/>
    <x v="0"/>
    <s v="fulfilled"/>
    <s v="Pakistan"/>
    <m/>
    <s v="Not Required"/>
    <s v="Lake Alexanderfort"/>
  </r>
  <r>
    <s v="#2407"/>
    <d v="2026-08-04T13:54:48"/>
    <d v="2026-08-04T13:54:48"/>
    <s v="Timothy Hodges"/>
    <x v="0"/>
    <s v="timothy.hodges687@icloud.com"/>
    <s v="Vitamin C Serum 30ml"/>
    <s v="Beauty"/>
    <s v="BTY-SRM-30"/>
    <n v="1"/>
    <n v="24.99"/>
    <s v="SAVE20"/>
    <n v="5"/>
    <n v="7.99"/>
    <n v="27.98"/>
    <s v="Google Pay"/>
    <x v="0"/>
    <s v="refunded"/>
    <s v="Australia"/>
    <m/>
    <s v="Not Required"/>
    <s v="West Richardland"/>
  </r>
  <r>
    <s v="#2408"/>
    <d v="2026-08-04T13:54:01"/>
    <d v="2026-08-04T13:54:01"/>
    <s v="Joshua Thompson"/>
    <x v="0"/>
    <s v="joshua.thompson522@outlook.com"/>
    <s v="Vitamin C Serum 30ml"/>
    <s v="Beauty"/>
    <s v="BTY-SRM-30"/>
    <n v="2"/>
    <n v="24.99"/>
    <m/>
    <n v="0"/>
    <n v="7.99"/>
    <n v="57.97"/>
    <s v="Credit Card"/>
    <x v="0"/>
    <s v="fulfilled"/>
    <s v="Pakistan"/>
    <m/>
    <s v="Not Required"/>
    <s v="Grantshire"/>
  </r>
  <r>
    <s v="#2409"/>
    <d v="2026-08-04T14:04:34"/>
    <d v="2026-08-04T14:04:34"/>
    <s v="  Charles Franco"/>
    <x v="0"/>
    <s v="charles.franco761@outlook.com"/>
    <s v="Wireless Mouse"/>
    <s v="Electronics"/>
    <s v="ELC-MSE-WL"/>
    <n v="1"/>
    <n v="11.99"/>
    <s v="VIP15"/>
    <n v="1.8"/>
    <n v="5.99"/>
    <n v="16.18"/>
    <s v="PayPal"/>
    <x v="3"/>
    <s v="fulfilled"/>
    <s v="United States"/>
    <s v="New York"/>
    <s v="Valid"/>
    <s v="East James"/>
  </r>
  <r>
    <s v="#2410"/>
    <d v="2026-08-04T14:03:08"/>
    <d v="2026-08-04T14:03:08"/>
    <s v="Christopher Martin"/>
    <x v="0"/>
    <s v="christopher.martin10@gmail.com"/>
    <s v="Slim Fit Denim Jeans"/>
    <s v="Apparel"/>
    <s v="JNS-BLU-32"/>
    <n v="2"/>
    <n v="39.99"/>
    <m/>
    <n v="0"/>
    <n v="0"/>
    <n v="79.98"/>
    <s v="Shopify Payments"/>
    <x v="3"/>
    <s v="refunded"/>
    <s v="United States"/>
    <s v="NC"/>
    <s v="Valid"/>
    <s v="Port Jose"/>
  </r>
  <r>
    <s v="#2411"/>
    <d v="2026-08-04T14:07:54"/>
    <d v="2026-08-04T14:07:54"/>
    <s v="  Cheryl Coleman"/>
    <x v="0"/>
    <s v="cheryl.coleman261@icloud.com"/>
    <s v="Non-Stick Frying Pan 10in"/>
    <s v="Home &amp; Kitchen"/>
    <s v="HK-PAN-10"/>
    <n v="2"/>
    <n v="24.99"/>
    <s v="WELCOME10"/>
    <n v="5"/>
    <n v="7.99"/>
    <n v="52.97"/>
    <s v="Credit Card"/>
    <x v="1"/>
    <s v="fulfilled"/>
    <s v="Pakistan"/>
    <m/>
    <s v="Not Required"/>
    <s v="West Jasonborough"/>
  </r>
  <r>
    <s v="#2412"/>
    <d v="2026-04-08T00:00:00"/>
    <s v="08/04/2026"/>
    <s v="Kristopher Barnett"/>
    <x v="0"/>
    <s v="kristopher.barnett178@outlook.com"/>
    <s v="Ceramic Coffee Mug Set (4pc)"/>
    <s v="Home &amp; Kitchen"/>
    <s v="HK-MUG-4PK"/>
    <n v="1"/>
    <n v="18.989999999999998"/>
    <m/>
    <s v="$0.00"/>
    <n v="4.99"/>
    <n v="23.98"/>
    <s v="Shopify Payments"/>
    <x v="2"/>
    <s v="fulfilled"/>
    <s v="Australia"/>
    <m/>
    <s v="Not Required"/>
    <s v="Veronicashire"/>
  </r>
  <r>
    <s v="#2413"/>
    <d v="2026-08-04T14:05:45"/>
    <d v="2026-08-04T14:05:45"/>
    <s v="Karen Lewis"/>
    <x v="0"/>
    <s v="karen.lewis137@icloud.com"/>
    <s v="Portable Power Bank 10000mAh"/>
    <s v="Electronics"/>
    <s v="ELC-PWB-10K"/>
    <n v="1"/>
    <n v="21.99"/>
    <m/>
    <n v="0"/>
    <n v="4.99"/>
    <n v="26.98"/>
    <s v="Shopify Payments"/>
    <x v="0"/>
    <s v="cancelled"/>
    <s v="Australia"/>
    <m/>
    <s v="Not Required"/>
    <s v="Greerhaven"/>
  </r>
  <r>
    <s v="#2414"/>
    <d v="2026-08-04T13:55:27"/>
    <d v="2026-08-04T13:55:27"/>
    <s v="Richard Zavala"/>
    <x v="0"/>
    <s v="richard.zavala602@gmail.com"/>
    <s v="Classic Cotton T-Shirt"/>
    <s v="Apparel"/>
    <s v="TSH-BLK-M"/>
    <n v="1"/>
    <n v="14.99"/>
    <s v="VIP15"/>
    <n v="2.25"/>
    <n v="5.99"/>
    <n v="18.73"/>
    <s v="Credit Card"/>
    <x v="2"/>
    <s v="pending"/>
    <s v="Canada"/>
    <m/>
    <s v="Not Required"/>
    <s v="Janetton"/>
  </r>
  <r>
    <s v="#2416"/>
    <d v="2026-08-04T14:03:27"/>
    <d v="2026-08-04T14:03:27"/>
    <s v="Aimee Smith"/>
    <x v="0"/>
    <s v="aimee.smith857@icloud.com"/>
    <s v="Leather Wallet - Brown"/>
    <s v="Accessories"/>
    <s v="ACC-WLT-BRN"/>
    <n v="2"/>
    <n v="19.989999999999998"/>
    <m/>
    <n v="0"/>
    <n v="7.99"/>
    <n v="47.97"/>
    <s v="Credit Card"/>
    <x v="0"/>
    <s v="refunded"/>
    <s v="United Kingdom"/>
    <m/>
    <s v="Not Required"/>
    <s v="East Robertburgh"/>
  </r>
  <r>
    <s v="#2417"/>
    <d v="2026-08-04T14:02:42"/>
    <d v="2026-08-04T14:02:42"/>
    <s v="Timothy Becker"/>
    <x v="0"/>
    <s v="timothy.becker88@yahoo.com"/>
    <s v="Wireless Mouse"/>
    <s v="Electronics"/>
    <s v="ELC-MSE-WL"/>
    <n v="3"/>
    <n v="11.99"/>
    <m/>
    <n v="0"/>
    <n v="5.99"/>
    <n v="41.96"/>
    <s v="Credit Card"/>
    <x v="2"/>
    <s v="fulfilled"/>
    <s v="United States"/>
    <s v="Texas"/>
    <s v="Valid"/>
    <s v="Jeremyfort"/>
  </r>
  <r>
    <s v="#2418"/>
    <d v="2026-08-04T13:59:06"/>
    <d v="2026-08-04T13:59:06"/>
    <s v="Tracy Adams"/>
    <x v="0"/>
    <s v="tracy.adams712@icloud.com"/>
    <s v="Running Shoes - Women's"/>
    <s v="Footwear"/>
    <s v="FTW-RUN-W"/>
    <n v="1"/>
    <n v="54.99"/>
    <m/>
    <n v="0"/>
    <n v="7.99"/>
    <n v="62.98"/>
    <s v="Apple Pay"/>
    <x v="0"/>
    <s v="cancelled"/>
    <s v="United States"/>
    <s v="Washington"/>
    <s v="Valid"/>
    <s v="Jenningsborough"/>
  </r>
  <r>
    <s v="#2419"/>
    <d v="2026-08-04T13:57:01"/>
    <d v="2026-08-04T13:57:01"/>
    <s v="Gregory Vega"/>
    <x v="0"/>
    <s v="gregory.vega882@outlook.com"/>
    <s v="Hooded Sweatshirt"/>
    <s v="Apparel"/>
    <s v="APR-HOD-GRY"/>
    <n v="1"/>
    <n v="34.99"/>
    <m/>
    <n v="0"/>
    <n v="7.99"/>
    <n v="42.98"/>
    <s v="Google Pay"/>
    <x v="0"/>
    <s v="pending"/>
    <s v="Pakistan"/>
    <m/>
    <s v="Not Required"/>
    <s v="Hardymouth"/>
  </r>
  <r>
    <s v="#2420"/>
    <d v="2026-08-04T14:01:36"/>
    <d v="2026-08-04T14:01:36"/>
    <s v="Samuel Padilla"/>
    <x v="0"/>
    <s v="samuel.padilla79@gmail.com"/>
    <s v="Portable Power Bank 10000mAh"/>
    <s v="Electronics"/>
    <s v="ELC-PWB-10K"/>
    <n v="2"/>
    <n v="21.99"/>
    <s v="SAVE20"/>
    <n v="8.8000000000000007"/>
    <n v="4.99"/>
    <n v="40.17"/>
    <s v="Google Pay"/>
    <x v="0"/>
    <s v="fulfilled"/>
    <s v="United States"/>
    <s v="Washington"/>
    <s v="Valid"/>
    <s v="Myerschester"/>
  </r>
  <r>
    <s v="#2421"/>
    <d v="2026-08-04T14:02:24"/>
    <d v="2026-08-04T14:02:24"/>
    <s v="Anthony Mullen"/>
    <x v="0"/>
    <s v="anthony.mullen523@yahoo.com"/>
    <s v="USB-C Fast Charger 20W"/>
    <s v="Electronics"/>
    <s v="ELC-CHG-20"/>
    <n v="2"/>
    <n v="15.49"/>
    <s v="BFCM25"/>
    <n v="7.75"/>
    <n v="4.99"/>
    <n v="28.22"/>
    <s v="Apple Pay"/>
    <x v="0"/>
    <s v="cancelled"/>
    <s v="United States"/>
    <s v="Illinois"/>
    <s v="Valid"/>
    <s v="Bradleyview"/>
  </r>
  <r>
    <s v="#2422"/>
    <d v="2026-08-04T14:07:06"/>
    <d v="2026-08-04T14:07:06"/>
    <s v="Jon Lambert"/>
    <x v="0"/>
    <s v="jon.lambert231@icloud.com"/>
    <s v="Hooded Sweatshirt"/>
    <s v="Apparel"/>
    <s v="APR-HOD-GRY"/>
    <n v="1"/>
    <n v="34.99"/>
    <s v="VIP15"/>
    <n v="5.25"/>
    <n v="5.99"/>
    <n v="35.729999999999997"/>
    <s v="Credit Card"/>
    <x v="1"/>
    <s v="refunded"/>
    <s v="United States"/>
    <s v="Illinois"/>
    <s v="Valid"/>
    <s v="Michaelberg"/>
  </r>
  <r>
    <s v="#2423"/>
    <d v="2026-08-04T14:02:24"/>
    <d v="2026-08-04T14:02:24"/>
    <s v="Megan Dickson"/>
    <x v="0"/>
    <s v="megan.dickson508@gmail.com"/>
    <s v="Running Shoes - Women's"/>
    <s v="Footwear"/>
    <s v="FTW-RUN-W"/>
    <n v="1"/>
    <n v="54.99"/>
    <m/>
    <n v="0"/>
    <n v="4.99"/>
    <n v="59.98"/>
    <s v="Google Pay"/>
    <x v="0"/>
    <s v="fulfilled"/>
    <s v="United Kingdom"/>
    <m/>
    <s v="Not Required"/>
    <s v="Washingtonburgh"/>
  </r>
  <r>
    <s v="#2424"/>
    <d v="2026-08-04T13:55:50"/>
    <d v="2026-08-04T13:55:50"/>
    <s v="THOMAS ROJAS"/>
    <x v="0"/>
    <s v="thomas.rojas667@icloud.com"/>
    <s v="Phone Case - Clear"/>
    <s v="Electronics"/>
    <s v="ELC-CSE-CLR"/>
    <n v="3"/>
    <n v="8.99"/>
    <s v="FREESHIP"/>
    <n v="0"/>
    <n v="0"/>
    <n v="26.97"/>
    <s v="Apple Pay"/>
    <x v="2"/>
    <s v="fulfilled"/>
    <s v="United States"/>
    <s v="NC"/>
    <s v="Valid"/>
    <s v="Matthewland"/>
  </r>
  <r>
    <s v="#2425"/>
    <d v="2026-08-04T13:55:17"/>
    <d v="2026-08-04T13:55:17"/>
    <s v="Joshua Miller"/>
    <x v="0"/>
    <s v="joshua.miller362@gmail.com"/>
    <s v="Yoga Mat - Extra Thick"/>
    <s v="Sports &amp; Outdoors"/>
    <s v="SP-YGM-EX"/>
    <n v="1"/>
    <s v="$22.99"/>
    <m/>
    <n v="0"/>
    <n v="5.99"/>
    <n v="28.98"/>
    <s v="PayPal"/>
    <x v="0"/>
    <s v="pending"/>
    <s v="Canada"/>
    <m/>
    <s v="Not Required"/>
    <s v="Floresfort"/>
  </r>
  <r>
    <s v="#2426"/>
    <d v="2026-08-04T14:01:17"/>
    <d v="2026-08-04T14:01:17"/>
    <s v="Christopher Harrington"/>
    <x v="0"/>
    <s v="christopher.harrington960@gmail.com"/>
    <s v="Resistance Bands Set"/>
    <s v="Sports &amp; Outdoors"/>
    <s v="SP-RBS-SET"/>
    <n v="2"/>
    <n v="13.99"/>
    <s v="BFCM25"/>
    <n v="7"/>
    <n v="7.99"/>
    <n v="28.97"/>
    <s v="PayPal"/>
    <x v="2"/>
    <s v="fulfilled"/>
    <s v="Australia"/>
    <m/>
    <s v="Not Required"/>
    <s v="Brownmouth"/>
  </r>
  <r>
    <s v="#2427"/>
    <d v="2026-08-04T00:00:00"/>
    <s v="04-08-2026 14:00"/>
    <s v="Mary Garcia"/>
    <x v="0"/>
    <s v="mary.garcia899@icloud.com"/>
    <s v="Non-Stick Frying Pan 10in"/>
    <s v="Home &amp; Kitchen"/>
    <s v="HK-PAN-10"/>
    <n v="1"/>
    <n v="24.99"/>
    <s v="BFCM25"/>
    <n v="6.25"/>
    <n v="5.99"/>
    <n v="24.73"/>
    <s v="Credit Card"/>
    <x v="3"/>
    <s v="pending"/>
    <s v="Canada"/>
    <m/>
    <s v="Not Required"/>
    <s v="South Garyside"/>
  </r>
  <r>
    <s v="#2428"/>
    <d v="2026-08-04T14:00:32"/>
    <d v="2026-08-04T14:00:32"/>
    <s v="Megan Dickson"/>
    <x v="0"/>
    <s v="megan.dickson508@gmail.com"/>
    <s v="Polarized Sunglasses"/>
    <s v="Accessories"/>
    <s v="ACC-SUN-01"/>
    <n v="1"/>
    <n v="16.989999999999998"/>
    <s v="WELCOME10"/>
    <n v="1.7"/>
    <n v="4.99"/>
    <n v="20.28"/>
    <s v="Apple Pay"/>
    <x v="2"/>
    <s v="fulfilled"/>
    <s v="United Kingdom"/>
    <m/>
    <s v="Not Required"/>
    <s v="Jessicafort"/>
  </r>
  <r>
    <s v="#2429"/>
    <d v="2026-08-04T13:54:12"/>
    <d v="2026-08-04T13:54:12"/>
    <s v="Sandra Potter"/>
    <x v="0"/>
    <s v="sandra.potter166@yahoo.com"/>
    <s v="Throw Blanket - Fleece"/>
    <s v="Home &amp; Kitchen"/>
    <s v="HK-BLK-FLC"/>
    <n v="1"/>
    <n v="17.989999999999998"/>
    <s v="VIP15"/>
    <n v="2.7"/>
    <n v="5.99"/>
    <n v="21.28"/>
    <s v="Credit Card"/>
    <x v="1"/>
    <s v="cancelled"/>
    <s v="United States"/>
    <s v="Georgia"/>
    <s v="Valid"/>
    <s v="Elizabethborough"/>
  </r>
  <r>
    <s v="#2430"/>
    <d v="2026-08-04T13:58:01"/>
    <d v="2026-08-04T13:58:01"/>
    <s v="Sandra Potter"/>
    <x v="0"/>
    <s v="sandra.potter166@yahoo.com"/>
    <s v="Slim Fit Denim Jeans"/>
    <s v="Apparel"/>
    <s v="JNS-BLU-32"/>
    <n v="2"/>
    <n v="39.99"/>
    <m/>
    <n v="0"/>
    <n v="0"/>
    <n v="79.98"/>
    <s v="PayPal"/>
    <x v="3"/>
    <s v="fulfilled"/>
    <s v="United States"/>
    <s v="Illinois"/>
    <s v="Valid"/>
    <s v="South Andreastad"/>
  </r>
  <r>
    <s v="#2431"/>
    <d v="2026-08-04T14:03:00"/>
    <d v="2026-08-04T14:03:00"/>
    <s v="Brittney Thomas"/>
    <x v="0"/>
    <s v="brittney.thomas484@gmail.com"/>
    <s v="Ceramic Coffee Mug Set (4pc)"/>
    <s v="Home &amp; Kitchen"/>
    <s v="HK-MUG-4PK"/>
    <n v="1"/>
    <n v="18.989999999999998"/>
    <s v="BFCM25"/>
    <s v="$4.75"/>
    <n v="5.99"/>
    <s v="$20.23"/>
    <s v="PayPal"/>
    <x v="2"/>
    <s v="fulfilled"/>
    <s v="United States"/>
    <s v="Arizona"/>
    <s v="Valid"/>
    <s v="West Jennifer"/>
  </r>
  <r>
    <s v="#2432"/>
    <d v="2026-08-04T00:00:00"/>
    <s v="04-08-2026 13:58"/>
    <s v="Robert Boyd"/>
    <x v="1"/>
    <m/>
    <s v="Polarized Sunglasses"/>
    <s v="Accessories"/>
    <s v="ACC-SUN-01"/>
    <n v="1"/>
    <n v="16.989999999999998"/>
    <s v="VIP15"/>
    <s v="$2.55"/>
    <n v="7.99"/>
    <n v="22.43"/>
    <s v="PayPal"/>
    <x v="0"/>
    <s v="pending"/>
    <s v="Canada"/>
    <m/>
    <s v="Not Required"/>
    <s v="Port Michaelton"/>
  </r>
  <r>
    <s v="#2433"/>
    <d v="2026-08-04T14:01:24"/>
    <d v="2026-08-04T14:01:24"/>
    <s v="Amanda Robinson"/>
    <x v="0"/>
    <s v="amanda.robinson263@icloud.com"/>
    <s v="Yoga Mat - Extra Thick"/>
    <s v="Sports &amp; Outdoors"/>
    <s v="SP-YGM-EX"/>
    <n v="4"/>
    <n v="22.99"/>
    <m/>
    <n v="0"/>
    <n v="0"/>
    <n v="91.96"/>
    <s v="Google Pay"/>
    <x v="3"/>
    <s v="fulfilled"/>
    <s v="United States"/>
    <s v="NY"/>
    <s v="Valid"/>
    <s v="Luisville"/>
  </r>
  <r>
    <s v="#2434"/>
    <d v="2026-08-04T14:02:26"/>
    <d v="2026-08-04T14:02:26"/>
    <s v="Megan Dickson"/>
    <x v="0"/>
    <s v="megan.dickson508@gmail.com"/>
    <s v="Adjustable Dumbbell Set"/>
    <s v="Sports &amp; Outdoors"/>
    <s v="SP-DMB-ADJ"/>
    <n v="1"/>
    <n v="89.99"/>
    <s v="BFCM25"/>
    <n v="22.5"/>
    <n v="0"/>
    <n v="67.489999999999995"/>
    <s v="Apple Pay"/>
    <x v="3"/>
    <s v="fulfilled"/>
    <s v="United Kingdom"/>
    <m/>
    <s v="Not Required"/>
    <s v="New Rogerside"/>
  </r>
  <r>
    <s v="#2435"/>
    <d v="2026-08-04T13:56:19"/>
    <d v="2026-08-04T13:56:19"/>
    <s v="Andrea Martinez"/>
    <x v="0"/>
    <s v="andrea.martinez756@yahoo.com"/>
    <s v="Slim Fit Denim Jeans"/>
    <s v="Apparel"/>
    <s v="JNS-BLU-32"/>
    <n v="2"/>
    <n v="39.99"/>
    <m/>
    <n v="0"/>
    <n v="0"/>
    <n v="79.98"/>
    <s v="PayPal"/>
    <x v="2"/>
    <s v="pending"/>
    <s v="Australia"/>
    <m/>
    <s v="Not Required"/>
    <s v="Shannonport"/>
  </r>
  <r>
    <s v="#2437"/>
    <d v="2026-08-04T13:54:56"/>
    <d v="2026-08-04T13:54:56"/>
    <s v="Amanda Harris"/>
    <x v="0"/>
    <s v="amanda.harris197@gmail.com"/>
    <s v="Slim Fit Denim Jeans"/>
    <s v="Apparel"/>
    <s v="JNS-BLU-32"/>
    <n v="4"/>
    <n v="39.99"/>
    <m/>
    <n v="0"/>
    <n v="0"/>
    <n v="159.96"/>
    <s v="Credit Card"/>
    <x v="0"/>
    <s v="fulfilled"/>
    <s v="United States"/>
    <s v="California"/>
    <s v="Valid"/>
    <s v="Lake Ianmouth"/>
  </r>
  <r>
    <s v="#2438"/>
    <d v="2026-08-04T00:00:00"/>
    <s v="Aug 04, 2026"/>
    <m/>
    <x v="0"/>
    <s v="jesus.mason798@icloud.com"/>
    <s v="Wireless Mouse"/>
    <s v="Electronics"/>
    <s v="ELC-MSE-WL"/>
    <n v="1"/>
    <n v="11.99"/>
    <m/>
    <n v="0"/>
    <n v="7.99"/>
    <n v="19.98"/>
    <s v="Shopify Payments"/>
    <x v="3"/>
    <s v="pending"/>
    <s v="United States"/>
    <s v="Georgia"/>
    <s v="Valid"/>
    <s v="North Ashley"/>
  </r>
  <r>
    <s v="#2439"/>
    <d v="2026-08-04T14:08:09"/>
    <d v="2026-08-04T14:08:09"/>
    <s v="Russell Walton"/>
    <x v="1"/>
    <m/>
    <s v="Wireless Mouse"/>
    <s v="Electronics"/>
    <s v="ELC-MSE-WL"/>
    <n v="2"/>
    <n v="11.99"/>
    <m/>
    <n v="0"/>
    <n v="5.99"/>
    <n v="29.97"/>
    <s v="Shopify Payments"/>
    <x v="3"/>
    <s v="fulfilled"/>
    <s v="United States"/>
    <s v="North Carolina"/>
    <s v="Valid"/>
    <s v="Lake Lisa"/>
  </r>
  <r>
    <s v="#2440"/>
    <d v="2026-08-04T14:05:48"/>
    <d v="2026-08-04T14:05:48"/>
    <s v="Randall Rhodes"/>
    <x v="0"/>
    <s v="randall.rhodes730@outlook.com"/>
    <s v="Adjustable Dumbbell Set"/>
    <s v="Sports &amp; Outdoors"/>
    <s v="SP-DMB-ADJ"/>
    <n v="1"/>
    <n v="89.99"/>
    <s v="WELCOME10"/>
    <n v="9"/>
    <n v="0"/>
    <n v="80.989999999999995"/>
    <s v="PayPal"/>
    <x v="1"/>
    <s v="fulfilled"/>
    <s v="United Kingdom"/>
    <m/>
    <s v="Not Required"/>
    <s v="Michaelhaven"/>
  </r>
  <r>
    <s v="#2441"/>
    <d v="2026-08-04T13:58:11"/>
    <d v="2026-08-04T13:58:11"/>
    <s v="Michael Wilson"/>
    <x v="0"/>
    <s v="michael.wilson464@icloud.com"/>
    <s v="Classic Cotton T-Shirt"/>
    <s v="Apparel"/>
    <s v="TSH-BLK-M"/>
    <n v="1"/>
    <n v="14.99"/>
    <m/>
    <n v="0"/>
    <n v="4.99"/>
    <n v="19.98"/>
    <s v="Google Pay"/>
    <x v="0"/>
    <s v="refunded"/>
    <s v="Australia"/>
    <m/>
    <s v="Not Required"/>
    <s v="Delgadobury"/>
  </r>
  <r>
    <s v="#2442"/>
    <d v="2026-08-04T13:58:48"/>
    <d v="2026-08-04T13:58:48"/>
    <s v="David Duke"/>
    <x v="0"/>
    <s v="david.duke814@icloud.com"/>
    <s v="Non-Stick Frying Pan 10in"/>
    <s v="Home &amp; Kitchen"/>
    <s v="HK-PAN-10"/>
    <n v="2"/>
    <n v="24.99"/>
    <s v="FREESHIP"/>
    <n v="0"/>
    <n v="0"/>
    <n v="49.98"/>
    <s v="Google Pay"/>
    <x v="3"/>
    <s v="fulfilled"/>
    <s v="United States"/>
    <s v="Texas"/>
    <s v="Valid"/>
    <s v="Martinezshire"/>
  </r>
  <r>
    <s v="#2443"/>
    <d v="2026-08-04T13:55:56"/>
    <d v="2026-08-04T13:55:56"/>
    <s v="Stacey Johnson"/>
    <x v="0"/>
    <s v="stacey.johnson95@gmail.com"/>
    <s v="Hooded Sweatshirt"/>
    <s v="Apparel"/>
    <s v="APR-HOD-GRY"/>
    <n v="1"/>
    <n v="34.99"/>
    <m/>
    <n v="0"/>
    <n v="5.99"/>
    <s v="$40.98"/>
    <s v="Apple Pay"/>
    <x v="0"/>
    <s v="fulfilled"/>
    <s v="Germany"/>
    <m/>
    <s v="Not Required"/>
    <s v="South Patriciastad"/>
  </r>
  <r>
    <s v="#2444"/>
    <d v="2026-08-04T14:00:54"/>
    <d v="2026-08-04T14:00:54"/>
    <s v="Mark Woods"/>
    <x v="0"/>
    <s v="mark.woods108@yahoo.com"/>
    <s v="Throw Blanket - Fleece"/>
    <s v="Home &amp; Kitchen"/>
    <s v="HK-BLK-FLC"/>
    <n v="1"/>
    <n v="17.989999999999998"/>
    <m/>
    <n v="0"/>
    <n v="5.99"/>
    <n v="23.98"/>
    <s v="Shopify Payments"/>
    <x v="0"/>
    <s v="fulfilled"/>
    <s v="United States"/>
    <s v="Illinois"/>
    <s v="Valid"/>
    <s v="South Justinland"/>
  </r>
  <r>
    <s v="#2445"/>
    <d v="2026-08-04T13:54:39"/>
    <d v="2026-08-04T13:54:39"/>
    <s v="Heather Davis"/>
    <x v="0"/>
    <s v="heather.davis117@icloud.com"/>
    <s v="Kids Building Blocks Set"/>
    <s v="Toys"/>
    <s v="TOY-BLK-SET"/>
    <n v="2"/>
    <n v="27.99"/>
    <m/>
    <n v="0"/>
    <n v="4.99"/>
    <n v="60.97"/>
    <s v="Shopify Payments"/>
    <x v="0"/>
    <s v="fulfilled"/>
    <s v="Germany"/>
    <m/>
    <s v="Not Required"/>
    <s v="Thomasbury"/>
  </r>
  <r>
    <s v="#2446"/>
    <d v="2026-08-04T13:59:56"/>
    <d v="2026-08-04T13:59:56"/>
    <s v="Michael Hays"/>
    <x v="1"/>
    <m/>
    <s v="Adjustable Dumbbell Set"/>
    <s v="Sports &amp; Outdoors"/>
    <s v="SP-DMB-ADJ"/>
    <n v="1"/>
    <n v="89.99"/>
    <s v="VIP15"/>
    <s v="$13.50"/>
    <n v="0"/>
    <n v="76.489999999999995"/>
    <s v="Apple Pay"/>
    <x v="3"/>
    <s v="pending"/>
    <s v="United States"/>
    <s v="Texas"/>
    <s v="Valid"/>
    <s v="East Edwardburgh"/>
  </r>
  <r>
    <s v="#2447"/>
    <d v="2026-08-04T14:03:53"/>
    <d v="2026-08-04T14:03:53"/>
    <s v="Devin Jones"/>
    <x v="0"/>
    <s v="devin.jones807@yahoo.com"/>
    <s v="Wireless Bluetooth Earbuds"/>
    <s v="Electronics"/>
    <s v="ELC-WBE-01"/>
    <n v="1"/>
    <n v="29.99"/>
    <s v="SAVE20"/>
    <n v="6"/>
    <n v="5.99"/>
    <n v="29.98"/>
    <s v="Apple Pay"/>
    <x v="2"/>
    <s v="fulfilled"/>
    <s v="Pakistan"/>
    <m/>
    <s v="Not Required"/>
    <s v="Lake Tamarahaven"/>
  </r>
  <r>
    <s v="#2448"/>
    <d v="2026-04-08T00:00:00"/>
    <s v="08/04/2026"/>
    <s v="Peter Alvarez"/>
    <x v="0"/>
    <s v="peter.alvarez465@yahoo.com"/>
    <s v="Kids Building Blocks Set"/>
    <s v="Toys"/>
    <s v="TOY-BLK-SET"/>
    <n v="1"/>
    <n v="27.99"/>
    <m/>
    <n v="0"/>
    <n v="7.99"/>
    <s v="$35.98"/>
    <s v="Shopify Payments"/>
    <x v="3"/>
    <s v="refunded"/>
    <s v="United States"/>
    <s v="Arizona"/>
    <s v="Valid"/>
    <s v="South Kelly"/>
  </r>
  <r>
    <s v="#2449"/>
    <d v="2026-08-04T14:05:27"/>
    <d v="2026-08-04T14:05:27"/>
    <s v="Jesse Hammond"/>
    <x v="0"/>
    <s v="jesse.hammond987@gmail.com"/>
    <s v="Backpack - 25L"/>
    <s v="Accessories"/>
    <s v="ACC-BPK-25L"/>
    <n v="1"/>
    <s v="$32.99"/>
    <s v="BFCM25"/>
    <n v="8.25"/>
    <n v="7.99"/>
    <n v="32.729999999999997"/>
    <s v="Credit Card"/>
    <x v="0"/>
    <s v="fulfilled"/>
    <s v="United States"/>
    <s v="Washington"/>
    <s v="Valid"/>
    <s v="Jennyburgh"/>
  </r>
  <r>
    <s v="#2450"/>
    <d v="2026-08-04T14:03:06"/>
    <d v="2026-08-04T14:03:06"/>
    <s v="Glenn Smith"/>
    <x v="0"/>
    <s v="glenn.smith305@gmail.com"/>
    <s v="Non-Stick Frying Pan 10in"/>
    <s v="Home &amp; Kitchen"/>
    <s v="HK-PAN-10"/>
    <n v="2"/>
    <n v="24.99"/>
    <s v="FREESHIP"/>
    <n v="0"/>
    <n v="0"/>
    <n v="49.98"/>
    <s v="PayPal"/>
    <x v="0"/>
    <s v="fulfilled"/>
    <s v="Canada"/>
    <m/>
    <s v="Not Required"/>
    <s v="Rebeccamouth"/>
  </r>
  <r>
    <s v="#2451"/>
    <d v="2026-08-04T14:05:00"/>
    <d v="2026-08-04T14:05:00"/>
    <s v="Vincent Rosales"/>
    <x v="0"/>
    <s v="vincent.rosales30@icloud.com"/>
    <s v="Throw Blanket - Fleece"/>
    <s v="Home &amp; Kitchen"/>
    <s v="HK-BLK-FLC"/>
    <n v="2"/>
    <n v="17.989999999999998"/>
    <s v="SAVE20"/>
    <n v="7.2"/>
    <n v="4.99"/>
    <s v="$33.77"/>
    <s v="PayPal"/>
    <x v="0"/>
    <s v="fulfilled"/>
    <s v="United States"/>
    <s v="Washington"/>
    <s v="Valid"/>
    <s v="South Nathanville"/>
  </r>
  <r>
    <s v="#2452"/>
    <d v="2026-08-04T13:56:48"/>
    <d v="2026-08-04T13:56:48"/>
    <s v="Andrea Gallegos"/>
    <x v="0"/>
    <s v="andrea.gallegos495@gmail.com"/>
    <s v="Running Shoes - Men's"/>
    <s v="Footwear"/>
    <s v="FTW-RUN-M"/>
    <n v="1"/>
    <n v="54.99"/>
    <s v="WELCOME10"/>
    <n v="5.5"/>
    <n v="4.99"/>
    <n v="54.48"/>
    <s v="Shopify Payments"/>
    <x v="1"/>
    <s v="pending"/>
    <s v="Germany"/>
    <m/>
    <s v="Not Required"/>
    <s v="New Eric"/>
  </r>
  <r>
    <s v="#2453"/>
    <d v="2026-08-04T14:05:06"/>
    <d v="2026-08-04T14:05:06"/>
    <s v="Williams, Cynthia"/>
    <x v="0"/>
    <s v="cynthia.williams720@yahoo.com"/>
    <s v="Vitamin C Serum 30ml"/>
    <s v="Beauty"/>
    <s v="BTY-SRM-30"/>
    <n v="2"/>
    <n v="24.99"/>
    <s v="VIP15"/>
    <n v="7.5"/>
    <n v="7.99"/>
    <s v="$50.47"/>
    <s v="Apple Pay"/>
    <x v="0"/>
    <s v="pending"/>
    <s v="Australia"/>
    <m/>
    <s v="Not Required"/>
    <s v="Hectorville"/>
  </r>
  <r>
    <s v="#2454"/>
    <d v="2026-08-04T14:05:08"/>
    <d v="2026-08-04T14:05:08"/>
    <s v="Eric Bailey"/>
    <x v="0"/>
    <s v="eric.bailey970@yahoo.com"/>
    <s v="Classic Cotton T-Shirt"/>
    <s v="Apparel"/>
    <s v="TSH-BLK-M"/>
    <n v="3"/>
    <n v="14.99"/>
    <s v="VIP15"/>
    <n v="6.75"/>
    <n v="5.99"/>
    <n v="44.21"/>
    <s v="Apple Pay"/>
    <x v="1"/>
    <s v="refunded"/>
    <s v="United Kingdom"/>
    <m/>
    <s v="Not Required"/>
    <s v="North Evelyn"/>
  </r>
  <r>
    <s v="#2455"/>
    <d v="2026-08-04T14:02:00"/>
    <d v="2026-08-04T14:02:00"/>
    <s v="Morgan Johnson"/>
    <x v="1"/>
    <m/>
    <s v="Classic Cotton T-Shirt"/>
    <s v="Apparel"/>
    <s v="TSH-BLK-L"/>
    <n v="1"/>
    <n v="14.99"/>
    <s v="FREESHIP"/>
    <n v="0"/>
    <n v="0"/>
    <s v="$14.99"/>
    <s v="Google Pay"/>
    <x v="3"/>
    <s v="refunded"/>
    <s v="Canada"/>
    <m/>
    <s v="Not Required"/>
    <s v="East Kenneth"/>
  </r>
  <r>
    <s v="#2456"/>
    <d v="2026-08-04T00:00:00"/>
    <s v="04-08-2026 13:57"/>
    <s v="Alexandria Miller"/>
    <x v="0"/>
    <s v="alexandria.miller414@outlook.com"/>
    <s v="Backpack - 25L"/>
    <s v="Accessories"/>
    <s v="ACC-BPK-25L"/>
    <n v="3"/>
    <s v="$32.99"/>
    <s v="FREESHIP"/>
    <n v="0"/>
    <n v="0"/>
    <n v="98.97"/>
    <s v="PayPal"/>
    <x v="0"/>
    <s v="fulfilled"/>
    <s v="Australia"/>
    <m/>
    <s v="Not Required"/>
    <s v="East Miranda"/>
  </r>
  <r>
    <s v="#2457"/>
    <d v="2026-04-08T00:00:00"/>
    <s v="08/04/2026"/>
    <s v="Megan Holmes"/>
    <x v="0"/>
    <s v="megan.holmes105@yahoo.com"/>
    <s v="Kids Building Blocks Set"/>
    <s v="Toys"/>
    <s v="TOY-BLK-SET"/>
    <n v="1"/>
    <s v="$27.99"/>
    <s v="WELCOME10"/>
    <n v="2.8"/>
    <n v="5.99"/>
    <n v="31.18"/>
    <s v="Credit Card"/>
    <x v="1"/>
    <s v="fulfilled"/>
    <s v="United States"/>
    <s v="Arizona"/>
    <s v="Valid"/>
    <s v="East Andrea"/>
  </r>
  <r>
    <s v="#2458"/>
    <d v="2026-08-04T13:54:16"/>
    <d v="2026-08-04T13:54:16"/>
    <s v="Sandra Wilson"/>
    <x v="0"/>
    <s v="sandra.wilson554@outlook.com"/>
    <s v="Ceramic Coffee Mug Set (4pc)"/>
    <s v="Home &amp; Kitchen"/>
    <s v="HK-MUG-4PK"/>
    <n v="1"/>
    <n v="18.989999999999998"/>
    <s v="BFCM25"/>
    <n v="4.75"/>
    <n v="7.99"/>
    <n v="22.23"/>
    <s v="Apple Pay"/>
    <x v="3"/>
    <s v="fulfilled"/>
    <s v="Canada"/>
    <m/>
    <s v="Not Required"/>
    <s v="New Kevinborough"/>
  </r>
  <r>
    <s v="#2459"/>
    <d v="2026-08-04T14:03:36"/>
    <d v="2026-08-04T14:03:36"/>
    <s v="Jaime Vargas"/>
    <x v="0"/>
    <s v="jaime.vargas795@outlook.com"/>
    <s v="Slim Fit Denim Jeans"/>
    <s v="Apparel"/>
    <s v="JNS-BLU-32"/>
    <n v="1"/>
    <s v="$39.99"/>
    <m/>
    <s v="$0.00"/>
    <n v="7.99"/>
    <n v="47.98"/>
    <s v="Shopify Payments"/>
    <x v="3"/>
    <s v="pending"/>
    <s v="United Kingdom"/>
    <m/>
    <s v="Not Required"/>
    <s v="North Patriciaton"/>
  </r>
  <r>
    <s v="#2460"/>
    <d v="2026-08-04T14:04:58"/>
    <d v="2026-08-04T14:04:58"/>
    <s v="Dawn Randolph"/>
    <x v="0"/>
    <s v="dawn.randolph179@icloud.com"/>
    <s v="Throw Blanket - Fleece"/>
    <s v="Home &amp; Kitchen"/>
    <s v="HK-BLK-FLC"/>
    <n v="2"/>
    <n v="17.989999999999998"/>
    <s v="WELCOME10"/>
    <n v="3.6"/>
    <n v="5.99"/>
    <n v="38.369999999999997"/>
    <s v="Apple Pay"/>
    <x v="2"/>
    <s v="fulfilled"/>
    <s v="Pakistan"/>
    <m/>
    <s v="Not Required"/>
    <s v="East Darryl"/>
  </r>
  <r>
    <s v="#2461"/>
    <d v="2026-04-08T00:00:00"/>
    <s v="08/04/2026"/>
    <s v="Megan Dickson"/>
    <x v="0"/>
    <s v="megan.dickson508@gmail.com"/>
    <s v="Non-Stick Frying Pan 10in"/>
    <s v="Home &amp; Kitchen"/>
    <s v="HK-PAN-10"/>
    <n v="1"/>
    <n v="24.99"/>
    <m/>
    <s v="$0.00"/>
    <n v="4.99"/>
    <s v="$29.98"/>
    <s v="Google Pay"/>
    <x v="2"/>
    <s v="cancelled"/>
    <s v="United Kingdom"/>
    <m/>
    <s v="Not Required"/>
    <s v="Pearsonchester"/>
  </r>
  <r>
    <s v="#2462"/>
    <d v="2026-04-08T00:00:00"/>
    <s v="08/04/2026"/>
    <s v="Timothy Hodges"/>
    <x v="0"/>
    <s v="timothy.hodges687@icloud.com"/>
    <s v="Ceramic Coffee Mug Set (4pc)"/>
    <s v="Home &amp; Kitchen"/>
    <s v="HK-MUG-4PK"/>
    <n v="1"/>
    <n v="18.989999999999998"/>
    <m/>
    <n v="0"/>
    <n v="7.99"/>
    <s v="$26.98"/>
    <s v="Apple Pay"/>
    <x v="0"/>
    <s v="pending"/>
    <s v="Australia"/>
    <m/>
    <s v="Not Required"/>
    <s v="Warrenfurt"/>
  </r>
  <r>
    <s v="#2463"/>
    <d v="2026-08-04T14:00:11"/>
    <d v="2026-08-04T14:00:11"/>
    <s v="Joseph Martin"/>
    <x v="0"/>
    <s v="joseph.martin348@icloud.com"/>
    <s v="Yoga Mat - Extra Thick"/>
    <s v="Sports &amp; Outdoors"/>
    <s v="SP-YGM-EX"/>
    <n v="1"/>
    <n v="22.99"/>
    <m/>
    <n v="0"/>
    <n v="4.99"/>
    <n v="27.98"/>
    <s v="Credit Card"/>
    <x v="1"/>
    <s v="refunded"/>
    <s v="United States"/>
    <s v="Texas"/>
    <s v="Valid"/>
    <s v="New Anne"/>
  </r>
  <r>
    <s v="#2464"/>
    <d v="2026-04-08T00:00:00"/>
    <s v="08/04/2026"/>
    <s v="  Sean Frank"/>
    <x v="0"/>
    <s v="sean.frank587@icloud.com"/>
    <s v="Scented Soy Candle - Vanilla"/>
    <s v="Home &amp; Kitchen"/>
    <s v="HK-CND-VAN"/>
    <n v="2"/>
    <n v="9.99"/>
    <s v="FREESHIP"/>
    <n v="0"/>
    <n v="0"/>
    <n v="19.98"/>
    <s v="Credit Card"/>
    <x v="0"/>
    <s v="refunded"/>
    <s v="Australia"/>
    <m/>
    <s v="Not Required"/>
    <s v="West Tiffanyfurt"/>
  </r>
  <r>
    <s v="#2465"/>
    <d v="2026-08-04T14:05:03"/>
    <d v="2026-08-04T14:05:03"/>
    <s v="Monica Hodge"/>
    <x v="0"/>
    <s v="monica.hodge369@icloud.com"/>
    <s v="Classic Cotton T-Shirt"/>
    <s v="Apparel"/>
    <s v="TSH-BLK-L"/>
    <n v="2"/>
    <s v="$14.99"/>
    <s v="WELCOME10"/>
    <n v="3"/>
    <n v="4.99"/>
    <n v="31.97"/>
    <s v="Google Pay"/>
    <x v="2"/>
    <s v="refunded"/>
    <s v="United States"/>
    <s v="Georgia"/>
    <s v="Valid"/>
    <s v="Wayneside"/>
  </r>
  <r>
    <s v="#2466"/>
    <d v="2026-08-04T13:55:12"/>
    <d v="2026-08-04T13:55:12"/>
    <s v="Sandra Wilson"/>
    <x v="1"/>
    <m/>
    <s v="Leather Wallet - Brown"/>
    <s v="Accessories"/>
    <s v="ACC-WLT-BRN"/>
    <n v="2"/>
    <n v="19.989999999999998"/>
    <s v="BFCM25"/>
    <n v="9.99"/>
    <n v="5.99"/>
    <n v="35.979999999999997"/>
    <s v="PayPal"/>
    <x v="0"/>
    <s v="fulfilled"/>
    <s v="Canada"/>
    <m/>
    <s v="Not Required"/>
    <s v="Port Haydentown"/>
  </r>
  <r>
    <s v="#2467"/>
    <d v="2026-08-04T14:06:25"/>
    <d v="2026-08-04T14:06:25"/>
    <s v="Rose Campos"/>
    <x v="0"/>
    <s v="rose.campos542@gmail.com"/>
    <s v="USB-C Fast Charger 20W"/>
    <s v="Electronics"/>
    <s v="ELC-CHG-20"/>
    <n v="1"/>
    <n v="15.49"/>
    <s v="WELCOME10"/>
    <n v="1.55"/>
    <n v="7.99"/>
    <n v="21.93"/>
    <s v="Apple Pay"/>
    <x v="3"/>
    <s v="fulfilled"/>
    <s v="Canada"/>
    <m/>
    <s v="Not Required"/>
    <s v="Port Peter"/>
  </r>
  <r>
    <s v="#2468"/>
    <d v="2026-08-04T13:57:04"/>
    <d v="2026-08-04T13:57:04"/>
    <s v="Brooke Crawford"/>
    <x v="0"/>
    <s v="brooke.crawford896@outlook.com"/>
    <s v="Throw Blanket - Fleece"/>
    <s v="Home &amp; Kitchen"/>
    <s v="HK-BLK-FLC"/>
    <n v="4"/>
    <n v="17.989999999999998"/>
    <m/>
    <n v="0"/>
    <n v="5.99"/>
    <n v="77.95"/>
    <s v="Credit Card"/>
    <x v="2"/>
    <s v="fulfilled"/>
    <s v="Pakistan"/>
    <m/>
    <s v="Not Required"/>
    <s v="East Anthony"/>
  </r>
  <r>
    <s v="#2469"/>
    <d v="2026-08-04T14:06:45"/>
    <d v="2026-08-04T14:06:45"/>
    <s v="Peter Alvarez"/>
    <x v="0"/>
    <s v="peter.alvarez465@yahoo.com"/>
    <s v="Slim Fit Denim Jeans"/>
    <s v="Apparel"/>
    <s v="JNS-BLU-32"/>
    <n v="1"/>
    <n v="39.99"/>
    <s v="WELCOME10"/>
    <n v="4"/>
    <n v="4.99"/>
    <n v="40.98"/>
    <s v="Apple Pay"/>
    <x v="1"/>
    <s v="fulfilled"/>
    <s v="United States"/>
    <s v="New York"/>
    <s v="Valid"/>
    <s v="Davishaven"/>
  </r>
  <r>
    <s v="#2470"/>
    <d v="2026-08-04T13:53:52"/>
    <d v="2026-08-04T13:53:52"/>
    <s v="Bryan Barnes"/>
    <x v="0"/>
    <s v="bryan.barnes666@yahoo.com"/>
    <s v="Ceramic Coffee Mug Set (4pc)"/>
    <s v="Home &amp; Kitchen"/>
    <s v="HK-MUG-4PK"/>
    <n v="1"/>
    <n v="18.989999999999998"/>
    <m/>
    <n v="0"/>
    <n v="5.99"/>
    <s v="$24.98"/>
    <s v="Google Pay"/>
    <x v="0"/>
    <s v="cancelled"/>
    <s v="United States"/>
    <s v="North Carolina"/>
    <s v="Valid"/>
    <s v="East Daniel"/>
  </r>
  <r>
    <s v="#2471"/>
    <d v="2026-08-04T13:58:05"/>
    <d v="2026-08-04T13:58:05"/>
    <s v="John Hoffman"/>
    <x v="1"/>
    <m/>
    <s v="Wireless Mouse"/>
    <s v="Electronics"/>
    <s v="ELC-MSE-WL"/>
    <n v="1"/>
    <n v="11.99"/>
    <m/>
    <n v="0"/>
    <n v="7.99"/>
    <n v="19.98"/>
    <s v="Apple Pay"/>
    <x v="0"/>
    <s v="fulfilled"/>
    <s v="United States"/>
    <s v="Arizona"/>
    <s v="Valid"/>
    <s v="Michelleborough"/>
  </r>
  <r>
    <s v="#2472"/>
    <d v="2026-08-04T00:00:00"/>
    <s v="2026-08-04"/>
    <s v="Tracy Adams"/>
    <x v="0"/>
    <s v="tracy.adams712@icloud.com"/>
    <s v="Facial Cleanser 200ml"/>
    <s v="Beauty"/>
    <s v="BTY-CLN-200"/>
    <n v="1"/>
    <n v="13.49"/>
    <m/>
    <n v="0"/>
    <n v="5.99"/>
    <n v="19.48"/>
    <s v="Credit Card"/>
    <x v="1"/>
    <s v="fulfilled"/>
    <s v="United States"/>
    <s v="TX"/>
    <s v="Valid"/>
    <s v="East Jason"/>
  </r>
  <r>
    <s v="#2473"/>
    <d v="2026-08-04T13:59:13"/>
    <d v="2026-08-04T13:59:13"/>
    <s v="Sharon Brown"/>
    <x v="1"/>
    <m/>
    <s v="Running Shoes - Women's"/>
    <s v="Footwear"/>
    <s v="FTW-RUN-W"/>
    <n v="1"/>
    <n v="54.99"/>
    <s v="WELCOME10"/>
    <n v="5.5"/>
    <n v="7.99"/>
    <n v="57.48"/>
    <s v="Credit Card"/>
    <x v="0"/>
    <s v="pending"/>
    <s v="United States"/>
    <s v="California"/>
    <s v="Valid"/>
    <s v="Lake Donna"/>
  </r>
  <r>
    <s v="#2474"/>
    <d v="2026-04-08T00:00:00"/>
    <s v="08/04/2026"/>
    <s v="TEST TEST"/>
    <x v="0"/>
    <s v="test@test.com"/>
    <s v="Facial Cleanser 200ml"/>
    <s v="Beauty"/>
    <s v="BTY-CLN-200"/>
    <n v="1"/>
    <n v="13.49"/>
    <s v="BFCM25"/>
    <n v="3.37"/>
    <n v="7.99"/>
    <n v="0"/>
    <s v="Apple Pay"/>
    <x v="3"/>
    <s v="fulfilled"/>
    <s v="Pakistan"/>
    <m/>
    <s v="Not Required"/>
    <s v="Angelamouth"/>
  </r>
  <r>
    <s v="#2475"/>
    <d v="2026-08-04T14:07:03"/>
    <d v="2026-08-04T14:07:03"/>
    <s v="Anthony Krueger"/>
    <x v="0"/>
    <s v="anthony.krueger812@yahoo.com"/>
    <s v="Hooded Sweatshirt"/>
    <s v="Apparel"/>
    <s v="APR-HOD-GRY"/>
    <n v="1"/>
    <n v="34.99"/>
    <m/>
    <n v="0"/>
    <n v="4.99"/>
    <n v="39.979999999999997"/>
    <s v="Shopify Payments"/>
    <x v="2"/>
    <s v="fulfilled"/>
    <s v="Pakistan"/>
    <m/>
    <s v="Not Required"/>
    <s v="Robertton"/>
  </r>
  <r>
    <s v="#2476"/>
    <d v="2026-08-04T14:03:03"/>
    <d v="2026-08-04T14:03:03"/>
    <s v="Karen Bautista"/>
    <x v="0"/>
    <s v="karen.bautista779@icloud.com"/>
    <s v="Kids Building Blocks Set"/>
    <s v="Toys"/>
    <s v="TOY-BLK-SET"/>
    <n v="2"/>
    <n v="27.99"/>
    <s v="VIP15"/>
    <n v="8.4"/>
    <n v="7.99"/>
    <n v="55.57"/>
    <s v="Google Pay"/>
    <x v="1"/>
    <s v="fulfilled"/>
    <s v="United States"/>
    <s v="North Carolina"/>
    <s v="Valid"/>
    <s v="Larryburgh"/>
  </r>
  <r>
    <s v="#2477"/>
    <d v="2026-08-04T14:05:53"/>
    <d v="2026-08-04T14:05:53"/>
    <s v="tara jackson"/>
    <x v="1"/>
    <m/>
    <s v="Kids Building Blocks Set"/>
    <s v="Toys"/>
    <s v="TOY-BLK-SET"/>
    <n v="2"/>
    <n v="27.99"/>
    <m/>
    <n v="0"/>
    <n v="5.99"/>
    <n v="61.97"/>
    <s v="Shopify Payments"/>
    <x v="0"/>
    <s v="fulfilled"/>
    <s v="Canada"/>
    <m/>
    <s v="Not Required"/>
    <s v="Cunninghammouth"/>
  </r>
  <r>
    <s v="#2478"/>
    <d v="2026-08-04T14:02:40"/>
    <d v="2026-08-04T14:02:40"/>
    <s v="Christopher Martin"/>
    <x v="0"/>
    <s v="christopher.martin10@gmail.com"/>
    <s v="Classic Cotton T-Shirt"/>
    <s v="Apparel"/>
    <s v="TSH-BLK-M"/>
    <n v="1"/>
    <n v="14.99"/>
    <s v="BFCM25"/>
    <s v="$3.75"/>
    <n v="4.99"/>
    <n v="16.23"/>
    <s v="Shopify Payments"/>
    <x v="0"/>
    <s v="pending"/>
    <s v="United States"/>
    <s v="Florida"/>
    <s v="Valid"/>
    <s v="Longland"/>
  </r>
  <r>
    <s v="#2479"/>
    <d v="2026-08-04T14:05:47"/>
    <d v="2026-08-04T14:05:47"/>
    <s v="Stacey Johnson"/>
    <x v="0"/>
    <s v="stacey.johnson95@gmail.com"/>
    <s v="Facial Cleanser 200ml"/>
    <s v="Beauty"/>
    <s v="BTY-CLN-200"/>
    <n v="1"/>
    <n v="13.49"/>
    <m/>
    <n v="0"/>
    <n v="4.99"/>
    <n v="18.48"/>
    <s v="Shopify Payments"/>
    <x v="1"/>
    <s v="refunded"/>
    <s v="Germany"/>
    <m/>
    <s v="Not Required"/>
    <s v="North Timothy"/>
  </r>
  <r>
    <s v="#2480"/>
    <d v="2026-08-04T13:55:13"/>
    <d v="2026-08-04T13:55:13"/>
    <s v="Stacey Johnson"/>
    <x v="0"/>
    <s v="stacey.johnson444@outlook.com"/>
    <s v="Running Shoes - Men's"/>
    <s v="Footwear"/>
    <s v="FTW-RUN-M"/>
    <n v="1"/>
    <n v="54.99"/>
    <s v="BFCM25"/>
    <n v="13.75"/>
    <n v="4.99"/>
    <n v="46.23"/>
    <s v="Shopify Payments"/>
    <x v="0"/>
    <s v="fulfilled"/>
    <s v="United States"/>
    <s v="North Carolina"/>
    <s v="Valid"/>
    <s v="Kimberlyberg"/>
  </r>
  <r>
    <s v="#2481"/>
    <d v="2026-08-04T14:06:47"/>
    <d v="2026-08-04T14:06:47"/>
    <s v="Veronica Price"/>
    <x v="0"/>
    <s v="veronica.price991@outlook.com"/>
    <s v="Wireless Bluetooth Earbuds"/>
    <s v="Electronics"/>
    <s v="ELC-WBE-01"/>
    <n v="1"/>
    <n v="29.99"/>
    <s v="WELCOME10"/>
    <n v="3"/>
    <n v="7.99"/>
    <n v="34.979999999999997"/>
    <s v="Google Pay"/>
    <x v="3"/>
    <s v="fulfilled"/>
    <s v="Canada"/>
    <m/>
    <s v="Not Required"/>
    <s v="Armstrongborough"/>
  </r>
  <r>
    <s v="#2482"/>
    <d v="2026-04-08T00:00:00"/>
    <s v="08/04/2026"/>
    <s v="Julia Atkinson"/>
    <x v="0"/>
    <s v="julia.atkinson939@gmail.com"/>
    <s v="Vitamin C Serum 30ml"/>
    <s v="Beauty"/>
    <s v="BTY-SRM-30"/>
    <n v="1"/>
    <n v="24.99"/>
    <s v="SAVE20"/>
    <s v="$5.00"/>
    <n v="5.99"/>
    <n v="25.98"/>
    <s v="Google Pay"/>
    <x v="0"/>
    <s v="fulfilled"/>
    <s v="Canada"/>
    <m/>
    <s v="Not Required"/>
    <s v="Mclaughlinmouth"/>
  </r>
  <r>
    <s v="#2483"/>
    <d v="2026-08-04T13:56:31"/>
    <d v="2026-08-04T13:56:31"/>
    <s v="Hannah Lee"/>
    <x v="0"/>
    <s v="hannah.lee589@icloud.com"/>
    <s v="Facial Cleanser 200ml"/>
    <s v="Beauty"/>
    <s v="BTY-CLN-200"/>
    <n v="1"/>
    <n v="13.49"/>
    <m/>
    <n v="0"/>
    <n v="4.99"/>
    <n v="18.48"/>
    <s v="Shopify Payments"/>
    <x v="0"/>
    <s v="fulfilled"/>
    <s v="United Kingdom"/>
    <m/>
    <s v="Not Required"/>
    <s v="Hernandezberg"/>
  </r>
  <r>
    <s v="#2484"/>
    <d v="2026-04-08T00:00:00"/>
    <s v="08/04/2026"/>
    <s v="CORY WALTON"/>
    <x v="0"/>
    <s v="cory.walton975@outlook.com"/>
    <s v="Portable Power Bank 10000mAh"/>
    <s v="Electronics"/>
    <s v="ELC-PWB-10K"/>
    <n v="1"/>
    <n v="21.99"/>
    <s v="BFCM25"/>
    <n v="5.5"/>
    <n v="7.99"/>
    <n v="24.48"/>
    <s v="Apple Pay"/>
    <x v="0"/>
    <s v="pending"/>
    <s v="Canada"/>
    <m/>
    <s v="Not Required"/>
    <s v="Derekville"/>
  </r>
  <r>
    <s v="#2486"/>
    <d v="2026-08-04T00:00:00"/>
    <s v="04-08-2026 13:55"/>
    <s v="Carly Johnson"/>
    <x v="0"/>
    <s v="carly.johnson664@gmail.com"/>
    <s v="Wireless Bluetooth Earbuds"/>
    <s v="Electronics"/>
    <s v="ELC-WBE-01"/>
    <n v="1"/>
    <n v="29.99"/>
    <s v="VIP15"/>
    <n v="4.5"/>
    <n v="7.99"/>
    <n v="33.479999999999997"/>
    <s v="Google Pay"/>
    <x v="1"/>
    <s v="fulfilled"/>
    <s v="Germany"/>
    <m/>
    <s v="Not Required"/>
    <s v="New Jessicachester"/>
  </r>
  <r>
    <s v="#2487"/>
    <d v="2026-08-04T14:03:38"/>
    <d v="2026-08-04T14:03:38"/>
    <s v="Dustin Ward"/>
    <x v="0"/>
    <s v="dustin.ward756@icloud.com"/>
    <s v="Phone Case - Clear"/>
    <s v="Electronics"/>
    <s v="ELC-CSE-CLR"/>
    <n v="1"/>
    <n v="8.99"/>
    <s v="WELCOME10"/>
    <n v="0.9"/>
    <n v="5.99"/>
    <n v="14.08"/>
    <s v="Shopify Payments"/>
    <x v="0"/>
    <s v="fulfilled"/>
    <s v="United States"/>
    <s v="Canada"/>
    <s v="Valid"/>
    <s v="Lawrenceshire"/>
  </r>
  <r>
    <s v="#2488"/>
    <d v="2026-08-04T13:54:58"/>
    <d v="2026-08-04T13:54:58"/>
    <s v="  James Miller"/>
    <x v="0"/>
    <s v="james.miller866@yahoo.com"/>
    <s v="Ceramic Coffee Mug Set (4pc)"/>
    <s v="Home &amp; Kitchen"/>
    <s v="HK-MUG-4PK"/>
    <n v="1"/>
    <n v="18.989999999999998"/>
    <m/>
    <n v="0"/>
    <n v="4.99"/>
    <n v="23.98"/>
    <s v="Apple Pay"/>
    <x v="3"/>
    <s v="cancelled"/>
    <s v="Pakistan"/>
    <m/>
    <s v="Not Required"/>
    <s v="New Michelleshire"/>
  </r>
  <r>
    <s v="#2489"/>
    <d v="2026-08-04T14:01:19"/>
    <d v="2026-08-04T14:01:19"/>
    <s v="Christopher Osborne"/>
    <x v="0"/>
    <s v="christopher.osborne481@yahoo.com"/>
    <s v="Polarized Sunglasses"/>
    <s v="Accessories"/>
    <s v="ACC-SUN-01"/>
    <n v="2"/>
    <n v="16.989999999999998"/>
    <m/>
    <n v="0"/>
    <n v="7.99"/>
    <n v="41.97"/>
    <s v="Credit Card"/>
    <x v="0"/>
    <s v="fulfilled"/>
    <s v="United States"/>
    <s v="Florida"/>
    <s v="Valid"/>
    <s v="North Carla"/>
  </r>
  <r>
    <s v="#2490"/>
    <d v="2026-08-04T14:06:27"/>
    <d v="2026-08-04T14:06:27"/>
    <s v="Shawn Alexander"/>
    <x v="0"/>
    <s v="shawn.alexander522@outlook.com"/>
    <s v="Ceramic Coffee Mug Set (4pc)"/>
    <s v="Home &amp; Kitchen"/>
    <s v="HK-MUG-4PK"/>
    <n v="1"/>
    <n v="18.989999999999998"/>
    <m/>
    <n v="0"/>
    <n v="4.99"/>
    <n v="23.98"/>
    <s v="Shopify Payments"/>
    <x v="0"/>
    <s v="cancelled"/>
    <s v="United States"/>
    <s v="NY"/>
    <s v="Valid"/>
    <s v="Luisfort"/>
  </r>
  <r>
    <s v="#2491"/>
    <d v="2026-08-04T00:00:00"/>
    <s v="2026-08-04"/>
    <s v="Charles Franco"/>
    <x v="0"/>
    <s v="charles.franco761@outlook.com"/>
    <s v="Yoga Mat - Extra Thick"/>
    <s v="Sports &amp; Outdoors"/>
    <s v="SP-YGM-EX"/>
    <n v="1"/>
    <n v="22.99"/>
    <s v="BFCM25"/>
    <n v="5.75"/>
    <n v="7.99"/>
    <n v="25.23"/>
    <s v="PayPal"/>
    <x v="2"/>
    <s v="fulfilled"/>
    <s v="United States"/>
    <s v="Arizona"/>
    <s v="Valid"/>
    <s v="Whitefort"/>
  </r>
  <r>
    <s v="#2492"/>
    <d v="2026-08-04T14:05:59"/>
    <d v="2026-08-04T14:05:59"/>
    <s v="Lisa Mckinney"/>
    <x v="0"/>
    <s v="lisa.mckinney195@gmail.com"/>
    <s v="Adjustable Dumbbell Set"/>
    <s v="Sports &amp; Outdoors"/>
    <s v="SP-DMB-ADJ"/>
    <n v="1"/>
    <n v="89.99"/>
    <m/>
    <n v="0"/>
    <n v="0"/>
    <n v="89.99"/>
    <s v="Google Pay"/>
    <x v="0"/>
    <s v="cancelled"/>
    <s v="United States"/>
    <s v="GA"/>
    <s v="Valid"/>
    <s v="West Williamstad"/>
  </r>
  <r>
    <s v="#2493"/>
    <d v="2026-08-04T14:07:07"/>
    <d v="2026-08-04T14:07:07"/>
    <s v="Michele Davis"/>
    <x v="0"/>
    <s v="michele.davis844@gmail.com"/>
    <s v="Portable Power Bank 10000mAh  "/>
    <s v="Electronics"/>
    <s v="ELC-PWB-10K"/>
    <n v="1"/>
    <n v="21.99"/>
    <s v="WELCOME10"/>
    <n v="2.2000000000000002"/>
    <n v="4.99"/>
    <n v="24.78"/>
    <s v="Credit Card"/>
    <x v="3"/>
    <s v="fulfilled"/>
    <s v="Australia"/>
    <m/>
    <s v="Not Required"/>
    <s v="South Jesse"/>
  </r>
  <r>
    <s v="#2494"/>
    <d v="2026-08-04T14:07:40"/>
    <d v="2026-08-04T14:07:40"/>
    <s v="Mary Garcia"/>
    <x v="0"/>
    <s v="mary.garcia899@icloud.com"/>
    <s v="Backpack - 25L"/>
    <s v="Accessories"/>
    <s v="ACC-BPK-25L"/>
    <n v="2"/>
    <n v="32.99"/>
    <s v="VIP15"/>
    <n v="9.9"/>
    <n v="5.99"/>
    <n v="62.07"/>
    <s v="PayPal"/>
    <x v="1"/>
    <s v="fulfilled"/>
    <s v="Canada"/>
    <m/>
    <s v="Not Required"/>
    <s v="Tateville"/>
  </r>
  <r>
    <s v="#2495"/>
    <d v="2026-08-04T14:05:30"/>
    <d v="2026-08-04T14:05:30"/>
    <s v="Kelly Wyatt"/>
    <x v="0"/>
    <s v="kelly.wyatt277@yahoo.com"/>
    <s v="Classic Cotton T-Shirt"/>
    <s v="Apparel"/>
    <s v="TSH-BLK-M"/>
    <n v="1"/>
    <n v="14.99"/>
    <m/>
    <n v="0"/>
    <n v="7.99"/>
    <n v="22.98"/>
    <s v="Google Pay"/>
    <x v="0"/>
    <s v="cancelled"/>
    <s v="Germany"/>
    <m/>
    <s v="Not Required"/>
    <s v="Kinghaven"/>
  </r>
  <r>
    <s v="#2496"/>
    <d v="2026-08-04T13:58:02"/>
    <d v="2026-08-04T13:58:02"/>
    <s v="Christopher Harris"/>
    <x v="0"/>
    <s v="christopher.harris618@yahoo.com"/>
    <s v="Polarized Sunglasses"/>
    <s v="Accessories"/>
    <s v="ACC-SUN-01"/>
    <n v="1"/>
    <n v="16.989999999999998"/>
    <m/>
    <n v="0"/>
    <n v="4.99"/>
    <n v="21.98"/>
    <s v="Apple Pay"/>
    <x v="0"/>
    <s v="fulfilled"/>
    <s v="Australia"/>
    <m/>
    <s v="Not Required"/>
    <s v="Port Kristina"/>
  </r>
  <r>
    <s v="#2497"/>
    <d v="2026-08-04T13:55:51"/>
    <d v="2026-08-04T13:55:51"/>
    <s v="Thomas Hall"/>
    <x v="0"/>
    <s v="thomas.hall134@gmail.com"/>
    <s v="Hooded Sweatshirt"/>
    <s v="Apparel"/>
    <s v="APR-HOD-GRY"/>
    <n v="1"/>
    <n v="34.99"/>
    <s v="BFCM25"/>
    <s v="$8.75"/>
    <n v="7.99"/>
    <n v="34.229999999999997"/>
    <s v="Apple Pay"/>
    <x v="0"/>
    <s v="pending"/>
    <s v="Canada"/>
    <m/>
    <s v="Not Required"/>
    <s v="East Brian"/>
  </r>
  <r>
    <s v="#2498"/>
    <d v="2026-08-04T13:57:19"/>
    <d v="2026-08-04T13:57:19"/>
    <s v="Linda Byrd"/>
    <x v="0"/>
    <s v="linda.byrd87@outlook.com"/>
    <s v="Non-Stick Frying Pan 10in"/>
    <s v="Home &amp; Kitchen"/>
    <s v="HK-PAN-10"/>
    <n v="1"/>
    <n v="24.99"/>
    <m/>
    <n v="0"/>
    <n v="7.99"/>
    <n v="32.979999999999997"/>
    <s v="Shopify Payments"/>
    <x v="1"/>
    <s v="fulfilled"/>
    <s v="United States"/>
    <s v="Illinois"/>
    <s v="Valid"/>
    <s v="Cooperchester"/>
  </r>
  <r>
    <s v="#2499"/>
    <d v="2026-08-04T14:06:55"/>
    <d v="2026-08-04T14:06:55"/>
    <s v="Paul Dillon"/>
    <x v="0"/>
    <s v="paul.dillon750@icloud.com"/>
    <s v="Wireless Bluetooth Earbuds"/>
    <s v="Electronics"/>
    <s v="ELC-WBE-01"/>
    <n v="2"/>
    <n v="29.99"/>
    <s v="FREESHIP"/>
    <n v="0"/>
    <n v="0"/>
    <n v="59.98"/>
    <s v="Apple Pay"/>
    <x v="0"/>
    <s v="fulfilled"/>
    <s v="Australia"/>
    <m/>
    <s v="Not Required"/>
    <s v="East Linda"/>
  </r>
  <r>
    <s v="#2500"/>
    <d v="2026-08-04T13:54:04"/>
    <d v="2026-08-04T13:54:04"/>
    <s v="kayla lee"/>
    <x v="0"/>
    <s v="kayla.lee278@yahoo.com"/>
    <s v="Portable Power Bank 10000mAh  "/>
    <s v="Electronics"/>
    <s v="ELC-PWB-10K"/>
    <n v="1"/>
    <n v="21.99"/>
    <m/>
    <n v="0"/>
    <n v="4.99"/>
    <n v="26.98"/>
    <s v="Google Pay"/>
    <x v="2"/>
    <s v="refunded"/>
    <s v="United Kingdom"/>
    <m/>
    <s v="Not Required"/>
    <s v="Duncanport"/>
  </r>
  <r>
    <s v="#2501"/>
    <d v="2026-08-04T00:00:00"/>
    <s v="2026-08-04"/>
    <s v="Patrick Evans"/>
    <x v="0"/>
    <s v="patrick.evans152@icloud.com"/>
    <s v="Classic Cotton T-Shirt"/>
    <s v="Apparel"/>
    <s v="TSH-BLK-L"/>
    <n v="2"/>
    <n v="14.99"/>
    <m/>
    <n v="0"/>
    <n v="4.99"/>
    <n v="34.97"/>
    <s v="Google Pay"/>
    <x v="0"/>
    <s v="refunded"/>
    <s v="United States"/>
    <s v="Florida"/>
    <s v="Valid"/>
    <s v="Wardstad"/>
  </r>
  <r>
    <s v="#2503"/>
    <d v="2026-08-04T13:56:06"/>
    <d v="2026-08-04T13:56:06"/>
    <s v="Thomas Vazquez"/>
    <x v="0"/>
    <s v="thomas.vazquez673@icloud.com"/>
    <s v="Scented Soy Candle - Vanilla"/>
    <s v="Home &amp; Kitchen"/>
    <s v="HK-CND-VAN"/>
    <n v="1"/>
    <n v="9.99"/>
    <s v="BFCM25"/>
    <n v="2.5"/>
    <n v="4.99"/>
    <n v="12.48"/>
    <s v="PayPal"/>
    <x v="3"/>
    <s v="fulfilled"/>
    <s v="Germany"/>
    <m/>
    <s v="Not Required"/>
    <s v="North Michaelside"/>
  </r>
  <r>
    <s v="#2504"/>
    <d v="2026-08-04T13:58:49"/>
    <d v="2026-08-04T13:58:49"/>
    <s v="Anthony Krueger"/>
    <x v="0"/>
    <s v="anthony.krueger812@yahoo.com"/>
    <s v="Adjustable Dumbbell Set"/>
    <s v="Sports &amp; Outdoors"/>
    <s v="SP-DMB-ADJ"/>
    <n v="1"/>
    <n v="89.99"/>
    <m/>
    <n v="0"/>
    <n v="0"/>
    <n v="89.99"/>
    <s v="PayPal"/>
    <x v="0"/>
    <s v="refunded"/>
    <s v="Pakistan"/>
    <m/>
    <s v="Not Required"/>
    <s v="South Melissa"/>
  </r>
  <r>
    <s v="#2505"/>
    <d v="2026-08-04T14:01:00"/>
    <d v="2026-08-04T14:01:00"/>
    <s v="Tracy Kennedy"/>
    <x v="0"/>
    <s v="tracy.kennedy796@outlook.com"/>
    <s v="Portable Power Bank 10000mAh"/>
    <s v="Electronics"/>
    <s v="ELC-PWB-10K"/>
    <n v="3"/>
    <n v="21.99"/>
    <m/>
    <n v="0"/>
    <n v="4.99"/>
    <n v="70.959999999999994"/>
    <s v="Apple Pay"/>
    <x v="0"/>
    <s v="fulfilled"/>
    <s v="Pakistan"/>
    <m/>
    <s v="Not Required"/>
    <s v="Nelsontown"/>
  </r>
  <r>
    <s v="#2506"/>
    <d v="2026-08-04T14:05:04"/>
    <d v="2026-08-04T14:05:04"/>
    <s v="Monica Becker"/>
    <x v="0"/>
    <s v="monica.becker291@outlook.com"/>
    <s v="Non-Stick Frying Pan 10in"/>
    <s v="Home &amp; Kitchen"/>
    <s v="HK-PAN-10"/>
    <n v="1"/>
    <n v="24.99"/>
    <m/>
    <n v="0"/>
    <n v="5.99"/>
    <n v="30.98"/>
    <s v="PayPal"/>
    <x v="0"/>
    <s v="fulfilled"/>
    <s v="Canada"/>
    <m/>
    <s v="Not Required"/>
    <s v="Ryanshire"/>
  </r>
  <r>
    <s v="#2507"/>
    <d v="2026-08-04T13:56:21"/>
    <d v="2026-08-04T13:56:21"/>
    <s v="Amanda Rodriguez"/>
    <x v="0"/>
    <s v="amanda.rodriguez770@yahoo.com"/>
    <s v="Facial Cleanser 200ml"/>
    <s v="Beauty"/>
    <s v="BTY-CLN-200"/>
    <n v="1"/>
    <n v="13.49"/>
    <s v="VIP15"/>
    <s v="$2.02"/>
    <n v="5.99"/>
    <n v="17.46"/>
    <s v="PayPal"/>
    <x v="2"/>
    <s v="cancelled"/>
    <s v="United States"/>
    <s v="Arizona"/>
    <s v="Valid"/>
    <s v="South Jeremiah"/>
  </r>
  <r>
    <s v="#2508"/>
    <d v="2026-08-04T14:03:01"/>
    <d v="2026-08-04T14:03:01"/>
    <s v="John Carson"/>
    <x v="0"/>
    <s v="john.carson203@yahoo.com"/>
    <s v="Adjustable Dumbbell Set"/>
    <s v="Sports &amp; Outdoors"/>
    <s v="SP-DMB-ADJ"/>
    <n v="2"/>
    <n v="89.99"/>
    <m/>
    <n v="0"/>
    <n v="0"/>
    <n v="179.98"/>
    <s v="Shopify Payments"/>
    <x v="3"/>
    <s v="fulfilled"/>
    <s v="United States"/>
    <s v="NY"/>
    <s v="Valid"/>
    <s v="West Aaronside"/>
  </r>
  <r>
    <s v="#2509"/>
    <d v="2026-08-04T14:07:09"/>
    <d v="2026-08-04T14:07:09"/>
    <s v="Nicholas Jarvis"/>
    <x v="0"/>
    <s v="nicholas.jarvis112@icloud.com"/>
    <s v="Hooded Sweatshirt"/>
    <s v="Apparel"/>
    <s v="APR-HOD-GRY"/>
    <n v="1"/>
    <n v="34.99"/>
    <s v="WELCOME10"/>
    <n v="3.5"/>
    <n v="4.99"/>
    <n v="36.479999999999997"/>
    <s v="PayPal"/>
    <x v="2"/>
    <s v="pending"/>
    <s v="Canada"/>
    <m/>
    <s v="Not Required"/>
    <s v="North Robert"/>
  </r>
  <r>
    <s v="#2510"/>
    <d v="2026-08-04T13:59:44"/>
    <d v="2026-08-04T13:59:44"/>
    <s v="Kylie Riddle"/>
    <x v="0"/>
    <s v="kylie.riddle17@gmail.com"/>
    <s v="Ceramic Coffee Mug Set (4pc)"/>
    <s v="Home &amp; Kitchen"/>
    <s v="HK-MUG-4PK"/>
    <n v="1"/>
    <n v="18.989999999999998"/>
    <s v="WELCOME10"/>
    <n v="1.9"/>
    <n v="7.99"/>
    <n v="25.08"/>
    <s v="Apple Pay"/>
    <x v="3"/>
    <s v="pending"/>
    <s v="United States"/>
    <s v="Texas"/>
    <s v="Valid"/>
    <s v="Johnsonburgh"/>
  </r>
  <r>
    <s v="#2511"/>
    <d v="2026-08-04T13:55:21"/>
    <d v="2026-08-04T13:55:21"/>
    <s v="Paul Mills"/>
    <x v="0"/>
    <s v="paul.mills467@gmail.com"/>
    <s v="Non-Stick Frying Pan 10in"/>
    <s v="Home &amp; Kitchen"/>
    <s v="HK-PAN-10"/>
    <n v="1"/>
    <n v="24.99"/>
    <s v="WELCOME10"/>
    <n v="2.5"/>
    <n v="4.99"/>
    <n v="27.48"/>
    <s v="Credit Card"/>
    <x v="0"/>
    <s v="fulfilled"/>
    <s v="United States"/>
    <s v="Ohio"/>
    <s v="Valid"/>
    <s v="West Tabithamouth"/>
  </r>
  <r>
    <s v="#2512"/>
    <d v="2026-08-04T14:06:33"/>
    <d v="2026-08-04T14:06:33"/>
    <s v="Ryan Jones"/>
    <x v="0"/>
    <s v="ryan.jones314@gmail.com"/>
    <s v="Slim Fit Denim Jeans"/>
    <s v="Apparel"/>
    <s v="JNS-BLU-32"/>
    <n v="1"/>
    <n v="39.99"/>
    <s v="WELCOME10"/>
    <n v="4"/>
    <n v="4.99"/>
    <n v="40.98"/>
    <s v="Shopify Payments"/>
    <x v="0"/>
    <s v="fulfilled"/>
    <s v="Australia"/>
    <m/>
    <s v="Not Required"/>
    <s v="Higginsborough"/>
  </r>
  <r>
    <s v="#2513"/>
    <d v="2026-08-04T13:58:17"/>
    <d v="2026-08-04T13:58:17"/>
    <s v="Eric Santiago"/>
    <x v="0"/>
    <s v="eric.santiago110@icloud.com"/>
    <s v="Stainless Steel Water Bottle"/>
    <s v="Home &amp; Kitchen"/>
    <s v="HK-BTL-750"/>
    <n v="1"/>
    <n v="12.99"/>
    <m/>
    <n v="0"/>
    <n v="7.99"/>
    <n v="20.98"/>
    <s v="Apple Pay"/>
    <x v="0"/>
    <s v="fulfilled"/>
    <s v="United States"/>
    <s v="North Carolina"/>
    <s v="Valid"/>
    <s v="West Devon"/>
  </r>
  <r>
    <s v="#2514"/>
    <d v="2026-04-08T00:00:00"/>
    <s v="08/04/2026"/>
    <s v="Russell Walton"/>
    <x v="0"/>
    <s v="russell.walton605@icloud.com"/>
    <s v="Running Shoes - Men's"/>
    <s v="Footwear"/>
    <s v="FTW-RUN-M"/>
    <n v="1"/>
    <n v="54.99"/>
    <m/>
    <n v="0"/>
    <n v="5.99"/>
    <n v="60.98"/>
    <s v="PayPal"/>
    <x v="2"/>
    <s v="fulfilled"/>
    <s v="United States"/>
    <s v="Texas"/>
    <s v="Valid"/>
    <s v="New Kyle"/>
  </r>
  <r>
    <s v="#2515"/>
    <d v="2026-08-04T00:00:00"/>
    <s v="04-08-2026 13:59"/>
    <s v="Katelyn Johnson"/>
    <x v="0"/>
    <s v="katelyn.johnson502@outlook.com"/>
    <s v="Slim Fit Denim Jeans"/>
    <s v="Apparel"/>
    <s v="JNS-BLU-32"/>
    <n v="1"/>
    <s v="$39.99"/>
    <m/>
    <n v="0"/>
    <n v="7.99"/>
    <n v="47.98"/>
    <s v="Credit Card"/>
    <x v="3"/>
    <s v="refunded"/>
    <s v="United States"/>
    <s v="Georgia"/>
    <s v="Valid"/>
    <s v="Wilsonburgh"/>
  </r>
  <r>
    <s v="#2516"/>
    <d v="2026-08-04T14:00:21"/>
    <d v="2026-08-04T14:00:21"/>
    <s v="Kenneth Morgan"/>
    <x v="0"/>
    <s v="kenneth.morgan181@outlook.com"/>
    <s v="USB-C Fast Charger 20W"/>
    <s v="Electronics"/>
    <s v="ELC-CHG-20"/>
    <n v="1"/>
    <n v="15.49"/>
    <s v="SAVE20 "/>
    <n v="3.1"/>
    <n v="5.99"/>
    <n v="18.38"/>
    <s v="Credit Card"/>
    <x v="2"/>
    <s v="cancelled"/>
    <s v="United States"/>
    <s v="Arizona"/>
    <s v="Valid"/>
    <s v="Lake Danielbury"/>
  </r>
  <r>
    <s v="#2517"/>
    <d v="2026-08-04T13:53:55"/>
    <d v="2026-08-04T13:53:55"/>
    <s v="Darin Alvarez"/>
    <x v="1"/>
    <m/>
    <s v="Backpack - 25L"/>
    <s v="Accessories"/>
    <s v="ACC-BPK-25L"/>
    <n v="2"/>
    <s v="$32.99"/>
    <m/>
    <n v="0"/>
    <n v="4.99"/>
    <n v="70.97"/>
    <s v="Apple Pay"/>
    <x v="2"/>
    <s v="fulfilled"/>
    <s v="Canada"/>
    <m/>
    <s v="Not Required"/>
    <s v="Andrewmouth"/>
  </r>
  <r>
    <s v="#2518"/>
    <d v="2026-04-08T00:00:00"/>
    <s v="08/04/2026"/>
    <s v="  John Hoffman"/>
    <x v="0"/>
    <s v="john.hoffman175@gmail.com"/>
    <s v="Running Shoes - Women's"/>
    <s v="Footwear"/>
    <s v="FTW-RUN-W"/>
    <n v="1"/>
    <n v="54.99"/>
    <s v="SAVE20"/>
    <n v="11"/>
    <n v="7.99"/>
    <n v="51.98"/>
    <s v="PayPal"/>
    <x v="0"/>
    <s v="fulfilled"/>
    <s v="United States"/>
    <s v="Texas"/>
    <s v="Valid"/>
    <s v="West Peter"/>
  </r>
  <r>
    <s v="#2519"/>
    <d v="2026-08-04T14:05:27"/>
    <d v="2026-08-04T14:05:27"/>
    <s v="NATALIE DIXON"/>
    <x v="0"/>
    <s v="natalie.dixon388@outlook.com"/>
    <s v="Phone Case - Clear"/>
    <s v="Electronics"/>
    <s v="ELC-CSE-CLR"/>
    <n v="1"/>
    <n v="8.99"/>
    <s v="SAVE20"/>
    <s v="$1.80"/>
    <n v="4.99"/>
    <n v="12.18"/>
    <s v="Shopify Payments"/>
    <x v="2"/>
    <s v="fulfilled"/>
    <s v="United States"/>
    <s v="Arizona"/>
    <s v="Valid"/>
    <s v="Lake Veronica"/>
  </r>
  <r>
    <s v="#2520"/>
    <d v="2026-08-04T14:05:27"/>
    <d v="2026-08-04T14:05:27"/>
    <s v="Sean Frank"/>
    <x v="0"/>
    <s v="sean.frank587@icloud.com"/>
    <s v="Wireless Bluetooth Earbuds"/>
    <s v="Electronics"/>
    <s v="ELC-WBE-01"/>
    <n v="1"/>
    <n v="29.99"/>
    <s v="BFCM25"/>
    <n v="7.5"/>
    <n v="5.99"/>
    <n v="28.48"/>
    <s v="Credit Card"/>
    <x v="1"/>
    <s v="fulfilled"/>
    <s v="Australia"/>
    <m/>
    <s v="Not Required"/>
    <s v="South Johnhaven"/>
  </r>
  <r>
    <s v="#2521"/>
    <d v="2026-08-04T13:57:44"/>
    <d v="2026-08-04T13:57:44"/>
    <s v="Aimee Smith"/>
    <x v="0"/>
    <s v="aimee.smith857@icloud.com"/>
    <s v="Non-Stick Frying Pan 10in"/>
    <s v="Home &amp; Kitchen"/>
    <s v="HK-PAN-10"/>
    <n v="1"/>
    <n v="24.99"/>
    <m/>
    <n v="0"/>
    <n v="4.99"/>
    <n v="29.98"/>
    <s v="Credit Card"/>
    <x v="1"/>
    <s v="pending"/>
    <s v="United Kingdom"/>
    <m/>
    <s v="Not Required"/>
    <s v="Frenchbury"/>
  </r>
  <r>
    <s v="#2522"/>
    <d v="2026-08-04T14:04:48"/>
    <d v="2026-08-04T14:04:48"/>
    <s v="Paul Dillon"/>
    <x v="0"/>
    <s v="paul.dillon750@icloud.com"/>
    <s v="Vitamin C Serum 30ml"/>
    <s v="Beauty"/>
    <s v="BTY-SRM-30"/>
    <n v="2"/>
    <n v="24.99"/>
    <m/>
    <n v="0"/>
    <n v="5.99"/>
    <n v="55.97"/>
    <s v="PayPal"/>
    <x v="2"/>
    <s v="fulfilled"/>
    <s v="Australia"/>
    <m/>
    <s v="Not Required"/>
    <s v="West Rebecca"/>
  </r>
  <r>
    <s v="#2523"/>
    <d v="2026-08-04T14:04:00"/>
    <d v="2026-08-04T14:04:00"/>
    <s v="Kenneth Coleman"/>
    <x v="0"/>
    <s v="kenneth.coleman447@icloud.com"/>
    <s v="Non-Stick Frying Pan 10in"/>
    <s v="Home &amp; Kitchen"/>
    <s v="HK-PAN-10"/>
    <n v="1"/>
    <n v="24.99"/>
    <m/>
    <n v="0"/>
    <n v="7.99"/>
    <n v="32.979999999999997"/>
    <s v="Shopify Payments"/>
    <x v="2"/>
    <s v="fulfilled"/>
    <s v="United States"/>
    <s v="OH"/>
    <s v="Valid"/>
    <s v="New Carolyn"/>
  </r>
  <r>
    <s v="#2524"/>
    <d v="2026-08-04T00:00:00"/>
    <s v="2026-08-04"/>
    <s v="Jacqueline Wiley"/>
    <x v="0"/>
    <s v="jacqueline.wiley718@icloud.com"/>
    <s v="Ceramic Coffee Mug Set (4pc)"/>
    <s v="Home &amp; Kitchen"/>
    <s v="HK-MUG-4PK"/>
    <n v="2"/>
    <n v="18.989999999999998"/>
    <m/>
    <n v="0"/>
    <n v="7.99"/>
    <n v="45.97"/>
    <s v="Apple Pay"/>
    <x v="2"/>
    <s v="refunded"/>
    <s v="United States"/>
    <s v="North Carolina"/>
    <s v="Valid"/>
    <s v="Robertschester"/>
  </r>
  <r>
    <s v="#2525"/>
    <d v="2026-08-04T13:55:11"/>
    <d v="2026-08-04T13:55:11"/>
    <s v="Tammy Hawkins"/>
    <x v="0"/>
    <s v="tammy.hawkins461@outlook.com"/>
    <s v="Slim Fit Denim Jeans"/>
    <s v="Apparel"/>
    <s v="JNS-BLU-32"/>
    <n v="1"/>
    <n v="39.99"/>
    <s v="SAVE20"/>
    <n v="8"/>
    <n v="4.99"/>
    <n v="36.979999999999997"/>
    <s v="Google Pay"/>
    <x v="0"/>
    <s v="fulfilled"/>
    <s v="United States"/>
    <s v="North Carolina"/>
    <s v="Valid"/>
    <s v="Danielsport"/>
  </r>
  <r>
    <s v="#2526"/>
    <d v="2026-04-08T00:00:00"/>
    <s v="08/04/2026"/>
    <s v="Stacey Johnson"/>
    <x v="0"/>
    <s v="stacey.johnson95@gmail.com"/>
    <s v="Throw Blanket - Fleece"/>
    <s v="Home &amp; Kitchen"/>
    <s v="HK-BLK-FLC"/>
    <n v="1"/>
    <n v="17.989999999999998"/>
    <s v=" WELCOME10 "/>
    <n v="1.8"/>
    <n v="4.99"/>
    <n v="21.18"/>
    <s v="Google Pay"/>
    <x v="0"/>
    <s v="fulfilled"/>
    <s v="Germany"/>
    <m/>
    <s v="Not Required"/>
    <s v="West Shaunberg"/>
  </r>
  <r>
    <s v="#2527"/>
    <d v="2026-04-08T00:00:00"/>
    <s v="08/04/2026"/>
    <s v="Samuel Snyder"/>
    <x v="0"/>
    <s v="samuel.snyder328@icloud.com"/>
    <s v="Wireless Mouse"/>
    <s v="Electronics"/>
    <s v="ELC-MSE-WL"/>
    <n v="2"/>
    <n v="11.99"/>
    <s v="FREESHIP"/>
    <n v="0"/>
    <n v="0"/>
    <n v="23.98"/>
    <s v="Apple Pay"/>
    <x v="3"/>
    <s v="fulfilled"/>
    <s v="United Kingdom"/>
    <m/>
    <s v="Not Required"/>
    <s v="Myersburgh"/>
  </r>
  <r>
    <s v="#2528"/>
    <d v="2026-08-04T14:02:10"/>
    <d v="2026-08-04T14:02:10"/>
    <s v="Megan Herman"/>
    <x v="0"/>
    <s v="megan.herman268@yahoo.com"/>
    <s v="Slim Fit Denim Jeans"/>
    <s v="Apparel"/>
    <s v="JNS-BLU-32"/>
    <n v="1"/>
    <n v="39.99"/>
    <s v="VIP15"/>
    <n v="6"/>
    <n v="5.99"/>
    <n v="39.979999999999997"/>
    <s v="PayPal"/>
    <x v="2"/>
    <s v="cancelled"/>
    <s v="United States"/>
    <s v="Illinois"/>
    <s v="Valid"/>
    <s v="East Bradleyfurt"/>
  </r>
  <r>
    <s v="#2529"/>
    <d v="2026-08-04T13:53:47"/>
    <d v="2026-08-04T13:53:47"/>
    <s v="Barbara Brown"/>
    <x v="0"/>
    <s v="barbara.brown26@gmail.com"/>
    <s v="Phone Case - Clear"/>
    <s v="Electronics"/>
    <s v="ELC-CSE-CLR"/>
    <n v="1"/>
    <s v="$8.99"/>
    <m/>
    <n v="0"/>
    <n v="5.99"/>
    <n v="14.98"/>
    <s v="Apple Pay"/>
    <x v="1"/>
    <s v="fulfilled"/>
    <s v="United States"/>
    <s v="Georgia"/>
    <s v="Valid"/>
    <s v="South Troychester"/>
  </r>
  <r>
    <s v="#2530"/>
    <d v="2026-08-04T13:56:25"/>
    <d v="2026-08-04T13:56:25"/>
    <s v="Barbara Case"/>
    <x v="0"/>
    <s v="barbara.case365@yahoo.com"/>
    <s v="Ceramic Coffee Mug Set (4pc)"/>
    <s v="Home &amp; Kitchen"/>
    <s v="HK-MUG-4PK"/>
    <n v="1"/>
    <n v="18.989999999999998"/>
    <m/>
    <n v="0"/>
    <n v="7.99"/>
    <n v="26.98"/>
    <s v="Google Pay"/>
    <x v="0"/>
    <s v="pending"/>
    <s v="United States"/>
    <s v="New York"/>
    <s v="Valid"/>
    <s v="West Dennis"/>
  </r>
  <r>
    <s v="#2531"/>
    <d v="2026-08-04T13:57:29"/>
    <d v="2026-08-04T13:57:29"/>
    <s v="Kiara Burke"/>
    <x v="0"/>
    <s v="kiara.burke246@yahoo.com"/>
    <s v="Classic Cotton T-Shirt"/>
    <s v="Apparel"/>
    <s v="TSH-BLK-L"/>
    <n v="3"/>
    <n v="14.99"/>
    <s v="SAVE20"/>
    <n v="8.99"/>
    <n v="4.99"/>
    <n v="40.97"/>
    <s v="Shopify Payments"/>
    <x v="3"/>
    <s v="fulfilled"/>
    <s v="Germany"/>
    <m/>
    <s v="Not Required"/>
    <s v="West Leslieton"/>
  </r>
  <r>
    <s v="#2532"/>
    <d v="2026-08-04T13:58:32"/>
    <d v="2026-08-04T13:58:32"/>
    <s v="Joseph Phillips"/>
    <x v="0"/>
    <s v="joseph.phillips672@yahoo.com"/>
    <s v="Portable Power Bank 10000mAh"/>
    <s v="Electronics"/>
    <s v="ELC-PWB-10K"/>
    <n v="1"/>
    <n v="21.99"/>
    <s v="BFCM25"/>
    <n v="5.5"/>
    <n v="5.99"/>
    <n v="22.48"/>
    <s v="Credit Card"/>
    <x v="2"/>
    <s v="refunded"/>
    <s v="Pakistan"/>
    <m/>
    <s v="Not Required"/>
    <s v="West Ebony"/>
  </r>
  <r>
    <s v="#2533"/>
    <d v="2026-08-04T13:59:55"/>
    <d v="2026-08-04T13:59:55"/>
    <s v="Luke Keller"/>
    <x v="0"/>
    <s v="luke.keller471@icloud.com"/>
    <s v="Facial Cleanser 200ml"/>
    <s v="Beauty"/>
    <s v="BTY-CLN-200"/>
    <n v="1"/>
    <n v="13.49"/>
    <s v="SAVE20"/>
    <n v="2.7"/>
    <n v="4.99"/>
    <n v="15.78"/>
    <s v="Credit Card"/>
    <x v="0"/>
    <s v="refunded"/>
    <s v="United States"/>
    <s v="Texas"/>
    <s v="Valid"/>
    <s v="South Janetport"/>
  </r>
  <r>
    <s v="#2534"/>
    <d v="2026-08-04T14:06:06"/>
    <d v="2026-08-04T14:06:06"/>
    <s v="James Miller"/>
    <x v="0"/>
    <s v="james.miller866@yahoo.com"/>
    <s v="Polarized Sunglasses"/>
    <s v="Accessories"/>
    <s v="ACC-SUN-01"/>
    <n v="3"/>
    <n v="16.989999999999998"/>
    <s v="SAVE20"/>
    <n v="10.19"/>
    <n v="5.99"/>
    <n v="46.77"/>
    <s v="Google Pay"/>
    <x v="1"/>
    <s v="pending"/>
    <s v="Pakistan"/>
    <m/>
    <s v="Not Required"/>
    <s v="South Hector"/>
  </r>
  <r>
    <s v="#2535"/>
    <d v="2026-04-08T00:00:00"/>
    <s v="08/04/2026"/>
    <s v="Kenneth Davis"/>
    <x v="0"/>
    <s v="kenneth.davis106@yahoo.com"/>
    <s v="Backpack - 25L"/>
    <s v="Accessories"/>
    <s v="ACC-BPK-25L"/>
    <n v="1"/>
    <s v="$32.99"/>
    <m/>
    <n v="0"/>
    <n v="5.99"/>
    <n v="38.979999999999997"/>
    <s v="Shopify Payments"/>
    <x v="3"/>
    <s v="fulfilled"/>
    <s v="United States"/>
    <s v="California"/>
    <s v="Valid"/>
    <s v="Stephaniechester"/>
  </r>
  <r>
    <s v="#2536"/>
    <d v="2026-08-04T14:03:20"/>
    <d v="2026-08-04T14:03:20"/>
    <s v="Nicholas Parker"/>
    <x v="0"/>
    <s v="nicholas.parker656@yahoo.com"/>
    <s v="Stainless Steel Water Bottle"/>
    <s v="Home &amp; Kitchen"/>
    <s v="HK-BTL-750"/>
    <n v="1"/>
    <s v="$12.99"/>
    <m/>
    <n v="0"/>
    <n v="4.99"/>
    <n v="17.98"/>
    <s v="PayPal"/>
    <x v="0"/>
    <s v="refunded"/>
    <s v="United States"/>
    <s v="North Carolina"/>
    <s v="Valid"/>
    <s v="Lauraburgh"/>
  </r>
  <r>
    <s v="#2537"/>
    <d v="2026-08-04T14:05:36"/>
    <d v="2026-08-04T14:05:36"/>
    <s v="Nancy Nichols"/>
    <x v="1"/>
    <m/>
    <s v="Running Shoes - Men's"/>
    <s v="Footwear"/>
    <s v="FTW-RUN-M"/>
    <n v="1"/>
    <n v="54.99"/>
    <s v="SAVE20"/>
    <n v="11"/>
    <n v="5.99"/>
    <n v="49.98"/>
    <s v="Apple Pay"/>
    <x v="3"/>
    <s v="fulfilled"/>
    <s v="United States"/>
    <s v="Florida"/>
    <s v="Valid"/>
    <s v="East Joseph"/>
  </r>
  <r>
    <s v="#2538"/>
    <d v="2026-08-04T14:05:23"/>
    <d v="2026-08-04T14:05:23"/>
    <s v="Kenneth Davis"/>
    <x v="0"/>
    <s v="kenneth.davis106@yahoo.com"/>
    <s v="Phone Case - Clear"/>
    <s v="Electronics"/>
    <s v="ELC-CSE-CLR"/>
    <n v="2"/>
    <s v="$8.99"/>
    <s v="BFCM25"/>
    <n v="4.5"/>
    <n v="5.99"/>
    <n v="19.47"/>
    <s v="Google Pay"/>
    <x v="0"/>
    <s v="fulfilled"/>
    <s v="United States"/>
    <s v="Ohio"/>
    <s v="Valid"/>
    <s v="New Brandi"/>
  </r>
  <r>
    <s v="#2539"/>
    <d v="2026-04-08T00:00:00"/>
    <s v="08/04/2026"/>
    <s v="David Duke"/>
    <x v="0"/>
    <s v="david.duke814@icloud.com"/>
    <s v="Resistance Bands Set"/>
    <s v="Sports &amp; Outdoors"/>
    <s v="SP-RBS-SET"/>
    <n v="1"/>
    <n v="13.99"/>
    <m/>
    <n v="0"/>
    <n v="5.99"/>
    <n v="19.98"/>
    <s v="Apple Pay"/>
    <x v="3"/>
    <s v="fulfilled"/>
    <s v="United States"/>
    <s v="Georgia"/>
    <s v="Valid"/>
    <s v="Lake George"/>
  </r>
  <r>
    <s v="#2540"/>
    <d v="2026-08-04T13:53:34"/>
    <d v="2026-08-04T13:53:34"/>
    <s v="Maria Patterson"/>
    <x v="0"/>
    <s v="maria.patterson62@icloud.com"/>
    <s v="Kids Building Blocks Set"/>
    <s v="Toys"/>
    <s v="TOY-BLK-SET"/>
    <n v="1"/>
    <n v="27.99"/>
    <s v="VIP15"/>
    <s v="$4.20"/>
    <n v="4.99"/>
    <n v="28.78"/>
    <s v="PayPal"/>
    <x v="0"/>
    <s v="pending"/>
    <s v="United States"/>
    <s v="Illinois"/>
    <s v="Valid"/>
    <s v="Elizabethmouth"/>
  </r>
  <r>
    <s v="#2541"/>
    <d v="2026-08-04T14:08:22"/>
    <d v="2026-08-04T14:08:22"/>
    <s v="Jacqueline Miller"/>
    <x v="0"/>
    <s v="jacqueline.miller687@yahoo.com"/>
    <s v="Slim Fit Denim Jeans"/>
    <s v="Apparel"/>
    <s v="JNS-BLU-32"/>
    <n v="1"/>
    <n v="39.99"/>
    <m/>
    <n v="0"/>
    <n v="5.99"/>
    <n v="45.98"/>
    <s v="PayPal"/>
    <x v="2"/>
    <s v="fulfilled"/>
    <s v="Canada"/>
    <m/>
    <s v="Not Required"/>
    <s v="West Erikabury"/>
  </r>
  <r>
    <s v="#2542"/>
    <d v="2026-08-04T14:05:12"/>
    <d v="2026-08-04T14:05:12"/>
    <s v="Gloria Ballard"/>
    <x v="0"/>
    <s v="gloria.ballard194@outlook.com"/>
    <s v="Slim Fit Denim Jeans"/>
    <s v="Apparel"/>
    <s v="JNS-BLU-32"/>
    <n v="1"/>
    <s v="$39.99"/>
    <s v="FREESHIP"/>
    <s v="$0.00"/>
    <n v="0"/>
    <n v="39.99"/>
    <s v="PayPal"/>
    <x v="1"/>
    <s v="fulfilled"/>
    <s v="Germany"/>
    <m/>
    <s v="Not Required"/>
    <s v="South Kathleenhaven"/>
  </r>
  <r>
    <s v="#2543"/>
    <d v="2026-08-04T14:03:11"/>
    <d v="2026-08-04T14:03:11"/>
    <s v="Monica Hicks"/>
    <x v="0"/>
    <s v="monica.hicks473@yahoo.com"/>
    <s v="Resistance Bands Set"/>
    <s v="Sports &amp; Outdoors"/>
    <s v="SP-RBS-SET"/>
    <n v="1"/>
    <n v="13.99"/>
    <s v="BFCM25"/>
    <n v="3.5"/>
    <n v="4.99"/>
    <n v="15.48"/>
    <s v="PayPal"/>
    <x v="0"/>
    <s v="pending"/>
    <s v="United States"/>
    <s v="Florida"/>
    <s v="Valid"/>
    <s v="Brownchester"/>
  </r>
  <r>
    <s v="#2544"/>
    <d v="2026-08-04T14:00:10"/>
    <d v="2026-08-04T14:00:10"/>
    <s v="Erika Maxwell"/>
    <x v="0"/>
    <s v="erika.maxwell281@gmail.com"/>
    <s v="Running Shoes - Women's"/>
    <s v="Footwear"/>
    <s v="FTW-RUN-W"/>
    <n v="1"/>
    <n v="54.99"/>
    <m/>
    <n v="0"/>
    <n v="5.99"/>
    <n v="60.98"/>
    <s v="Apple Pay"/>
    <x v="0"/>
    <s v="fulfilled"/>
    <s v="United States"/>
    <s v="Ohio"/>
    <s v="Valid"/>
    <s v="Lake Leah"/>
  </r>
  <r>
    <s v="#2546"/>
    <d v="2026-08-04T14:03:35"/>
    <d v="2026-08-04T14:03:35"/>
    <s v="Devin Jones"/>
    <x v="0"/>
    <s v="devin.jones807@yahoo.com"/>
    <s v="Portable Power Bank 10000mAh"/>
    <s v="Electronics"/>
    <s v="ELC-PWB-10K"/>
    <n v="1"/>
    <n v="21.99"/>
    <s v="VIP15"/>
    <n v="3.3"/>
    <n v="5.99"/>
    <s v="$24.68"/>
    <s v="Apple Pay"/>
    <x v="0"/>
    <s v="refunded"/>
    <s v="Pakistan"/>
    <m/>
    <s v="Not Required"/>
    <s v="East Karla"/>
  </r>
  <r>
    <s v="#2547"/>
    <d v="2026-08-04T13:54:32"/>
    <d v="2026-08-04T13:54:32"/>
    <s v="Marie Rose"/>
    <x v="0"/>
    <s v="marie.rose93@gmail.com"/>
    <s v="Kids Building Blocks Set"/>
    <s v="Toys"/>
    <s v="TOY-BLK-SET"/>
    <n v="2"/>
    <n v="27.99"/>
    <s v="VIP15"/>
    <n v="8.4"/>
    <n v="4.99"/>
    <n v="52.57"/>
    <s v="Credit Card"/>
    <x v="1"/>
    <s v="fulfilled"/>
    <s v="United States"/>
    <s v="Illinois"/>
    <s v="Valid"/>
    <s v="North Susan"/>
  </r>
  <r>
    <s v="#2548"/>
    <d v="2026-08-04T13:54:00"/>
    <d v="2026-08-04T13:54:00"/>
    <s v="Christopher Osborne"/>
    <x v="0"/>
    <s v="christopher.osborne481@yahoo.com"/>
    <s v="Portable Power Bank 10000mAh"/>
    <s v="Electronics"/>
    <s v="ELC-PWB-10K"/>
    <n v="1"/>
    <n v="21.99"/>
    <s v="WELCOME10"/>
    <n v="2.2000000000000002"/>
    <n v="7.99"/>
    <n v="27.78"/>
    <s v="Google Pay"/>
    <x v="0"/>
    <s v="fulfilled"/>
    <s v="United States"/>
    <s v="NC"/>
    <s v="Valid"/>
    <s v="New Melissaview"/>
  </r>
  <r>
    <s v="#2549"/>
    <d v="2026-08-04T13:59:54"/>
    <d v="2026-08-04T13:59:54"/>
    <s v="Amanda Harris"/>
    <x v="0"/>
    <s v="amanda.harris197@gmail.com"/>
    <s v="Leather Wallet - Brown"/>
    <s v="Accessories"/>
    <s v="ACC-WLT-BRN"/>
    <n v="1"/>
    <n v="19.989999999999998"/>
    <m/>
    <n v="0"/>
    <n v="4.99"/>
    <n v="24.98"/>
    <s v="PayPal"/>
    <x v="1"/>
    <s v="fulfilled"/>
    <s v="United States"/>
    <s v="North Carolina"/>
    <s v="Valid"/>
    <s v="Buchananchester"/>
  </r>
  <r>
    <s v="#2550"/>
    <d v="2026-04-08T00:00:00"/>
    <s v="08/04/2026"/>
    <s v="Nancy Nichols"/>
    <x v="0"/>
    <s v="nancy.nichols189@yahoo.com"/>
    <s v="Vitamin C Serum 30ml"/>
    <s v="Beauty"/>
    <s v="BTY-SRM-30"/>
    <n v="1"/>
    <s v="$24.99"/>
    <s v="BFCM25"/>
    <n v="6.25"/>
    <n v="5.99"/>
    <n v="24.73"/>
    <s v="Google Pay"/>
    <x v="0"/>
    <s v="fulfilled"/>
    <s v="United States"/>
    <s v="Texas"/>
    <s v="Valid"/>
    <s v="East Stephen"/>
  </r>
  <r>
    <s v="#2551"/>
    <d v="2026-08-04T14:00:12"/>
    <d v="2026-08-04T14:00:12"/>
    <s v="Amanda Rodriguez"/>
    <x v="0"/>
    <s v="amanda.rodriguez770@yahoo.com"/>
    <s v="Throw Blanket - Fleece"/>
    <s v="Home &amp; Kitchen"/>
    <s v="HK-BLK-FLC"/>
    <n v="2"/>
    <n v="17.989999999999998"/>
    <s v="BFCM25"/>
    <n v="8.99"/>
    <n v="5.99"/>
    <n v="32.979999999999997"/>
    <s v="PayPal"/>
    <x v="0"/>
    <s v="fulfilled"/>
    <s v="United States"/>
    <s v="IL"/>
    <s v="Valid"/>
    <s v="Karentown"/>
  </r>
  <r>
    <s v="#2552"/>
    <d v="2026-04-08T00:00:00"/>
    <s v="08/04/2026"/>
    <s v="michael jacobson"/>
    <x v="0"/>
    <s v="michael.jacobson69@outlook.com"/>
    <s v="Running Shoes - Men's"/>
    <s v="Footwear"/>
    <s v="FTW-RUN-M"/>
    <n v="1"/>
    <n v="54.99"/>
    <s v="VIP15"/>
    <n v="8.25"/>
    <n v="4.99"/>
    <n v="51.73"/>
    <s v="Apple Pay"/>
    <x v="2"/>
    <s v="cancelled"/>
    <s v="Germany"/>
    <m/>
    <s v="Not Required"/>
    <s v="Nathanport"/>
  </r>
  <r>
    <s v="#2553"/>
    <d v="2026-04-08T00:00:00"/>
    <s v="08/04/2026"/>
    <s v="Lauren Nguyen"/>
    <x v="1"/>
    <m/>
    <s v="Classic Cotton T-Shirt"/>
    <s v="Apparel"/>
    <s v="TSH-BLK-L"/>
    <n v="1"/>
    <n v="14.99"/>
    <s v="BFCM25"/>
    <n v="3.75"/>
    <n v="5.99"/>
    <n v="17.23"/>
    <s v="Google Pay"/>
    <x v="1"/>
    <s v="fulfilled"/>
    <s v="United Kingdom"/>
    <m/>
    <s v="Not Required"/>
    <s v="Lloydtown"/>
  </r>
  <r>
    <s v="#2554"/>
    <d v="2026-08-04T14:07:01"/>
    <d v="2026-08-04T14:07:01"/>
    <s v="Rita Hall"/>
    <x v="0"/>
    <s v="rita.hall18@outlook.com"/>
    <s v="Wireless Mouse"/>
    <s v="Electronics"/>
    <s v="ELC-MSE-WL"/>
    <n v="1"/>
    <n v="11.99"/>
    <s v="WELCOME10"/>
    <n v="1.2"/>
    <n v="5.99"/>
    <n v="16.78"/>
    <s v="Credit Card"/>
    <x v="1"/>
    <s v="pending"/>
    <s v="United States"/>
    <s v="Florida"/>
    <s v="Valid"/>
    <s v="Port Davidmouth"/>
  </r>
  <r>
    <s v="#2555"/>
    <d v="2026-08-04T14:01:17"/>
    <d v="2026-08-04T14:01:17"/>
    <s v="Robert Clark"/>
    <x v="0"/>
    <s v="robert.clark185@icloud.com"/>
    <s v="Hooded Sweatshirt"/>
    <s v="Apparel"/>
    <s v="APR-HOD-GRY"/>
    <n v="1"/>
    <n v="34.99"/>
    <s v="WELCOME10"/>
    <n v="3.5"/>
    <n v="7.99"/>
    <n v="39.479999999999997"/>
    <s v="PayPal"/>
    <x v="1"/>
    <s v="pending"/>
    <s v="Pakistan"/>
    <m/>
    <s v="Not Required"/>
    <s v="South Melissamouth"/>
  </r>
  <r>
    <s v="#2556"/>
    <d v="2026-08-04T13:53:54"/>
    <d v="2026-08-04T13:53:54"/>
    <s v="Richard Zavala"/>
    <x v="0"/>
    <s v="richard.zavala602@gmail.com"/>
    <s v="Scented Soy Candle - Vanilla"/>
    <s v="Home &amp; Kitchen"/>
    <s v="HK-CND-VAN"/>
    <n v="1"/>
    <n v="9.99"/>
    <s v="FREESHIP"/>
    <s v="$0.00"/>
    <n v="0"/>
    <n v="9.99"/>
    <s v="PayPal"/>
    <x v="1"/>
    <s v="fulfilled"/>
    <s v="Canada"/>
    <m/>
    <s v="Not Required"/>
    <s v="Thomasside"/>
  </r>
  <r>
    <s v="#2557"/>
    <d v="2026-08-04T00:00:00"/>
    <s v="04-08-2026 14:04"/>
    <s v="Jennifer Burke"/>
    <x v="1"/>
    <m/>
    <s v="USB-C Fast Charger 20W"/>
    <s v="Electronics"/>
    <s v="ELC-CHG-20"/>
    <n v="1"/>
    <n v="15.49"/>
    <m/>
    <n v="0"/>
    <n v="4.99"/>
    <n v="20.48"/>
    <s v="Credit Card"/>
    <x v="0"/>
    <s v="fulfilled"/>
    <s v="Pakistan"/>
    <m/>
    <s v="Not Required"/>
    <s v="Caldwellstad"/>
  </r>
  <r>
    <s v="#2558"/>
    <d v="2026-08-04T14:00:15"/>
    <d v="2026-08-04T14:00:15"/>
    <s v="Lauren Nguyen"/>
    <x v="1"/>
    <m/>
    <s v="Resistance Bands Set"/>
    <s v="Sports &amp; Outdoors"/>
    <s v="SP-RBS-SET"/>
    <n v="2"/>
    <n v="13.99"/>
    <s v="BFCM25"/>
    <n v="7"/>
    <n v="5.99"/>
    <n v="26.97"/>
    <s v="Apple Pay"/>
    <x v="0"/>
    <s v="fulfilled"/>
    <s v="United Kingdom"/>
    <m/>
    <s v="Not Required"/>
    <s v="North Lauraburgh"/>
  </r>
  <r>
    <s v="#2559"/>
    <d v="2026-08-04T14:00:52"/>
    <d v="2026-08-04T14:00:52"/>
    <s v="Brian Johnson"/>
    <x v="0"/>
    <s v="brian.johnson756@yahoo.com"/>
    <s v="Adjustable Dumbbell Set"/>
    <s v="Sports &amp; Outdoors"/>
    <s v="SP-DMB-ADJ"/>
    <n v="1"/>
    <n v="89.99"/>
    <m/>
    <n v="0"/>
    <n v="0"/>
    <n v="89.99"/>
    <s v="Google Pay"/>
    <x v="0"/>
    <s v="fulfilled"/>
    <s v="Australia"/>
    <m/>
    <s v="Not Required"/>
    <s v="East David"/>
  </r>
  <r>
    <s v="#2560"/>
    <d v="2026-08-04T13:54:19"/>
    <d v="2026-08-04T13:54:19"/>
    <s v="Dana Davenport"/>
    <x v="0"/>
    <s v="dana.davenport907@yahoo.com"/>
    <s v="Classic Cotton T-Shirt"/>
    <s v="Apparel"/>
    <s v="TSH-BLK-M"/>
    <n v="2"/>
    <n v="14.99"/>
    <s v="BFCM25 "/>
    <n v="7.5"/>
    <n v="4.99"/>
    <n v="27.47"/>
    <s v="Shopify Payments"/>
    <x v="3"/>
    <s v="fulfilled"/>
    <s v="United States"/>
    <s v="NY"/>
    <s v="Valid"/>
    <s v="New Dennis"/>
  </r>
  <r>
    <s v="#2561"/>
    <d v="2026-08-04T13:59:51"/>
    <d v="2026-08-04T13:59:51"/>
    <s v="Brenda Perez"/>
    <x v="0"/>
    <s v="brenda.perez884@outlook.com"/>
    <s v="Vitamin C Serum 30ml"/>
    <s v="Beauty"/>
    <s v="BTY-SRM-30"/>
    <n v="1"/>
    <n v="24.99"/>
    <m/>
    <n v="0"/>
    <n v="7.99"/>
    <n v="32.979999999999997"/>
    <s v="Google Pay"/>
    <x v="1"/>
    <s v="pending"/>
    <s v="United States"/>
    <s v="North Carolina"/>
    <s v="Valid"/>
    <s v="South David"/>
  </r>
  <r>
    <s v="#2562"/>
    <d v="2026-08-04T14:04:22"/>
    <d v="2026-08-04T14:04:22"/>
    <s v="Tammy Hawkins"/>
    <x v="0"/>
    <s v="tammy.hawkins461@outlook.com"/>
    <s v="Yoga Mat - Extra Thick"/>
    <s v="Sports &amp; Outdoors"/>
    <s v="SP-YGM-EX"/>
    <n v="1"/>
    <n v="22.99"/>
    <s v="SAVE20"/>
    <n v="4.5999999999999996"/>
    <n v="7.99"/>
    <n v="26.38"/>
    <s v="PayPal"/>
    <x v="0"/>
    <s v="fulfilled"/>
    <s v="United States"/>
    <s v="Texas"/>
    <s v="Valid"/>
    <s v="Lake Angela"/>
  </r>
  <r>
    <s v="#2563"/>
    <d v="2026-08-04T14:05:08"/>
    <d v="2026-08-04T14:05:08"/>
    <s v="Carrie Boyd"/>
    <x v="0"/>
    <s v="carrie.boyd968@gmail.com"/>
    <s v="Adjustable Dumbbell Set"/>
    <s v="Sports &amp; Outdoors"/>
    <s v="SP-DMB-ADJ"/>
    <n v="1"/>
    <n v="89.99"/>
    <s v="SAVE20"/>
    <s v="$18.00"/>
    <n v="0"/>
    <n v="71.989999999999995"/>
    <s v="PayPal"/>
    <x v="3"/>
    <s v="refunded"/>
    <s v="United States"/>
    <s v="Texas"/>
    <s v="Valid"/>
    <s v="East Robert"/>
  </r>
  <r>
    <s v="#2564"/>
    <d v="2026-08-04T00:00:00"/>
    <s v="04-08-2026 14:00"/>
    <s v="Jessica Garcia"/>
    <x v="0"/>
    <s v="jessica.garcia931@gmail.com"/>
    <s v="Portable Power Bank 10000mAh"/>
    <s v="Electronics"/>
    <s v="ELC-PWB-10K"/>
    <n v="2"/>
    <n v="21.99"/>
    <s v="WELCOME10"/>
    <n v="4.4000000000000004"/>
    <n v="5.99"/>
    <n v="45.57"/>
    <s v="Google Pay"/>
    <x v="3"/>
    <s v="fulfilled"/>
    <s v="United States"/>
    <s v="North Carolina"/>
    <s v="Valid"/>
    <s v="Jodyport"/>
  </r>
  <r>
    <s v="#2565"/>
    <d v="2026-08-04T13:53:39"/>
    <d v="2026-08-04T13:53:39"/>
    <s v="Amanda Robinson"/>
    <x v="0"/>
    <s v="amanda.robinson263@icloud.com"/>
    <s v="Throw Blanket - Fleece"/>
    <s v="Home &amp; Kitchen"/>
    <s v="HK-BLK-FLC"/>
    <n v="1"/>
    <n v="17.989999999999998"/>
    <s v="FREESHIP"/>
    <n v="0"/>
    <n v="0"/>
    <n v="17.989999999999998"/>
    <s v="Google Pay"/>
    <x v="0"/>
    <s v="refunded"/>
    <s v="United States"/>
    <s v="Illinois"/>
    <s v="Valid"/>
    <s v="Lukehaven"/>
  </r>
  <r>
    <s v="#2566"/>
    <d v="2026-08-04T14:01:01"/>
    <d v="2026-08-04T14:01:01"/>
    <s v="Diane Nunez"/>
    <x v="0"/>
    <s v="diane.nunez756@outlook.com"/>
    <s v="Vitamin C Serum 30ml"/>
    <s v="Beauty"/>
    <s v="BTY-SRM-30"/>
    <n v="1"/>
    <s v="$24.99"/>
    <m/>
    <n v="0"/>
    <n v="4.99"/>
    <n v="29.98"/>
    <s v="PayPal"/>
    <x v="2"/>
    <s v="fulfilled"/>
    <s v="Canada"/>
    <m/>
    <s v="Not Required"/>
    <s v="Lake Oscarmouth"/>
  </r>
  <r>
    <s v="#2567"/>
    <d v="2026-08-04T13:59:17"/>
    <d v="2026-08-04T13:59:17"/>
    <s v="Test Order"/>
    <x v="0"/>
    <s v="test@test.com"/>
    <s v="Backpack - 25L"/>
    <s v="Accessories"/>
    <s v="ACC-BPK-25L"/>
    <n v="1"/>
    <s v="$32.99"/>
    <m/>
    <n v="0"/>
    <n v="4.99"/>
    <n v="0"/>
    <s v="Shopify Payments"/>
    <x v="3"/>
    <s v="cancelled"/>
    <s v="United Kingdom"/>
    <m/>
    <s v="Not Required"/>
    <s v="Elizabethchester"/>
  </r>
  <r>
    <s v="#2568"/>
    <d v="2026-08-04T14:01:05"/>
    <d v="2026-08-04T14:01:05"/>
    <s v="James Castro"/>
    <x v="0"/>
    <s v="james.castro923@icloud.com"/>
    <s v="Stainless Steel Water Bottle"/>
    <s v="Home &amp; Kitchen"/>
    <s v="HK-BTL-750"/>
    <n v="1"/>
    <s v="$12.99"/>
    <m/>
    <n v="0"/>
    <n v="7.99"/>
    <n v="20.98"/>
    <s v="Google Pay"/>
    <x v="0"/>
    <s v="fulfilled"/>
    <s v="Pakistan"/>
    <m/>
    <s v="Not Required"/>
    <s v="East Deborah"/>
  </r>
  <r>
    <s v="#2569"/>
    <d v="2026-04-08T00:00:00"/>
    <s v="08/04/2026"/>
    <s v="Anthony Mullen"/>
    <x v="0"/>
    <s v="anthony.mullen523@yahoo.com"/>
    <s v="Running Shoes - Women's"/>
    <s v="Footwear"/>
    <s v="FTW-RUN-W"/>
    <n v="1"/>
    <n v="54.99"/>
    <s v="VIP15"/>
    <n v="8.25"/>
    <n v="4.99"/>
    <n v="51.73"/>
    <s v="Apple Pay"/>
    <x v="1"/>
    <s v="refunded"/>
    <s v="United States"/>
    <s v="Illinois"/>
    <s v="Valid"/>
    <s v="West Sarahmouth"/>
  </r>
  <r>
    <s v="#2570"/>
    <d v="2026-08-04T14:08:05"/>
    <d v="2026-08-04T14:08:05"/>
    <s v="Michael Hays"/>
    <x v="0"/>
    <s v="michael.hays590@gmail.com"/>
    <s v="Non-Stick Frying Pan 10in"/>
    <s v="Home &amp; Kitchen"/>
    <s v="HK-PAN-10"/>
    <n v="1"/>
    <n v="24.99"/>
    <s v="VIP15"/>
    <n v="3.75"/>
    <n v="5.99"/>
    <n v="27.23"/>
    <s v="PayPal"/>
    <x v="1"/>
    <s v="pending"/>
    <s v="United States"/>
    <s v="AZ"/>
    <s v="Valid"/>
    <s v="South Andrew"/>
  </r>
  <r>
    <s v="#2571"/>
    <d v="2026-08-04T13:56:05"/>
    <d v="2026-08-04T13:56:05"/>
    <s v="Cheryl Coleman"/>
    <x v="0"/>
    <s v="cheryl.coleman261@icloud.com"/>
    <s v="Scented Soy Candle - Vanilla"/>
    <s v="Home &amp; Kitchen"/>
    <s v="HK-CND-VAN"/>
    <n v="1"/>
    <n v="9.99"/>
    <s v="SAVE20"/>
    <n v="2"/>
    <n v="4.99"/>
    <n v="12.98"/>
    <s v="PayPal"/>
    <x v="0"/>
    <s v="refunded"/>
    <s v="Pakistan"/>
    <m/>
    <s v="Not Required"/>
    <s v="Camposville"/>
  </r>
  <r>
    <s v="#2572"/>
    <d v="2026-08-04T13:58:55"/>
    <d v="2026-08-04T13:58:55"/>
    <s v="John Jacobs"/>
    <x v="0"/>
    <s v="john.jacobs137@yahoo.com"/>
    <s v="Scented Soy Candle - Vanilla"/>
    <s v="Home &amp; Kitchen"/>
    <s v="HK-CND-VAN"/>
    <n v="1"/>
    <n v="9.99"/>
    <s v="BFCM25"/>
    <n v="2.5"/>
    <n v="4.99"/>
    <n v="12.48"/>
    <s v="Google Pay"/>
    <x v="2"/>
    <s v="fulfilled"/>
    <s v="Australia"/>
    <m/>
    <s v="Not Required"/>
    <s v="South Daniel"/>
  </r>
  <r>
    <s v="#2573"/>
    <d v="2026-08-04T13:58:41"/>
    <d v="2026-08-04T13:58:41"/>
    <s v="Andrea Martinez"/>
    <x v="0"/>
    <s v="andrea.martinez756@yahoo.com"/>
    <s v="USB-C Fast Charger 20W"/>
    <s v="Electronics"/>
    <s v="ELC-CHG-20"/>
    <n v="1"/>
    <n v="15.49"/>
    <m/>
    <n v="0"/>
    <n v="4.99"/>
    <n v="20.48"/>
    <s v="Apple Pay"/>
    <x v="2"/>
    <s v="fulfilled"/>
    <s v="Australia"/>
    <m/>
    <s v="Not Required"/>
    <s v="Lake Dillon"/>
  </r>
  <r>
    <s v="#2574"/>
    <d v="2026-08-04T14:01:24"/>
    <d v="2026-08-04T14:01:24"/>
    <s v="Chad Smith"/>
    <x v="0"/>
    <s v="chad.smith773@icloud.com"/>
    <s v="Stainless Steel Water Bottle"/>
    <s v="Home &amp; Kitchen"/>
    <s v="HK-BTL-750"/>
    <n v="1"/>
    <n v="12.99"/>
    <s v="BFCM25"/>
    <n v="3.25"/>
    <n v="5.99"/>
    <n v="15.73"/>
    <s v="Shopify Payments"/>
    <x v="1"/>
    <s v="refunded"/>
    <s v="Pakistan"/>
    <m/>
    <s v="Not Required"/>
    <s v="Teresaberg"/>
  </r>
  <r>
    <s v="#2575"/>
    <d v="2026-08-04T00:00:00"/>
    <s v="2026-08-04"/>
    <s v="Carrie Boyd"/>
    <x v="0"/>
    <s v="carrie.boyd968@gmail.com"/>
    <s v="Leather Wallet - Brown"/>
    <s v="Accessories"/>
    <s v="ACC-WLT-BRN"/>
    <n v="1"/>
    <n v="19.989999999999998"/>
    <s v="BFCM25"/>
    <s v="$5.00"/>
    <n v="4.99"/>
    <n v="19.98"/>
    <s v="Credit Card"/>
    <x v="0"/>
    <s v="fulfilled"/>
    <s v="United States"/>
    <s v="Washington"/>
    <s v="Valid"/>
    <s v="Craigborough"/>
  </r>
  <r>
    <s v="#2576"/>
    <d v="2026-08-04T13:58:27"/>
    <d v="2026-08-04T13:58:27"/>
    <s v="Test Order"/>
    <x v="0"/>
    <s v="test@test.com"/>
    <s v="USB C Fast Charger 20W"/>
    <s v="Electronics"/>
    <s v="ELC-CHG-20"/>
    <n v="1"/>
    <n v="15.49"/>
    <s v="FREESHIP"/>
    <s v="$0.00"/>
    <n v="0"/>
    <n v="0"/>
    <s v="Shopify Payments"/>
    <x v="2"/>
    <s v="refunded"/>
    <s v="United States"/>
    <s v="Illinois"/>
    <s v="Valid"/>
    <s v="New Courtney"/>
  </r>
  <r>
    <s v="#2577"/>
    <d v="2026-08-04T00:00:00"/>
    <s v="Aug 04, 2026"/>
    <s v="Christopher Harris"/>
    <x v="0"/>
    <s v="christopher.harris618@yahoo.com"/>
    <s v="Facial Cleanser 200ml"/>
    <s v="Beauty"/>
    <s v="BTY-CLN-200"/>
    <n v="1"/>
    <n v="13.49"/>
    <m/>
    <n v="0"/>
    <n v="4.99"/>
    <n v="18.48"/>
    <s v="PayPal"/>
    <x v="1"/>
    <s v="cancelled"/>
    <s v="Australia"/>
    <m/>
    <s v="Not Required"/>
    <s v="Sarahside"/>
  </r>
  <r>
    <s v="#2578"/>
    <d v="2026-08-04T14:03:20"/>
    <d v="2026-08-04T14:03:20"/>
    <s v="TYLER WILLIAMS"/>
    <x v="0"/>
    <s v="tyler.williams938@outlook.com"/>
    <s v="Portable Power Bank 10000mAh"/>
    <s v="Electronics"/>
    <s v="ELC-PWB-10K"/>
    <n v="1"/>
    <n v="21.99"/>
    <m/>
    <n v="0"/>
    <n v="5.99"/>
    <n v="27.98"/>
    <s v="PayPal"/>
    <x v="2"/>
    <s v="pending"/>
    <s v="Australia"/>
    <m/>
    <s v="Not Required"/>
    <s v="Jackfurt"/>
  </r>
  <r>
    <s v="#2579"/>
    <d v="2026-08-04T00:00:00"/>
    <s v="2026-08-04"/>
    <s v="Andrew Cross"/>
    <x v="0"/>
    <s v="andrew.cross512@yahoo.com"/>
    <s v="Throw Blanket - Fleece"/>
    <s v="Home &amp; Kitchen"/>
    <s v="HK-BLK-FLC"/>
    <n v="2"/>
    <n v="17.989999999999998"/>
    <s v="VIP15"/>
    <n v="5.4"/>
    <n v="7.99"/>
    <n v="38.57"/>
    <s v="Shopify Payments"/>
    <x v="0"/>
    <s v="fulfilled"/>
    <s v="United States"/>
    <s v="Illinois"/>
    <s v="Valid"/>
    <s v="Lake Jason"/>
  </r>
  <r>
    <s v="#2580"/>
    <d v="2026-08-04T13:59:57"/>
    <d v="2026-08-04T13:59:57"/>
    <s v="Oliver, Shawn"/>
    <x v="0"/>
    <s v="shawn.oliver540@icloud.com"/>
    <s v="Non-Stick Frying Pan 10in"/>
    <s v="Home &amp; Kitchen"/>
    <s v="HK-PAN-10"/>
    <n v="1"/>
    <n v="24.99"/>
    <m/>
    <s v="$0.00"/>
    <n v="5.99"/>
    <n v="30.98"/>
    <s v="Credit Card"/>
    <x v="0"/>
    <s v="pending"/>
    <s v="Canada"/>
    <m/>
    <s v="Not Required"/>
    <s v="Rivasmouth"/>
  </r>
  <r>
    <s v="#2582"/>
    <d v="2026-08-04T14:03:06"/>
    <d v="2026-08-04T14:03:06"/>
    <s v="Kayla Cruz"/>
    <x v="0"/>
    <s v="kayla.cruz151@outlook.com"/>
    <s v="Polarized Sunglasses"/>
    <s v="Accessories"/>
    <s v="ACC-SUN-01"/>
    <n v="1"/>
    <n v="16.989999999999998"/>
    <s v="BFCM25"/>
    <n v="4.25"/>
    <n v="7.99"/>
    <n v="20.73"/>
    <s v="PayPal"/>
    <x v="3"/>
    <s v="fulfilled"/>
    <s v="Pakistan"/>
    <m/>
    <s v="Not Required"/>
    <s v="East Raymondview"/>
  </r>
  <r>
    <s v="#2583"/>
    <d v="2026-08-04T13:56:10"/>
    <d v="2026-08-04T13:56:10"/>
    <s v="Nicole Taylor"/>
    <x v="0"/>
    <s v="nicole.taylor607@icloud.com"/>
    <s v="Adjustable Dumbbell Set"/>
    <s v="Sports &amp; Outdoors"/>
    <s v="SP-DMB-ADJ"/>
    <n v="1"/>
    <n v="89.99"/>
    <m/>
    <s v="$0.00"/>
    <n v="0"/>
    <n v="89.99"/>
    <s v="PayPal"/>
    <x v="0"/>
    <s v="cancelled"/>
    <s v="United States"/>
    <s v="Arizona"/>
    <s v="Valid"/>
    <s v="Leeview"/>
  </r>
  <r>
    <s v="#2584"/>
    <d v="2026-08-04T14:02:23"/>
    <d v="2026-08-04T14:02:23"/>
    <s v="Robin Ruiz"/>
    <x v="0"/>
    <s v="robin.ruiz407@yahoo.com"/>
    <s v="Ceramic Coffee Mug Set (4pc)"/>
    <s v="Home &amp; Kitchen"/>
    <s v="HK-MUG-4PK"/>
    <n v="1"/>
    <n v="18.989999999999998"/>
    <m/>
    <n v="0"/>
    <n v="5.99"/>
    <n v="24.98"/>
    <s v="Google Pay"/>
    <x v="1"/>
    <s v="fulfilled"/>
    <s v="United States"/>
    <s v="Texas"/>
    <s v="Valid"/>
    <s v="Hernandezchester"/>
  </r>
  <r>
    <s v="#2585"/>
    <d v="2026-04-08T00:00:00"/>
    <s v="08/04/2026"/>
    <s v="Kristen Lewis"/>
    <x v="0"/>
    <s v="kristen.lewis649@icloud.com"/>
    <s v="Scented Soy Candle - Vanilla"/>
    <s v="Home &amp; Kitchen"/>
    <s v="HK-CND-VAN"/>
    <n v="1"/>
    <n v="9.99"/>
    <s v="WELCOME10"/>
    <n v="1"/>
    <n v="7.99"/>
    <n v="16.98"/>
    <s v="Shopify Payments"/>
    <x v="0"/>
    <s v="fulfilled"/>
    <s v="United States"/>
    <s v="California"/>
    <s v="Valid"/>
    <s v="Rachelfort"/>
  </r>
  <r>
    <s v="#2586"/>
    <d v="2026-08-04T14:00:49"/>
    <d v="2026-08-04T14:00:49"/>
    <s v="Rebecca Watts"/>
    <x v="0"/>
    <s v="rebecca.watts779@gmail.com"/>
    <s v="Classic Cotton T-Shirt"/>
    <s v="Apparel"/>
    <s v="TSH-BLK-M"/>
    <n v="2"/>
    <n v="14.99"/>
    <s v="FREESHIP"/>
    <n v="0"/>
    <n v="0"/>
    <n v="29.98"/>
    <s v="PayPal"/>
    <x v="0"/>
    <s v="fulfilled"/>
    <s v="United States"/>
    <s v="Ohio"/>
    <s v="Valid"/>
    <s v="West Dale"/>
  </r>
  <r>
    <s v="#2587"/>
    <d v="2026-08-04T13:59:08"/>
    <d v="2026-08-04T13:59:08"/>
    <s v="RONNIE JOHNSON"/>
    <x v="0"/>
    <s v="ronnie.johnson454@outlook.com"/>
    <s v="Scented Soy Candle - Vanilla"/>
    <s v="Home &amp; Kitchen"/>
    <s v="HK-CND-VAN"/>
    <n v="1"/>
    <n v="9.99"/>
    <m/>
    <n v="0"/>
    <n v="5.99"/>
    <n v="15.98"/>
    <s v="Shopify Payments"/>
    <x v="3"/>
    <s v="fulfilled"/>
    <s v="United States"/>
    <s v="Arizona"/>
    <s v="Valid"/>
    <s v="Patrickshire"/>
  </r>
  <r>
    <s v="#2588"/>
    <d v="2026-08-04T13:56:02"/>
    <d v="2026-08-04T13:56:02"/>
    <s v="Seth Price"/>
    <x v="0"/>
    <s v="seth.price179@gmail.com"/>
    <s v="Portable Power Bank 10000mAh"/>
    <s v="Electronics"/>
    <s v="ELC-PWB-10K"/>
    <n v="1"/>
    <n v="21.99"/>
    <m/>
    <n v="0"/>
    <n v="7.99"/>
    <n v="29.98"/>
    <s v="Shopify Payments"/>
    <x v="0"/>
    <s v="fulfilled"/>
    <s v="United States"/>
    <s v="New York"/>
    <s v="Valid"/>
    <s v="Port Jackville"/>
  </r>
  <r>
    <s v="#2589"/>
    <d v="2026-08-04T13:59:16"/>
    <d v="2026-08-04T13:59:16"/>
    <s v="Paul Dillon"/>
    <x v="0"/>
    <s v="paul.dillon750@icloud.com"/>
    <s v="Hooded Sweatshirt"/>
    <s v="Apparel"/>
    <s v="APR-HOD-GRY"/>
    <n v="2"/>
    <n v="34.99"/>
    <s v="FREESHIP"/>
    <n v="0"/>
    <n v="0"/>
    <n v="69.98"/>
    <s v="Shopify Payments"/>
    <x v="0"/>
    <s v="cancelled"/>
    <s v="Australia"/>
    <m/>
    <s v="Not Required"/>
    <s v="Manntown"/>
  </r>
  <r>
    <s v="#2590"/>
    <d v="2026-08-04T14:08:05"/>
    <d v="2026-08-04T14:08:05"/>
    <s v="Vincent Rosales"/>
    <x v="0"/>
    <s v="vincent.rosales30@icloud.com"/>
    <s v="Throw Blanket - Fleece"/>
    <s v="Home &amp; Kitchen"/>
    <s v="HK-BLK-FLC"/>
    <n v="1"/>
    <n v="17.989999999999998"/>
    <m/>
    <n v="0"/>
    <n v="4.99"/>
    <n v="22.98"/>
    <s v="Google Pay"/>
    <x v="2"/>
    <s v="fulfilled"/>
    <s v="United States"/>
    <s v="Texas"/>
    <s v="Valid"/>
    <s v="West Howardland"/>
  </r>
  <r>
    <s v="#2591"/>
    <d v="2026-08-04T14:04:05"/>
    <d v="2026-08-04T14:04:05"/>
    <s v="Robert Clark"/>
    <x v="0"/>
    <s v="robert.clark185@icloud.com"/>
    <s v="Slim Fit Denim Jeans"/>
    <s v="Apparel"/>
    <s v="JNS-BLU-32"/>
    <n v="1"/>
    <s v="$39.99"/>
    <m/>
    <n v="0"/>
    <n v="7.99"/>
    <n v="47.98"/>
    <s v="Apple Pay"/>
    <x v="3"/>
    <s v="fulfilled"/>
    <s v="Pakistan"/>
    <m/>
    <s v="Not Required"/>
    <s v="Gonzalezmouth"/>
  </r>
  <r>
    <s v="#2592"/>
    <d v="2026-08-04T14:01:07"/>
    <d v="2026-08-04T14:01:07"/>
    <s v="Linda Byrd"/>
    <x v="0"/>
    <s v="linda.byrd87@outlook.com"/>
    <s v="Portable Power Bank 10000mAh"/>
    <s v="Electronics"/>
    <s v="ELC-PWB-10K"/>
    <n v="1"/>
    <n v="21.99"/>
    <m/>
    <s v="$0.00"/>
    <n v="5.99"/>
    <n v="27.98"/>
    <s v="Shopify Payments"/>
    <x v="0"/>
    <s v="fulfilled"/>
    <s v="United States"/>
    <s v="Washington"/>
    <s v="Valid"/>
    <s v="Riceborough"/>
  </r>
  <r>
    <s v="#2593"/>
    <d v="2026-08-04T14:07:37"/>
    <d v="2026-08-04T14:07:37"/>
    <s v="Margaret Conley"/>
    <x v="0"/>
    <s v="margaret.conley327@icloud.com"/>
    <s v="Classic Cotton T-Shirt"/>
    <s v="Apparel"/>
    <s v="TSH-BLK-L"/>
    <n v="4"/>
    <n v="14.99"/>
    <m/>
    <n v="0"/>
    <n v="4.99"/>
    <n v="64.95"/>
    <s v="Shopify Payments"/>
    <x v="0"/>
    <s v="fulfilled"/>
    <s v="Australia"/>
    <m/>
    <s v="Not Required"/>
    <s v="Marystad"/>
  </r>
  <r>
    <s v="#2594"/>
    <d v="2026-08-04T13:59:23"/>
    <d v="2026-08-04T13:59:23"/>
    <s v="Deborah Wilson"/>
    <x v="0"/>
    <s v="deborah.wilson691@icloud.com"/>
    <s v="Yoga Mat - Extra Thick"/>
    <s v="Sports &amp; Outdoors"/>
    <s v="SP-YGM-EX"/>
    <n v="1"/>
    <n v="22.99"/>
    <m/>
    <n v="0"/>
    <n v="5.99"/>
    <n v="28.98"/>
    <s v="Shopify Payments"/>
    <x v="0"/>
    <s v="pending"/>
    <s v="United Kingdom"/>
    <m/>
    <s v="Not Required"/>
    <s v="Lake Daniellechester"/>
  </r>
  <r>
    <s v="#2595"/>
    <d v="2026-08-04T14:04:56"/>
    <d v="2026-08-04T14:04:56"/>
    <s v="Dustin Mccoy"/>
    <x v="0"/>
    <s v="dustin.mccoy570@gmail.com"/>
    <s v="Polarized Sunglasses  "/>
    <s v="Accessories"/>
    <s v="ACC-SUN-01"/>
    <n v="1"/>
    <n v="16.989999999999998"/>
    <s v="FREESHIP"/>
    <n v="0"/>
    <n v="0"/>
    <n v="16.989999999999998"/>
    <s v="Shopify Payments"/>
    <x v="0"/>
    <s v="fulfilled"/>
    <s v="Canada"/>
    <m/>
    <s v="Not Required"/>
    <s v="New Malloryburgh"/>
  </r>
  <r>
    <s v="#2596"/>
    <d v="2026-08-04T14:05:41"/>
    <d v="2026-08-04T14:05:41"/>
    <s v="Timothy Becker"/>
    <x v="0"/>
    <s v="timothy.becker88@yahoo.com"/>
    <s v="Slim Fit Denim Jeans"/>
    <s v="Apparel"/>
    <s v="JNS-BLU-32"/>
    <n v="1"/>
    <n v="39.99"/>
    <s v="WELCOME10"/>
    <n v="4"/>
    <n v="7.99"/>
    <n v="43.98"/>
    <s v="Apple Pay"/>
    <x v="3"/>
    <s v="refunded"/>
    <s v="United States"/>
    <s v="Washington"/>
    <s v="Valid"/>
    <s v="East Seth"/>
  </r>
  <r>
    <s v="#2597"/>
    <d v="2026-08-04T14:05:13"/>
    <d v="2026-08-04T14:05:13"/>
    <s v="Joe Duran"/>
    <x v="0"/>
    <s v="joe.duran923@icloud.com"/>
    <s v="Leather Wallet - Brown"/>
    <s v="Accessories"/>
    <s v="ACC-WLT-BRN"/>
    <n v="2"/>
    <n v="19.989999999999998"/>
    <s v="WELCOME10"/>
    <n v="4"/>
    <n v="7.99"/>
    <n v="43.97"/>
    <s v="PayPal"/>
    <x v="1"/>
    <s v="fulfilled"/>
    <s v="United States"/>
    <s v="Florida"/>
    <s v="Valid"/>
    <s v="Mcclainfurt"/>
  </r>
  <r>
    <s v="#2598"/>
    <d v="2026-04-08T00:00:00"/>
    <s v="08/04/2026"/>
    <s v="Cody Murray"/>
    <x v="0"/>
    <s v="cody.murray456@gmail.com"/>
    <s v="Classic Cotton T-Shirt"/>
    <s v="Apparel"/>
    <s v="TSH-BLK-M"/>
    <n v="1"/>
    <n v="14.99"/>
    <m/>
    <n v="0"/>
    <n v="4.99"/>
    <n v="19.98"/>
    <s v="Credit Card"/>
    <x v="2"/>
    <s v="refunded"/>
    <s v="United Kingdom"/>
    <m/>
    <s v="Not Required"/>
    <s v="Bergville"/>
  </r>
  <r>
    <s v="#2599"/>
    <d v="2026-08-04T13:58:38"/>
    <d v="2026-08-04T13:58:38"/>
    <s v="Katie Coleman"/>
    <x v="0"/>
    <s v="katie.coleman262@outlook.com"/>
    <s v="Wireless Bluetooth Earbuds"/>
    <s v="Electronics"/>
    <s v="ELC-WBE-01"/>
    <n v="1"/>
    <n v="29.99"/>
    <s v="WELCOME10"/>
    <n v="3"/>
    <n v="4.99"/>
    <n v="31.98"/>
    <s v="Google Pay"/>
    <x v="2"/>
    <s v="refunded"/>
    <s v="Canada"/>
    <m/>
    <s v="Not Required"/>
    <s v="Lake John"/>
  </r>
  <r>
    <s v="#2600"/>
    <d v="2026-08-04T13:59:53"/>
    <d v="2026-08-04T13:59:53"/>
    <s v="Anthony Marshall"/>
    <x v="0"/>
    <s v="anthony.marshall823@yahoo.com"/>
    <s v="Classic Cotton T-Shirt"/>
    <s v="Apparel"/>
    <s v="TSH-BLK-M"/>
    <n v="1"/>
    <n v="14.99"/>
    <s v="WELCOME10"/>
    <n v="1.5"/>
    <n v="5.99"/>
    <n v="19.48"/>
    <s v="Shopify Payments"/>
    <x v="3"/>
    <s v="pending"/>
    <s v="United States"/>
    <s v="Texas"/>
    <s v="Valid"/>
    <s v="New Shawn"/>
  </r>
  <r>
    <s v="#2601"/>
    <d v="2026-08-04T13:57:32"/>
    <d v="2026-08-04T13:57:32"/>
    <s v="Debra Thomas"/>
    <x v="0"/>
    <s v="debra.thomas509@icloud.com"/>
    <s v="Backpack - 25L"/>
    <s v="Accessories"/>
    <s v="ACC-BPK-25L"/>
    <n v="1"/>
    <n v="32.99"/>
    <s v="VIP15"/>
    <n v="4.95"/>
    <n v="4.99"/>
    <n v="33.03"/>
    <s v="Apple Pay"/>
    <x v="0"/>
    <s v="fulfilled"/>
    <s v="United States"/>
    <s v="New York"/>
    <s v="Valid"/>
    <s v="Austinborough"/>
  </r>
  <r>
    <s v="#2602"/>
    <d v="2026-08-04T14:02:13"/>
    <d v="2026-08-04T14:02:13"/>
    <s v="Ian Morris"/>
    <x v="0"/>
    <s v="ian.morris90@outlook.com"/>
    <s v="Phone Case - Clear"/>
    <s v="Electronics"/>
    <s v="ELC-CSE-CLR"/>
    <n v="1"/>
    <n v="8.99"/>
    <s v="FREESHIP"/>
    <n v="0"/>
    <n v="0"/>
    <n v="8.99"/>
    <s v="Shopify Payments"/>
    <x v="0"/>
    <s v="pending"/>
    <s v="Pakistan"/>
    <m/>
    <s v="Not Required"/>
    <s v="East Leah"/>
  </r>
  <r>
    <s v="#2604"/>
    <d v="2026-08-04T14:04:31"/>
    <d v="2026-08-04T14:04:31"/>
    <s v="Ryan Jones"/>
    <x v="0"/>
    <s v="ryan.jones314@gmail.com"/>
    <s v="Wireless Bluetooth Earbuds"/>
    <s v="Electronics"/>
    <s v="ELC-WBE-01"/>
    <n v="1"/>
    <n v="29.99"/>
    <m/>
    <n v="0"/>
    <n v="5.99"/>
    <n v="35.979999999999997"/>
    <s v="Credit Card"/>
    <x v="1"/>
    <s v="fulfilled"/>
    <s v="Australia"/>
    <m/>
    <s v="Not Required"/>
    <s v="Parkerstad"/>
  </r>
  <r>
    <s v="#2605"/>
    <d v="2026-08-04T13:57:53"/>
    <d v="2026-08-04T13:57:53"/>
    <s v="brooke crawford"/>
    <x v="0"/>
    <s v="brooke.crawford896@outlook.com"/>
    <s v="Classic Cotton T-Shirt"/>
    <s v="Apparel"/>
    <s v="TSH-BLK-M"/>
    <n v="1"/>
    <n v="14.99"/>
    <s v="BFCM25"/>
    <n v="3.75"/>
    <n v="7.99"/>
    <n v="19.23"/>
    <s v="Google Pay"/>
    <x v="0"/>
    <s v="refunded"/>
    <s v="Pakistan"/>
    <m/>
    <s v="Not Required"/>
    <s v="Samanthastad"/>
  </r>
  <r>
    <s v="#2606"/>
    <d v="2026-08-04T13:55:20"/>
    <d v="2026-08-04T13:55:20"/>
    <s v="Tyler Williams"/>
    <x v="0"/>
    <s v="tyler.williams938@outlook.com"/>
    <s v="Facial Cleanser 200ml"/>
    <s v="Beauty"/>
    <s v="BTY-CLN-200"/>
    <n v="2"/>
    <n v="13.49"/>
    <s v="SAVE20"/>
    <n v="5.4"/>
    <n v="4.99"/>
    <n v="26.57"/>
    <s v="PayPal"/>
    <x v="3"/>
    <s v="cancelled"/>
    <s v="Australia"/>
    <m/>
    <s v="Not Required"/>
    <s v="New Joyce"/>
  </r>
  <r>
    <s v="#2607"/>
    <d v="2026-08-04T14:01:40"/>
    <d v="2026-08-04T14:01:40"/>
    <s v="Tanya Brown"/>
    <x v="0"/>
    <s v="tanya.brown516@outlook.com"/>
    <s v="Hooded Sweatshirt"/>
    <s v="Apparel"/>
    <s v="APR-HOD-GRY"/>
    <n v="1"/>
    <n v="34.99"/>
    <s v="VIP15"/>
    <n v="5.25"/>
    <n v="5.99"/>
    <n v="35.729999999999997"/>
    <s v="PayPal"/>
    <x v="0"/>
    <s v="fulfilled"/>
    <s v="United States"/>
    <s v="North Carolina"/>
    <s v="Valid"/>
    <s v="Chelseyhaven"/>
  </r>
  <r>
    <s v="#2608"/>
    <d v="2026-08-04T14:06:09"/>
    <d v="2026-08-04T14:06:09"/>
    <s v="Perez, Joanne"/>
    <x v="0"/>
    <s v="joanne.perez120@gmail.com"/>
    <s v="Portable Power Bank 10000mAh"/>
    <s v="Electronics"/>
    <s v="ELC-PWB-10K"/>
    <n v="1"/>
    <n v="21.99"/>
    <s v="VIP15"/>
    <n v="3.3"/>
    <n v="5.99"/>
    <n v="24.68"/>
    <s v="Apple Pay"/>
    <x v="1"/>
    <s v="fulfilled"/>
    <s v="United States"/>
    <s v="California"/>
    <s v="Valid"/>
    <s v="Rossville"/>
  </r>
  <r>
    <s v="#2609"/>
    <d v="2026-08-04T00:00:00"/>
    <s v="04-08-2026 14:03"/>
    <s v="Robert Boyd"/>
    <x v="0"/>
    <s v="robert.boyd184@yahoo.com"/>
    <s v="Vitamin C Serum 30ml"/>
    <s v="Beauty"/>
    <s v="BTY-SRM-30"/>
    <n v="2"/>
    <n v="24.99"/>
    <s v="VIP15"/>
    <n v="7.5"/>
    <n v="7.99"/>
    <n v="50.47"/>
    <s v="Credit Card"/>
    <x v="2"/>
    <s v="fulfilled"/>
    <s v="Canada"/>
    <m/>
    <s v="Not Required"/>
    <s v="West Carly"/>
  </r>
  <r>
    <s v="#2610"/>
    <d v="2026-04-08T00:00:00"/>
    <s v="08/04/2026"/>
    <s v="Christy Long"/>
    <x v="0"/>
    <s v="christy.long561@yahoo.com"/>
    <s v="Running Shoes - Men's"/>
    <s v="Footwear"/>
    <s v="FTW-RUN-M"/>
    <n v="1"/>
    <s v="$54.99"/>
    <s v="WELCOME10"/>
    <n v="5.5"/>
    <n v="5.99"/>
    <n v="55.48"/>
    <s v="Apple Pay"/>
    <x v="0"/>
    <s v="pending"/>
    <s v="United Kingdom"/>
    <m/>
    <s v="Not Required"/>
    <s v="South Roy"/>
  </r>
  <r>
    <s v="#2611"/>
    <d v="2026-08-04T13:54:27"/>
    <d v="2026-08-04T13:54:27"/>
    <s v="Dustin Griffin"/>
    <x v="0"/>
    <s v="dustin.griffin434@gmail.com"/>
    <s v="Yoga Mat - Extra Thick"/>
    <s v="Sports &amp; Outdoors"/>
    <s v="SP-YGM-EX"/>
    <n v="2"/>
    <n v="22.99"/>
    <m/>
    <n v="0"/>
    <n v="5.99"/>
    <n v="51.97"/>
    <s v="Shopify Payments"/>
    <x v="3"/>
    <s v="refunded"/>
    <s v="United States"/>
    <s v="Illinois"/>
    <s v="Valid"/>
    <s v="New Michaelmouth"/>
  </r>
  <r>
    <s v="#2612"/>
    <d v="2026-08-04T13:56:39"/>
    <d v="2026-08-04T13:56:39"/>
    <m/>
    <x v="0"/>
    <s v="george.green694@icloud.com"/>
    <s v="Portable Power Bank 10000mAh"/>
    <s v="Electronics"/>
    <s v="ELC-PWB-10K"/>
    <n v="1"/>
    <n v="21.99"/>
    <s v="SAVE20"/>
    <n v="4.4000000000000004"/>
    <n v="4.99"/>
    <n v="22.58"/>
    <s v="Apple Pay"/>
    <x v="3"/>
    <s v="fulfilled"/>
    <s v="United States"/>
    <s v="Georgia"/>
    <s v="Valid"/>
    <s v="North Laurenville"/>
  </r>
  <r>
    <s v="#2613"/>
    <d v="2026-08-04T13:58:19"/>
    <d v="2026-08-04T13:58:19"/>
    <s v="laura pruitt"/>
    <x v="0"/>
    <s v="laura.pruitt212@yahoo.com"/>
    <s v="Adjustable Dumbbell Set"/>
    <s v="Sports &amp; Outdoors"/>
    <s v="SP-DMB-ADJ"/>
    <n v="2"/>
    <n v="89.99"/>
    <s v="WELCOME10"/>
    <n v="18"/>
    <n v="0"/>
    <n v="161.97999999999999"/>
    <s v="Google Pay"/>
    <x v="0"/>
    <s v="pending"/>
    <s v="United States"/>
    <s v="Canada"/>
    <s v="Valid"/>
    <s v="Gutierrezstad"/>
  </r>
  <r>
    <s v="#2614"/>
    <d v="2026-08-04T13:59:05"/>
    <d v="2026-08-04T13:59:05"/>
    <s v="Christopher Harrington"/>
    <x v="0"/>
    <s v="christopher.harrington960@gmail.com"/>
    <s v="Non-Stick Frying Pan 10in"/>
    <s v="Home &amp; Kitchen"/>
    <s v="HK-PAN-10"/>
    <n v="2"/>
    <n v="24.99"/>
    <m/>
    <n v="0"/>
    <n v="4.99"/>
    <n v="54.97"/>
    <s v="Google Pay"/>
    <x v="0"/>
    <s v="refunded"/>
    <s v="Australia"/>
    <m/>
    <s v="Not Required"/>
    <s v="South Douglas"/>
  </r>
  <r>
    <s v="#2615"/>
    <d v="2026-08-04T13:54:16"/>
    <d v="2026-08-04T13:54:16"/>
    <s v="Peter Alvarez"/>
    <x v="0"/>
    <s v="peter.alvarez465@yahoo.com"/>
    <s v="Vitamin C Serum 30ml"/>
    <s v="Beauty"/>
    <s v="BTY-SRM-30"/>
    <n v="1"/>
    <s v="$24.99"/>
    <m/>
    <n v="0"/>
    <n v="4.99"/>
    <n v="29.98"/>
    <s v="Apple Pay"/>
    <x v="3"/>
    <s v="fulfilled"/>
    <s v="United States"/>
    <s v="California"/>
    <s v="Valid"/>
    <s v="Lake Jeremiah"/>
  </r>
  <r>
    <s v="#2616"/>
    <d v="2026-08-04T14:01:47"/>
    <d v="2026-08-04T14:01:47"/>
    <s v="Frank Diaz"/>
    <x v="1"/>
    <m/>
    <s v="Backpack - 25L"/>
    <s v="Accessories"/>
    <s v="ACC-BPK-25L"/>
    <n v="2"/>
    <n v="32.99"/>
    <m/>
    <n v="0"/>
    <n v="5.99"/>
    <n v="71.97"/>
    <s v="Shopify Payments"/>
    <x v="0"/>
    <s v="refunded"/>
    <s v="United States"/>
    <s v="New York"/>
    <s v="Valid"/>
    <s v="North Andrewshire"/>
  </r>
  <r>
    <s v="#2617"/>
    <d v="2026-08-04T14:03:47"/>
    <d v="2026-08-04T14:03:47"/>
    <s v="Jesus Mason"/>
    <x v="0"/>
    <s v="jesus.mason798@icloud.com"/>
    <s v="USB-C Fast Charger 20W"/>
    <s v="Electronics"/>
    <s v="ELC-CHG-20"/>
    <n v="1"/>
    <n v="15.49"/>
    <m/>
    <n v="0"/>
    <n v="5.99"/>
    <n v="21.48"/>
    <s v="PayPal"/>
    <x v="0"/>
    <s v="cancelled"/>
    <s v="United States"/>
    <s v="NC"/>
    <s v="Valid"/>
    <s v="Blevinsborough"/>
  </r>
  <r>
    <s v="#2618"/>
    <d v="2026-08-04T14:01:53"/>
    <d v="2026-08-04T14:01:53"/>
    <s v="THOMAS ROJAS"/>
    <x v="1"/>
    <m/>
    <s v="Scented Soy Candle - Vanilla"/>
    <s v="Home &amp; Kitchen"/>
    <s v="HK-CND-VAN"/>
    <n v="2"/>
    <n v="9.99"/>
    <s v="BFCM25"/>
    <n v="5"/>
    <n v="7.99"/>
    <n v="22.97"/>
    <s v="PayPal"/>
    <x v="2"/>
    <s v="cancelled"/>
    <s v="United States"/>
    <s v="TX"/>
    <s v="Valid"/>
    <s v="Harrisfurt"/>
  </r>
  <r>
    <s v="#2619"/>
    <d v="2026-08-04T14:00:11"/>
    <d v="2026-08-04T14:00:11"/>
    <s v="Carly Johnson"/>
    <x v="0"/>
    <s v="carly.johnson664@gmail.com"/>
    <s v="Throw Blanket - Fleece"/>
    <s v="Home &amp; Kitchen"/>
    <s v="HK-BLK-FLC"/>
    <n v="1"/>
    <n v="17.989999999999998"/>
    <m/>
    <s v="$0.00"/>
    <n v="7.99"/>
    <n v="25.98"/>
    <s v="Credit Card"/>
    <x v="0"/>
    <s v="refunded"/>
    <s v="Germany"/>
    <m/>
    <s v="Not Required"/>
    <s v="Reedtown"/>
  </r>
  <r>
    <s v="#2620"/>
    <d v="2026-08-04T00:00:00"/>
    <s v="04-08-2026 13:59"/>
    <s v="Amanda Robinson"/>
    <x v="0"/>
    <s v="amanda.robinson263@icloud.com"/>
    <s v="Throw Blanket - Fleece"/>
    <s v="Home &amp; Kitchen"/>
    <s v="HK-BLK-FLC"/>
    <n v="1"/>
    <n v="17.989999999999998"/>
    <s v="SAVE20"/>
    <n v="3.6"/>
    <n v="4.99"/>
    <n v="19.38"/>
    <s v="PayPal"/>
    <x v="0"/>
    <s v="fulfilled"/>
    <s v="United States"/>
    <s v="California"/>
    <s v="Valid"/>
    <s v="Lake Lori"/>
  </r>
  <r>
    <s v="#2621"/>
    <d v="2026-08-04T00:00:00"/>
    <s v="04-08-2026 13:57"/>
    <s v="Kenneth Davis"/>
    <x v="0"/>
    <s v="kenneth.davis106@yahoo.com"/>
    <s v="Kids Building Blocks Set"/>
    <s v="Toys"/>
    <s v="TOY-BLK-SET"/>
    <n v="1"/>
    <n v="27.99"/>
    <m/>
    <n v="0"/>
    <n v="7.99"/>
    <n v="35.979999999999997"/>
    <s v="Apple Pay"/>
    <x v="1"/>
    <s v="pending"/>
    <s v="United States"/>
    <s v="Texas"/>
    <s v="Valid"/>
    <s v="South Jamesview"/>
  </r>
  <r>
    <s v="#2622"/>
    <d v="2026-08-04T14:00:06"/>
    <d v="2026-08-04T14:00:06"/>
    <s v="Anthony Mullen"/>
    <x v="0"/>
    <s v="anthony.mullen523@yahoo.com"/>
    <s v="Wireless Mouse"/>
    <s v="Electronics"/>
    <s v="ELC-MSE-WL"/>
    <n v="2"/>
    <n v="11.99"/>
    <s v="SAVE20"/>
    <n v="4.8"/>
    <n v="5.99"/>
    <n v="25.17"/>
    <s v="Apple Pay"/>
    <x v="0"/>
    <s v="fulfilled"/>
    <s v="United States"/>
    <s v="Florida"/>
    <s v="Valid"/>
    <s v="Lake Nancyberg"/>
  </r>
  <r>
    <s v="#2623"/>
    <d v="2026-08-04T13:57:42"/>
    <d v="2026-08-04T13:57:42"/>
    <s v="Tyler Williams"/>
    <x v="0"/>
    <s v="tyler.williams938@outlook.com"/>
    <s v="Kids Building Blocks Set"/>
    <s v="Toys"/>
    <s v="TOY-BLK-SET"/>
    <n v="1"/>
    <n v="27.99"/>
    <m/>
    <s v="$0.00"/>
    <n v="4.99"/>
    <n v="32.979999999999997"/>
    <s v="Apple Pay"/>
    <x v="2"/>
    <s v="fulfilled"/>
    <s v="Australia"/>
    <m/>
    <s v="Not Required"/>
    <s v="Snyderside"/>
  </r>
  <r>
    <s v="#2624"/>
    <d v="2026-08-04T14:03:54"/>
    <d v="2026-08-04T14:03:54"/>
    <s v="Nicholas Jarvis"/>
    <x v="0"/>
    <s v="nicholas.jarvis112@icloud.com"/>
    <s v="Slim Fit Denim Jeans"/>
    <s v="Apparel"/>
    <s v="JNS-BLU-32"/>
    <n v="1"/>
    <n v="39.99"/>
    <m/>
    <n v="0"/>
    <n v="7.99"/>
    <n v="47.98"/>
    <s v="Shopify Payments"/>
    <x v="0"/>
    <s v="pending"/>
    <s v="Canada"/>
    <m/>
    <s v="Not Required"/>
    <s v="Sheltonfurt"/>
  </r>
  <r>
    <s v="#2625"/>
    <d v="2026-08-04T14:08:24"/>
    <d v="2026-08-04T14:08:24"/>
    <s v="NICHOLAS PARKER"/>
    <x v="0"/>
    <s v="nicholas.parker656@yahoo.com"/>
    <s v="Portable Power Bank 10000mAh"/>
    <s v="Electronics"/>
    <s v="ELC-PWB-10K"/>
    <n v="1"/>
    <n v="21.99"/>
    <s v="FREESHIP"/>
    <n v="0"/>
    <n v="0"/>
    <n v="21.99"/>
    <s v="Credit Card"/>
    <x v="3"/>
    <s v="fulfilled"/>
    <s v="United States"/>
    <s v="Florida"/>
    <s v="Valid"/>
    <s v="East William"/>
  </r>
  <r>
    <s v="#2626"/>
    <d v="2026-08-04T14:03:45"/>
    <d v="2026-08-04T14:03:45"/>
    <s v="Christy Phillips"/>
    <x v="1"/>
    <m/>
    <s v="Phone Case - Clear"/>
    <s v="Electronics"/>
    <s v="ELC-CSE-CLR"/>
    <n v="1"/>
    <n v="8.99"/>
    <m/>
    <n v="0"/>
    <n v="5.99"/>
    <n v="14.98"/>
    <s v="Shopify Payments"/>
    <x v="0"/>
    <s v="pending"/>
    <s v="Pakistan"/>
    <m/>
    <s v="Not Required"/>
    <s v="Port Ashleyview"/>
  </r>
  <r>
    <s v="#2627"/>
    <d v="2026-08-04T13:54:15"/>
    <d v="2026-08-04T13:54:15"/>
    <s v="James Miller"/>
    <x v="0"/>
    <s v="james.miller866@yahoo.com"/>
    <s v="Classic Cotton T-Shirt"/>
    <s v="Apparel"/>
    <s v="TSH-BLK-L"/>
    <n v="2"/>
    <n v="14.99"/>
    <s v="BFCM25"/>
    <n v="7.5"/>
    <n v="4.99"/>
    <n v="27.47"/>
    <s v="Credit Card"/>
    <x v="1"/>
    <s v="fulfilled"/>
    <s v="Pakistan"/>
    <m/>
    <s v="Not Required"/>
    <s v="Taylorton"/>
  </r>
  <r>
    <s v="#2628"/>
    <d v="2026-08-04T13:58:47"/>
    <d v="2026-08-04T13:58:47"/>
    <s v="Rhonda Chapman"/>
    <x v="0"/>
    <s v="rhonda.chapman481@yahoo.com"/>
    <s v="Phone Case - Clear"/>
    <s v="Electronics"/>
    <s v="ELC-CSE-CLR"/>
    <n v="2"/>
    <n v="8.99"/>
    <s v="SAVE20"/>
    <n v="3.6"/>
    <n v="7.99"/>
    <n v="22.37"/>
    <s v="Apple Pay"/>
    <x v="3"/>
    <s v="fulfilled"/>
    <s v="United States"/>
    <s v="Florida"/>
    <s v="Valid"/>
    <s v="Jillmouth"/>
  </r>
  <r>
    <s v="#2629"/>
    <d v="2026-04-08T00:00:00"/>
    <s v="08/04/2026"/>
    <s v="Anthony Parker"/>
    <x v="0"/>
    <s v="anthony.parker256@icloud.com"/>
    <s v="Running Shoes - Women's"/>
    <s v="Footwear"/>
    <s v="FTW-RUN-W"/>
    <n v="1"/>
    <n v="54.99"/>
    <s v="SAVE20"/>
    <n v="11"/>
    <n v="5.99"/>
    <n v="49.98"/>
    <s v="Shopify Payments"/>
    <x v="1"/>
    <s v="refunded"/>
    <s v="United Kingdom"/>
    <m/>
    <s v="Not Required"/>
    <s v="North Kevinbury"/>
  </r>
  <r>
    <s v="#2630"/>
    <d v="2026-08-04T14:01:32"/>
    <d v="2026-08-04T14:01:32"/>
    <s v="Jack Bryant"/>
    <x v="0"/>
    <s v="jack.bryant173@gmail.com"/>
    <s v="Kids Building Blocks Set"/>
    <s v="Toys"/>
    <s v="TOY-BLK-SET"/>
    <n v="4"/>
    <n v="27.99"/>
    <m/>
    <n v="0"/>
    <n v="0"/>
    <n v="111.96"/>
    <s v="Shopify Payments"/>
    <x v="2"/>
    <s v="fulfilled"/>
    <s v="Germany"/>
    <m/>
    <s v="Not Required"/>
    <s v="New Andrea"/>
  </r>
  <r>
    <s v="#2631"/>
    <d v="2026-08-04T00:00:00"/>
    <s v="04-08-2026 13:58"/>
    <s v="Jennifer Burke"/>
    <x v="0"/>
    <s v="jennifer.burke472@icloud.com"/>
    <s v="Stainless Steel Water Bottle"/>
    <s v="Home &amp; Kitchen"/>
    <s v="HK-BTL-750"/>
    <n v="1"/>
    <n v="12.99"/>
    <s v="WELCOME10"/>
    <n v="1.3"/>
    <n v="5.99"/>
    <n v="17.68"/>
    <s v="Google Pay"/>
    <x v="0"/>
    <s v="cancelled"/>
    <s v="Pakistan"/>
    <m/>
    <s v="Not Required"/>
    <s v="Heathtown"/>
  </r>
  <r>
    <s v="#2632"/>
    <d v="2026-08-04T14:03:11"/>
    <d v="2026-08-04T14:03:11"/>
    <s v="Mary Phillips"/>
    <x v="0"/>
    <s v="mary.phillips944@yahoo.com"/>
    <s v="Wireless Mouse"/>
    <s v="Electronics"/>
    <s v="ELC-MSE-WL"/>
    <n v="1"/>
    <n v="11.99"/>
    <s v="SAVE20"/>
    <n v="2.4"/>
    <n v="4.99"/>
    <n v="14.58"/>
    <s v="Apple Pay"/>
    <x v="0"/>
    <s v="fulfilled"/>
    <s v="United States"/>
    <s v="FL"/>
    <s v="Valid"/>
    <s v="New Melinda"/>
  </r>
  <r>
    <s v="#2633"/>
    <d v="2026-08-04T13:54:28"/>
    <d v="2026-08-04T13:54:28"/>
    <s v="Brady Garcia"/>
    <x v="0"/>
    <s v="brady.garcia57@yahoo.com"/>
    <s v="Wireless Bluetooth Earbuds"/>
    <s v="Electronics"/>
    <s v="ELC-WBE-01"/>
    <n v="2"/>
    <n v="29.99"/>
    <m/>
    <n v="0"/>
    <n v="5.99"/>
    <n v="65.97"/>
    <s v="PayPal"/>
    <x v="0"/>
    <s v="fulfilled"/>
    <s v="Australia"/>
    <m/>
    <s v="Not Required"/>
    <s v="New Meghanhaven"/>
  </r>
  <r>
    <s v="#2634"/>
    <d v="2026-08-04T00:00:00"/>
    <s v="04-08-2026 13:57"/>
    <s v="Heather Davis"/>
    <x v="0"/>
    <s v="heather.davis117@icloud.com"/>
    <s v="Facial Cleanser 200ml"/>
    <s v="Beauty"/>
    <s v="BTY-CLN-200"/>
    <n v="1"/>
    <n v="13.49"/>
    <m/>
    <n v="0"/>
    <n v="5.99"/>
    <n v="19.48"/>
    <s v="Apple Pay"/>
    <x v="0"/>
    <s v="pending"/>
    <s v="Germany"/>
    <m/>
    <s v="Not Required"/>
    <s v="East Gwendolynport"/>
  </r>
  <r>
    <s v="#2635"/>
    <d v="2026-08-04T14:04:19"/>
    <d v="2026-08-04T14:04:19"/>
    <s v="Donald Davis"/>
    <x v="0"/>
    <s v="donald.davis404@icloud.com"/>
    <s v="Hooded Sweatshirt"/>
    <s v="Apparel"/>
    <s v="APR-HOD-GRY"/>
    <n v="1"/>
    <n v="34.99"/>
    <m/>
    <n v="0"/>
    <n v="7.99"/>
    <n v="42.98"/>
    <s v="Google Pay"/>
    <x v="0"/>
    <s v="fulfilled"/>
    <s v="Canada"/>
    <m/>
    <s v="Not Required"/>
    <s v="Port Ethan"/>
  </r>
  <r>
    <s v="#2636"/>
    <d v="2026-08-04T00:00:00"/>
    <s v="04-08-2026 13:54"/>
    <s v="Michael Hays"/>
    <x v="0"/>
    <s v="michael.hays590@gmail.com"/>
    <s v="Running Shoes - Men's"/>
    <s v="Footwear"/>
    <s v="FTW-RUN-M"/>
    <n v="1"/>
    <n v="54.99"/>
    <s v="SAVE20"/>
    <n v="11"/>
    <n v="5.99"/>
    <n v="49.98"/>
    <s v="Apple Pay"/>
    <x v="3"/>
    <s v="fulfilled"/>
    <s v="United States"/>
    <s v="NY"/>
    <s v="Valid"/>
    <s v="Gutierrezville"/>
  </r>
  <r>
    <s v="#2637"/>
    <d v="2026-08-04T14:05:09"/>
    <d v="2026-08-04T14:05:09"/>
    <s v="Lindsay Shaw"/>
    <x v="0"/>
    <s v="lindsay.shaw178@icloud.com"/>
    <s v="Kids Building Blocks Set"/>
    <s v="Toys"/>
    <s v="TOY-BLK-SET"/>
    <n v="2"/>
    <n v="27.99"/>
    <s v="FREESHIP"/>
    <n v="0"/>
    <n v="0"/>
    <n v="55.98"/>
    <s v="Shopify Payments"/>
    <x v="0"/>
    <s v="fulfilled"/>
    <s v="United Kingdom"/>
    <m/>
    <s v="Not Required"/>
    <s v="North Brittanyville"/>
  </r>
  <r>
    <s v="#2638"/>
    <d v="2026-08-04T14:04:29"/>
    <d v="2026-08-04T14:04:29"/>
    <s v="Daniel Parsons"/>
    <x v="0"/>
    <s v="daniel.parsons636@gmail.com"/>
    <s v="Portable Power Bank 10000mAh"/>
    <s v="Electronics"/>
    <s v="ELC-PWB-10K"/>
    <n v="1"/>
    <n v="21.99"/>
    <m/>
    <n v="0"/>
    <n v="7.99"/>
    <n v="29.98"/>
    <s v="Google Pay"/>
    <x v="0"/>
    <s v="fulfilled"/>
    <s v="United States"/>
    <s v="California"/>
    <s v="Valid"/>
    <s v="South Bobberg"/>
  </r>
  <r>
    <s v="#2639"/>
    <d v="2026-08-04T13:57:42"/>
    <d v="2026-08-04T13:57:42"/>
    <s v="Lauren Nguyen"/>
    <x v="0"/>
    <s v="lauren.nguyen819@outlook.com"/>
    <s v="Throw Blanket - Fleece"/>
    <s v="Home &amp; Kitchen"/>
    <s v="HK-BLK-FLC"/>
    <n v="2"/>
    <n v="17.989999999999998"/>
    <m/>
    <n v="0"/>
    <n v="4.99"/>
    <n v="40.97"/>
    <s v="Credit Card"/>
    <x v="0"/>
    <s v="cancelled"/>
    <s v="United Kingdom"/>
    <m/>
    <s v="Not Required"/>
    <s v="Port Natalieport"/>
  </r>
  <r>
    <s v="#2640"/>
    <d v="2026-08-04T14:03:15"/>
    <d v="2026-08-04T14:03:15"/>
    <s v="Lori Davis"/>
    <x v="0"/>
    <s v="lori.davis757@yahoo.com"/>
    <s v="Backpack - 25L"/>
    <s v="Accessories"/>
    <s v="ACC-BPK-25L"/>
    <n v="1"/>
    <n v="32.99"/>
    <s v="FREESHIP"/>
    <n v="0"/>
    <n v="0"/>
    <n v="32.99"/>
    <s v="Google Pay"/>
    <x v="0"/>
    <s v="fulfilled"/>
    <s v="Germany"/>
    <m/>
    <s v="Not Required"/>
    <s v="East Faith"/>
  </r>
  <r>
    <s v="#2641"/>
    <d v="2026-08-04T14:00:13"/>
    <d v="2026-08-04T14:00:13"/>
    <s v="John Carson"/>
    <x v="0"/>
    <s v="john.carson203@yahoo.com"/>
    <s v="Polarized Sunglasses"/>
    <s v="Accessories"/>
    <s v="ACC-SUN-01"/>
    <n v="1"/>
    <n v="16.989999999999998"/>
    <s v="FREESHIP"/>
    <n v="0"/>
    <n v="0"/>
    <n v="16.989999999999998"/>
    <s v="PayPal"/>
    <x v="1"/>
    <s v="cancelled"/>
    <s v="United States"/>
    <s v="New York"/>
    <s v="Valid"/>
    <s v="Port Heathertown"/>
  </r>
  <r>
    <s v="#2642"/>
    <d v="2026-08-04T13:53:53"/>
    <d v="2026-08-04T13:53:53"/>
    <s v="Susan Stark"/>
    <x v="0"/>
    <s v="susan.stark500@yahoo.com"/>
    <s v="Wireless Bluetooth Earbuds"/>
    <s v="Electronics"/>
    <s v="ELC-WBE-01"/>
    <n v="1"/>
    <n v="29.99"/>
    <m/>
    <n v="0"/>
    <n v="4.99"/>
    <n v="34.979999999999997"/>
    <s v="Google Pay"/>
    <x v="3"/>
    <s v="fulfilled"/>
    <s v="Australia"/>
    <m/>
    <s v="Not Required"/>
    <s v="Marshberg"/>
  </r>
  <r>
    <s v="#2643"/>
    <d v="2026-08-04T13:56:17"/>
    <d v="2026-08-04T13:56:17"/>
    <s v="Logan Fox"/>
    <x v="0"/>
    <s v="logan.fox165@gmail.com"/>
    <s v="Scented Soy Candle - Vanilla"/>
    <s v="Home &amp; Kitchen"/>
    <s v="HK-CND-VAN"/>
    <n v="2"/>
    <n v="9.99"/>
    <m/>
    <n v="0"/>
    <n v="5.99"/>
    <n v="25.97"/>
    <s v="PayPal"/>
    <x v="0"/>
    <s v="fulfilled"/>
    <s v="Australia"/>
    <m/>
    <s v="Not Required"/>
    <s v="Smithmouth"/>
  </r>
  <r>
    <s v="#2644"/>
    <d v="2026-08-04T14:02:37"/>
    <d v="2026-08-04T14:02:37"/>
    <s v="Tracy Dominguez"/>
    <x v="0"/>
    <s v="tracy.dominguez23@gmail.com"/>
    <s v="Resistance Bands Set"/>
    <s v="Sports &amp; Outdoors"/>
    <s v="SP-RBS-SET"/>
    <n v="3"/>
    <n v="13.99"/>
    <s v="FREESHIP"/>
    <s v="$0.00"/>
    <n v="0"/>
    <n v="41.97"/>
    <s v="PayPal"/>
    <x v="3"/>
    <s v="refunded"/>
    <s v="United States"/>
    <s v="Illinois"/>
    <s v="Valid"/>
    <s v="West Ashleyside"/>
  </r>
  <r>
    <s v="#2645"/>
    <d v="2026-08-04T13:56:33"/>
    <d v="2026-08-04T13:56:33"/>
    <s v="David Knapp"/>
    <x v="0"/>
    <s v="david.knapp687@yahoo.com"/>
    <s v="Classic Cotton T-Shirt"/>
    <s v="Apparel"/>
    <s v="TSH-BLK-L"/>
    <n v="1"/>
    <n v="14.99"/>
    <m/>
    <n v="0"/>
    <n v="4.99"/>
    <n v="19.98"/>
    <s v="Shopify Payments"/>
    <x v="3"/>
    <s v="pending"/>
    <s v="United States"/>
    <s v="AZ"/>
    <s v="Valid"/>
    <s v="South Carlberg"/>
  </r>
  <r>
    <s v="#2646"/>
    <d v="2026-08-04T13:56:12"/>
    <d v="2026-08-04T13:56:12"/>
    <s v="Sandra Potter"/>
    <x v="0"/>
    <s v="sandra.potter166@yahoo.com"/>
    <s v="Slim Fit Denim Jeans"/>
    <s v="Apparel"/>
    <s v="JNS-BLU-32"/>
    <n v="1"/>
    <n v="39.99"/>
    <m/>
    <n v="0"/>
    <n v="7.99"/>
    <n v="47.98"/>
    <s v="Shopify Payments"/>
    <x v="2"/>
    <s v="fulfilled"/>
    <s v="United States"/>
    <s v="Illinois"/>
    <s v="Valid"/>
    <s v="South Juanview"/>
  </r>
  <r>
    <s v="#2647"/>
    <d v="2026-08-04T14:04:39"/>
    <d v="2026-08-04T14:04:39"/>
    <s v="Jon Lambert"/>
    <x v="0"/>
    <s v="jon.lambert231@icloud.com"/>
    <s v="Adjustable Dumbbell Set"/>
    <s v="Sports &amp; Outdoors"/>
    <s v="SP-DMB-ADJ"/>
    <n v="1"/>
    <n v="89.99"/>
    <m/>
    <n v="0"/>
    <n v="0"/>
    <n v="89.99"/>
    <s v="Apple Pay"/>
    <x v="0"/>
    <s v="cancelled"/>
    <s v="United States"/>
    <s v="Ohio"/>
    <s v="Valid"/>
    <s v="West Ianmouth"/>
  </r>
  <r>
    <s v="#2648"/>
    <d v="2026-08-04T13:53:34"/>
    <d v="2026-08-04T13:53:34"/>
    <s v="Jesse Hammond"/>
    <x v="0"/>
    <s v="jesse.hammond987@gmail.com"/>
    <s v="Wireless Mouse"/>
    <s v="Electronics"/>
    <s v="ELC-MSE-WL"/>
    <n v="1"/>
    <n v="11.99"/>
    <m/>
    <n v="0"/>
    <n v="4.99"/>
    <n v="16.98"/>
    <s v="PayPal"/>
    <x v="0"/>
    <s v="refunded"/>
    <s v="United States"/>
    <s v="Washington"/>
    <s v="Valid"/>
    <s v="Eugenefurt"/>
  </r>
  <r>
    <s v="#2649"/>
    <d v="2026-08-04T13:54:29"/>
    <d v="2026-08-04T13:54:29"/>
    <s v="Kimberly Mitchell"/>
    <x v="0"/>
    <s v="kimberly.mitchell299@gmail.com"/>
    <s v="Running Shoes - Men's"/>
    <s v="Footwear"/>
    <s v="FTW-RUN-M"/>
    <n v="1"/>
    <n v="54.99"/>
    <s v="FREESHIP"/>
    <n v="0"/>
    <n v="0"/>
    <n v="54.99"/>
    <s v="Apple Pay"/>
    <x v="3"/>
    <s v="refunded"/>
    <s v="United States"/>
    <s v="New York"/>
    <s v="Valid"/>
    <s v="Garyton"/>
  </r>
  <r>
    <s v="#2650"/>
    <d v="2026-08-04T13:59:57"/>
    <d v="2026-08-04T13:59:57"/>
    <s v="Lauren Howard"/>
    <x v="0"/>
    <s v="lauren.howard163@icloud.com"/>
    <s v="Polarized Sunglasses"/>
    <s v="Accessories"/>
    <s v="ACC-SUN-01"/>
    <n v="2"/>
    <n v="16.989999999999998"/>
    <m/>
    <n v="0"/>
    <n v="7.99"/>
    <n v="41.97"/>
    <s v="Apple Pay"/>
    <x v="3"/>
    <s v="fulfilled"/>
    <s v="United States"/>
    <s v="California"/>
    <s v="Valid"/>
    <s v="Sullivanhaven"/>
  </r>
  <r>
    <s v="#2651"/>
    <d v="2026-04-08T00:00:00"/>
    <s v="08/04/2026"/>
    <s v="Haley Glover"/>
    <x v="0"/>
    <s v="haley.glover361@yahoo.com"/>
    <s v="Facial Cleanser 200ml"/>
    <s v="Beauty"/>
    <s v="BTY-CLN-200"/>
    <n v="2"/>
    <n v="13.49"/>
    <s v="FREESHIP"/>
    <n v="0"/>
    <n v="0"/>
    <s v="$26.98"/>
    <s v="Shopify Payments"/>
    <x v="0"/>
    <s v="fulfilled"/>
    <s v="Germany"/>
    <m/>
    <s v="Not Required"/>
    <s v="Markside"/>
  </r>
  <r>
    <s v="#2652"/>
    <d v="2026-08-04T14:01:11"/>
    <d v="2026-08-04T14:01:11"/>
    <s v="Tiffany Jones"/>
    <x v="0"/>
    <s v="tiffany.jones564@outlook.com"/>
    <s v="Throw Blanket - Fleece"/>
    <s v="Home &amp; Kitchen"/>
    <s v="HK-BLK-FLC"/>
    <n v="1"/>
    <n v="17.989999999999998"/>
    <m/>
    <n v="0"/>
    <n v="7.99"/>
    <n v="25.98"/>
    <s v="PayPal"/>
    <x v="0"/>
    <s v="refunded"/>
    <s v="Germany"/>
    <m/>
    <s v="Not Required"/>
    <s v="South Juliafort"/>
  </r>
  <r>
    <s v="#2653"/>
    <d v="2026-08-04T13:56:33"/>
    <d v="2026-08-04T13:56:33"/>
    <s v="Jacqueline Graham"/>
    <x v="0"/>
    <s v="jacqueline.graham958@gmail.com"/>
    <s v="Wireless Bluetooth Earbuds"/>
    <s v="Electronics"/>
    <s v="ELC-WBE-01"/>
    <n v="1"/>
    <n v="29.99"/>
    <s v="SAVE20"/>
    <n v="6"/>
    <n v="5.99"/>
    <n v="29.98"/>
    <s v="PayPal"/>
    <x v="2"/>
    <s v="refunded"/>
    <s v="Australia"/>
    <m/>
    <s v="Not Required"/>
    <s v="Georgemouth"/>
  </r>
  <r>
    <s v="#2654"/>
    <d v="2026-08-04T13:53:51"/>
    <d v="2026-08-04T13:53:51"/>
    <s v="Amy Thompson"/>
    <x v="0"/>
    <s v="amy.thompson410@outlook.com"/>
    <s v="Non-Stick Frying Pan 10in"/>
    <s v="Home &amp; Kitchen"/>
    <s v="HK-PAN-10"/>
    <n v="1"/>
    <n v="24.99"/>
    <s v="BFCM25"/>
    <n v="6.25"/>
    <n v="5.99"/>
    <n v="24.73"/>
    <s v="PayPal"/>
    <x v="1"/>
    <s v="fulfilled"/>
    <s v="United States"/>
    <s v="Arizona"/>
    <s v="Valid"/>
    <s v="Aguilarmouth"/>
  </r>
  <r>
    <s v="#2655"/>
    <d v="2026-08-04T13:53:56"/>
    <d v="2026-08-04T13:53:56"/>
    <s v="Seth Price"/>
    <x v="0"/>
    <s v="seth.price179@gmail.com"/>
    <s v="Yoga Mat - Extra Thick"/>
    <s v="Sports &amp; Outdoors"/>
    <s v="SP-YGM-EX"/>
    <n v="2"/>
    <n v="22.99"/>
    <s v="VIP15"/>
    <n v="6.9"/>
    <n v="4.99"/>
    <n v="44.07"/>
    <s v="PayPal"/>
    <x v="1"/>
    <s v="fulfilled"/>
    <s v="United States"/>
    <s v="Canada"/>
    <s v="Valid"/>
    <s v="West Anthony"/>
  </r>
  <r>
    <s v="#2656"/>
    <d v="2026-08-04T14:07:03"/>
    <d v="2026-08-04T14:07:03"/>
    <s v="Andrea Martinez"/>
    <x v="0"/>
    <s v="andrea.martinez756@yahoo.com"/>
    <s v="Portable Power Bank 10000mAh"/>
    <s v="Electronics"/>
    <s v="ELC-PWB-10K"/>
    <n v="2"/>
    <n v="21.99"/>
    <s v="BFCM25"/>
    <n v="10.99"/>
    <n v="7.99"/>
    <n v="40.98"/>
    <s v="Apple Pay"/>
    <x v="0"/>
    <s v="pending"/>
    <s v="Australia"/>
    <m/>
    <s v="Not Required"/>
    <s v="Lake Brittneyton"/>
  </r>
  <r>
    <s v="#2657"/>
    <d v="2026-08-04T13:56:04"/>
    <d v="2026-08-04T13:56:04"/>
    <s v="Erika Maxwell"/>
    <x v="0"/>
    <s v="erika.maxwell281@gmail.com"/>
    <s v="Slim Fit Denim Jeans"/>
    <s v="Apparel"/>
    <s v="JNS-BLU-32"/>
    <n v="2"/>
    <n v="39.99"/>
    <s v="FREESHIP"/>
    <n v="0"/>
    <n v="0"/>
    <s v="$79.98"/>
    <s v="Shopify Payments"/>
    <x v="0"/>
    <s v="fulfilled"/>
    <s v="United States"/>
    <s v="Washington"/>
    <s v="Valid"/>
    <s v="Kristiberg"/>
  </r>
  <r>
    <s v="#2658"/>
    <d v="2026-08-04T14:06:26"/>
    <d v="2026-08-04T14:06:26"/>
    <s v="Stacey Johnson"/>
    <x v="1"/>
    <m/>
    <s v="Wireless Bluetooth Earbuds"/>
    <s v="Electronics"/>
    <s v="ELC-WBE-01"/>
    <n v="4"/>
    <n v="29.99"/>
    <m/>
    <n v="0"/>
    <n v="0"/>
    <n v="119.96"/>
    <s v="PayPal"/>
    <x v="0"/>
    <s v="refunded"/>
    <s v="United States"/>
    <s v="Florida"/>
    <s v="Valid"/>
    <s v="North Daniel"/>
  </r>
  <r>
    <s v="#2659"/>
    <d v="2026-08-04T13:55:01"/>
    <d v="2026-08-04T13:55:01"/>
    <s v="Nicole Taylor"/>
    <x v="0"/>
    <s v="nicole.taylor607@icloud.com"/>
    <s v="Stainless Steel Water Bottle"/>
    <s v="Home &amp; Kitchen"/>
    <s v="HK-BTL-750"/>
    <n v="1"/>
    <n v="12.99"/>
    <s v="WELCOME10"/>
    <n v="1.3"/>
    <n v="5.99"/>
    <n v="17.68"/>
    <s v="PayPal"/>
    <x v="0"/>
    <s v="fulfilled"/>
    <s v="United States"/>
    <s v="Illinois"/>
    <s v="Valid"/>
    <s v="Matthewchester"/>
  </r>
  <r>
    <s v="#2660"/>
    <d v="2026-08-04T14:00:53"/>
    <d v="2026-08-04T14:00:53"/>
    <s v="Autumn Stewart"/>
    <x v="0"/>
    <s v="autumn.stewart565@outlook.com"/>
    <s v="Backpack - 25L"/>
    <s v="Accessories"/>
    <s v="ACC-BPK-25L"/>
    <n v="2"/>
    <s v="$32.99"/>
    <m/>
    <n v="0"/>
    <n v="5.99"/>
    <n v="71.97"/>
    <s v="Apple Pay"/>
    <x v="1"/>
    <s v="pending"/>
    <s v="United Kingdom"/>
    <m/>
    <s v="Not Required"/>
    <s v="Patriciaside"/>
  </r>
  <r>
    <s v="#2661"/>
    <d v="2026-08-04T13:59:38"/>
    <d v="2026-08-04T13:59:38"/>
    <s v="Sarah Webb"/>
    <x v="0"/>
    <s v="sarah.webb997@outlook.com"/>
    <s v="Scented Soy Candle - Vanilla"/>
    <s v="Home &amp; Kitchen"/>
    <s v="HK-CND-VAN"/>
    <n v="1"/>
    <n v="9.99"/>
    <s v="VIP15"/>
    <n v="1.5"/>
    <n v="4.99"/>
    <n v="13.48"/>
    <s v="Apple Pay"/>
    <x v="1"/>
    <s v="cancelled"/>
    <s v="Germany"/>
    <m/>
    <s v="Not Required"/>
    <s v="Weaverborough"/>
  </r>
  <r>
    <s v="#2662"/>
    <d v="2026-08-04T14:05:08"/>
    <d v="2026-08-04T14:05:08"/>
    <s v="Denise Phillips"/>
    <x v="0"/>
    <s v="denise.phillips810@gmail.com"/>
    <s v="Resistance Bands Set"/>
    <s v="Sports &amp; Outdoors"/>
    <s v="SP-RBS-SET"/>
    <n v="1"/>
    <s v="$13.99"/>
    <s v="SAVE20"/>
    <s v="$2.80"/>
    <n v="4.99"/>
    <n v="16.18"/>
    <s v="Shopify Payments"/>
    <x v="2"/>
    <s v="refunded"/>
    <s v="United States"/>
    <s v="Florida"/>
    <s v="Valid"/>
    <s v="Perkinsville"/>
  </r>
  <r>
    <s v="#2663"/>
    <d v="2026-08-04T14:08:19"/>
    <d v="2026-08-04T14:08:19"/>
    <s v="  Dustin Griffin"/>
    <x v="0"/>
    <s v="dustin.griffin434@gmail.com"/>
    <s v="Non-Stick Frying Pan 10in"/>
    <s v="Home &amp; Kitchen"/>
    <s v="HK-PAN-10"/>
    <n v="1"/>
    <n v="24.99"/>
    <s v="BFCM25"/>
    <n v="6.25"/>
    <n v="7.99"/>
    <n v="26.73"/>
    <s v="PayPal"/>
    <x v="3"/>
    <s v="refunded"/>
    <s v="United States"/>
    <s v="North Carolina"/>
    <s v="Valid"/>
    <s v="Lauraburgh"/>
  </r>
  <r>
    <s v="#2664"/>
    <d v="2026-08-04T14:02:06"/>
    <d v="2026-08-04T14:02:06"/>
    <s v="Tyler Williams"/>
    <x v="1"/>
    <m/>
    <s v="Portable Power Bank 10000mAh"/>
    <s v="Electronics"/>
    <s v="ELC-PWB-10K"/>
    <n v="4"/>
    <n v="21.99"/>
    <m/>
    <n v="0"/>
    <n v="0"/>
    <n v="87.96"/>
    <s v="Shopify Payments"/>
    <x v="1"/>
    <s v="fulfilled"/>
    <s v="Australia"/>
    <m/>
    <s v="Not Required"/>
    <s v="Michelleland"/>
  </r>
  <r>
    <s v="#2665"/>
    <d v="2026-08-04T13:57:13"/>
    <d v="2026-08-04T13:57:13"/>
    <s v="James Castro"/>
    <x v="0"/>
    <s v="james.castro923@icloud.com"/>
    <s v="Adjustable Dumbbell Set"/>
    <s v="Sports &amp; Outdoors"/>
    <s v="SP-DMB-ADJ"/>
    <n v="4"/>
    <n v="89.99"/>
    <m/>
    <n v="0"/>
    <n v="0"/>
    <n v="359.96"/>
    <s v="Apple Pay"/>
    <x v="3"/>
    <s v="refunded"/>
    <s v="Pakistan"/>
    <m/>
    <s v="Not Required"/>
    <s v="West Christopherberg"/>
  </r>
  <r>
    <s v="#2666"/>
    <d v="2026-08-04T14:01:38"/>
    <d v="2026-08-04T14:01:38"/>
    <s v="Glenn Smith"/>
    <x v="0"/>
    <s v="glenn.smith305@gmail.com"/>
    <s v="Resistance Bands Set"/>
    <s v="Sports &amp; Outdoors"/>
    <s v="SP-RBS-SET"/>
    <n v="1"/>
    <n v="13.99"/>
    <m/>
    <n v="0"/>
    <n v="5.99"/>
    <n v="19.98"/>
    <s v="Google Pay"/>
    <x v="0"/>
    <s v="refunded"/>
    <s v="Canada"/>
    <m/>
    <s v="Not Required"/>
    <s v="Port Jasminefort"/>
  </r>
  <r>
    <s v="#2667"/>
    <d v="2026-08-04T14:00:08"/>
    <d v="2026-08-04T14:00:08"/>
    <s v="John Carson"/>
    <x v="0"/>
    <s v="john.carson203@yahoo.com"/>
    <s v="Wireless Bluetooth Earbuds"/>
    <s v="Electronics"/>
    <s v="ELC-WBE-01"/>
    <n v="1"/>
    <n v="29.99"/>
    <s v="BFCM25"/>
    <n v="7.5"/>
    <n v="7.99"/>
    <n v="30.48"/>
    <s v="Shopify Payments"/>
    <x v="0"/>
    <s v="fulfilled"/>
    <s v="United States"/>
    <s v="TX"/>
    <s v="Valid"/>
    <s v="Gibbsbury"/>
  </r>
  <r>
    <s v="#2668"/>
    <d v="2026-08-04T13:55:22"/>
    <d v="2026-08-04T13:55:22"/>
    <s v="Timothy Hodges"/>
    <x v="0"/>
    <s v="timothy.hodges687@icloud.com"/>
    <s v="Kids Building Blocks Set"/>
    <s v="Toys"/>
    <s v="TOY-BLK-SET"/>
    <n v="2"/>
    <n v="27.99"/>
    <s v="VIP15"/>
    <n v="8.4"/>
    <n v="5.99"/>
    <n v="53.57"/>
    <s v="PayPal"/>
    <x v="1"/>
    <s v="refunded"/>
    <s v="Australia"/>
    <m/>
    <s v="Not Required"/>
    <s v="South Sabrinatown"/>
  </r>
  <r>
    <s v="#2669"/>
    <d v="2026-08-04T14:08:19"/>
    <d v="2026-08-04T14:08:19"/>
    <s v="Peter Alvarez"/>
    <x v="0"/>
    <s v="peter.alvarez465@yahoo.com"/>
    <s v="Scented Soy Candle - Vanilla"/>
    <s v="Home &amp; Kitchen"/>
    <s v="HK-CND-VAN"/>
    <n v="1"/>
    <n v="9.99"/>
    <m/>
    <n v="0"/>
    <n v="5.99"/>
    <n v="15.98"/>
    <s v="Credit Card"/>
    <x v="1"/>
    <s v="fulfilled"/>
    <s v="United States"/>
    <s v="Washington"/>
    <s v="Valid"/>
    <s v="Lake Mark"/>
  </r>
  <r>
    <s v="#2670"/>
    <d v="2026-08-04T14:02:42"/>
    <d v="2026-08-04T14:02:42"/>
    <s v="Donald Davis"/>
    <x v="0"/>
    <s v="donald.davis404@icloud.com"/>
    <s v="Wireless Bluetooth Earbuds"/>
    <s v="Electronics"/>
    <s v="ELC-WBE-01"/>
    <n v="1"/>
    <n v="29.99"/>
    <s v="FREESHIP"/>
    <n v="0"/>
    <n v="0"/>
    <n v="29.99"/>
    <s v="PayPal"/>
    <x v="1"/>
    <s v="fulfilled"/>
    <s v="Canada"/>
    <m/>
    <s v="Not Required"/>
    <s v="New Franciscoshire"/>
  </r>
  <r>
    <s v="#2671"/>
    <d v="2026-08-04T14:02:21"/>
    <d v="2026-08-04T14:02:21"/>
    <s v="Christy Phillips"/>
    <x v="0"/>
    <s v="christy.phillips291@gmail.com"/>
    <s v="Hooded Sweatshirt"/>
    <s v="Apparel"/>
    <s v="APR-HOD-GRY"/>
    <n v="1"/>
    <n v="34.99"/>
    <m/>
    <n v="0"/>
    <n v="5.99"/>
    <n v="40.98"/>
    <s v="Shopify Payments"/>
    <x v="1"/>
    <s v="fulfilled"/>
    <s v="Pakistan"/>
    <m/>
    <s v="Not Required"/>
    <s v="East David"/>
  </r>
  <r>
    <s v="#2672"/>
    <d v="2026-08-04T13:56:39"/>
    <d v="2026-08-04T13:56:39"/>
    <s v="TINA SINGH"/>
    <x v="0"/>
    <s v="tina.singh98@icloud.com"/>
    <s v="Classic Cotton T-Shirt"/>
    <s v="Apparel"/>
    <s v="TSH-BLK-M"/>
    <n v="1"/>
    <n v="14.99"/>
    <s v="FREESHIP"/>
    <n v="0"/>
    <n v="0"/>
    <n v="14.99"/>
    <s v="Google Pay"/>
    <x v="0"/>
    <s v="cancelled"/>
    <s v="United States"/>
    <s v="Florida"/>
    <s v="Valid"/>
    <s v="New Robertchester"/>
  </r>
  <r>
    <s v="#2673"/>
    <d v="2026-08-04T14:04:16"/>
    <d v="2026-08-04T14:04:16"/>
    <s v="Catherine Vang"/>
    <x v="0"/>
    <s v="catherine.vang600@yahoo.com"/>
    <s v="Scented Soy Candle - Vanilla"/>
    <s v="Home &amp; Kitchen"/>
    <s v="HK-CND-VAN"/>
    <n v="1"/>
    <n v="9.99"/>
    <m/>
    <s v="$0.00"/>
    <n v="4.99"/>
    <n v="14.98"/>
    <s v="PayPal"/>
    <x v="1"/>
    <s v="refunded"/>
    <s v="Australia"/>
    <m/>
    <s v="Not Required"/>
    <s v="Port Eileen"/>
  </r>
  <r>
    <s v="#2674"/>
    <d v="2026-08-04T13:53:51"/>
    <d v="2026-08-04T13:53:51"/>
    <s v="Kendra Price"/>
    <x v="1"/>
    <m/>
    <s v="Running Shoes - Womens"/>
    <s v="Footwear"/>
    <s v="FTW-RUN-W"/>
    <n v="1"/>
    <n v="54.99"/>
    <m/>
    <n v="0"/>
    <n v="7.99"/>
    <n v="62.98"/>
    <s v="Credit Card"/>
    <x v="0"/>
    <s v="fulfilled"/>
    <s v="Germany"/>
    <m/>
    <s v="Not Required"/>
    <s v="Jonathanville"/>
  </r>
  <r>
    <s v="#2675"/>
    <d v="2026-08-04T13:59:20"/>
    <d v="2026-08-04T13:59:20"/>
    <s v="Russell Walton"/>
    <x v="0"/>
    <s v="russell.walton605@icloud.com"/>
    <s v="Kids Building Blocks Set"/>
    <s v="Toys"/>
    <s v="TOY-BLK-SET"/>
    <n v="2"/>
    <n v="27.99"/>
    <s v="FREESHIP"/>
    <n v="0"/>
    <n v="0"/>
    <n v="55.98"/>
    <s v="Credit Card"/>
    <x v="0"/>
    <s v="cancelled"/>
    <s v="United States"/>
    <s v="North Carolina"/>
    <s v="Valid"/>
    <s v="South Julie"/>
  </r>
  <r>
    <s v="#2676"/>
    <d v="2026-08-04T13:59:43"/>
    <d v="2026-08-04T13:59:43"/>
    <s v="Samuel Padilla"/>
    <x v="0"/>
    <s v="samuel.padilla79@gmail.com"/>
    <s v="Running Shoes - Men's"/>
    <s v="Footwear"/>
    <s v="FTW-RUN-M"/>
    <n v="2"/>
    <n v="54.99"/>
    <s v="SAVE20"/>
    <n v="22"/>
    <n v="0"/>
    <n v="87.98"/>
    <s v="Credit Card"/>
    <x v="1"/>
    <s v="fulfilled"/>
    <s v="United States"/>
    <s v="Washington"/>
    <s v="Valid"/>
    <s v="Luisbury"/>
  </r>
  <r>
    <s v="#2677"/>
    <d v="2026-08-04T13:53:53"/>
    <d v="2026-08-04T13:53:53"/>
    <s v="DEREK RICHARDSON"/>
    <x v="0"/>
    <s v="derek.richardson414@outlook.com"/>
    <s v="Portable Power Bank 10000mAh"/>
    <s v="Electronics"/>
    <s v="ELC-PWB-10K"/>
    <n v="1"/>
    <n v="21.99"/>
    <m/>
    <n v="0"/>
    <n v="4.99"/>
    <n v="26.98"/>
    <s v="PayPal"/>
    <x v="2"/>
    <s v="refunded"/>
    <s v="United Kingdom"/>
    <m/>
    <s v="Not Required"/>
    <s v="South Raymond"/>
  </r>
  <r>
    <s v="#2678"/>
    <d v="2026-08-04T13:56:55"/>
    <d v="2026-08-04T13:56:55"/>
    <s v="Christy Phillips"/>
    <x v="0"/>
    <s v="christy.phillips291@gmail.com"/>
    <s v="Yoga Mat - Extra Thick"/>
    <s v="Sports &amp; Outdoors"/>
    <s v="SP-YGM-EX"/>
    <n v="3"/>
    <s v="$22.99"/>
    <s v="FREESHIP"/>
    <n v="0"/>
    <n v="0"/>
    <n v="68.97"/>
    <s v="Shopify Payments"/>
    <x v="3"/>
    <s v="fulfilled"/>
    <s v="Pakistan"/>
    <m/>
    <s v="Not Required"/>
    <s v="New Gordon"/>
  </r>
  <r>
    <s v="#2679"/>
    <d v="2026-08-04T14:05:54"/>
    <d v="2026-08-04T14:05:54"/>
    <s v="Dustin Mccoy"/>
    <x v="0"/>
    <s v="dustin.mccoy570@gmail.com"/>
    <s v="Phone Case - Clear"/>
    <s v="Electronics"/>
    <s v="ELC-CSE-CLR"/>
    <n v="2"/>
    <n v="8.99"/>
    <s v="FREESHIP"/>
    <s v="$0.00"/>
    <n v="0"/>
    <n v="17.98"/>
    <s v="Credit Card"/>
    <x v="3"/>
    <s v="fulfilled"/>
    <s v="Canada"/>
    <m/>
    <s v="Not Required"/>
    <s v="West Ryanville"/>
  </r>
  <r>
    <s v="#2680"/>
    <d v="2026-08-04T14:07:25"/>
    <d v="2026-08-04T14:07:25"/>
    <s v="james castro"/>
    <x v="1"/>
    <m/>
    <s v="Classic Cotton T-Shirt"/>
    <s v="Apparel"/>
    <s v="TSH-BLK-L"/>
    <n v="2"/>
    <n v="14.99"/>
    <s v="WELCOME10"/>
    <n v="3"/>
    <n v="7.99"/>
    <n v="34.97"/>
    <s v="Apple Pay"/>
    <x v="2"/>
    <s v="refunded"/>
    <s v="Pakistan"/>
    <m/>
    <s v="Not Required"/>
    <s v="South Manuel"/>
  </r>
  <r>
    <s v="#2682"/>
    <d v="2026-08-04T00:00:00"/>
    <s v="2026-08-04"/>
    <s v="Donald Davis"/>
    <x v="0"/>
    <s v="donald.davis404@icloud.com"/>
    <s v="Wireless Bluetooth Earbuds"/>
    <s v="Electronics"/>
    <s v="ELC-WBE-01"/>
    <n v="1"/>
    <n v="29.99"/>
    <s v="FREESHIP"/>
    <n v="0"/>
    <n v="0"/>
    <n v="29.99"/>
    <s v="Credit Card"/>
    <x v="1"/>
    <s v="fulfilled"/>
    <s v="Canada"/>
    <m/>
    <s v="Not Required"/>
    <s v="Port Deborahchester"/>
  </r>
  <r>
    <s v="#2683"/>
    <d v="2026-08-04T14:03:49"/>
    <d v="2026-08-04T14:03:49"/>
    <s v="Chad Smith"/>
    <x v="0"/>
    <s v="chad.smith773@icloud.com"/>
    <s v="Running Shoes - Women's"/>
    <s v="Footwear"/>
    <s v="FTW-RUN-W"/>
    <n v="1"/>
    <n v="54.99"/>
    <m/>
    <n v="0"/>
    <n v="5.99"/>
    <s v="$60.98"/>
    <s v="Shopify Payments"/>
    <x v="0"/>
    <s v="fulfilled"/>
    <s v="Pakistan"/>
    <m/>
    <s v="Not Required"/>
    <s v="Michelleview"/>
  </r>
  <r>
    <s v="#2684"/>
    <d v="2026-08-04T13:54:04"/>
    <d v="2026-08-04T13:54:04"/>
    <s v="  Linda Byrd"/>
    <x v="0"/>
    <s v="linda.byrd87@outlook.com"/>
    <s v="Backpack - 25L"/>
    <s v="Accessories"/>
    <s v="ACC-BPK-25L"/>
    <n v="1"/>
    <n v="32.99"/>
    <s v="WELCOME10"/>
    <n v="3.3"/>
    <n v="4.99"/>
    <n v="34.68"/>
    <s v="Apple Pay"/>
    <x v="2"/>
    <s v="fulfilled"/>
    <s v="United States"/>
    <s v="Illinois"/>
    <s v="Valid"/>
    <s v="Lake Christopherberg"/>
  </r>
  <r>
    <s v="#2685"/>
    <d v="2026-08-04T13:54:00"/>
    <d v="2026-08-04T13:54:00"/>
    <s v="Kiara Burke"/>
    <x v="0"/>
    <s v="kiara.burke246@yahoo.com"/>
    <s v="Throw Blanket - Fleece"/>
    <s v="Home &amp; Kitchen"/>
    <s v="HK-BLK-FLC"/>
    <n v="1"/>
    <n v="17.989999999999998"/>
    <m/>
    <n v="0"/>
    <n v="5.99"/>
    <n v="23.98"/>
    <s v="Apple Pay"/>
    <x v="1"/>
    <s v="fulfilled"/>
    <s v="Germany"/>
    <m/>
    <s v="Not Required"/>
    <s v="Lake Patriciaview"/>
  </r>
  <r>
    <s v="#2686"/>
    <d v="2026-08-04T14:03:35"/>
    <d v="2026-08-04T14:03:35"/>
    <s v="erika maxwell"/>
    <x v="0"/>
    <s v="erika.maxwell281@gmail.com"/>
    <s v="Running Shoes - Women's"/>
    <s v="Footwear"/>
    <s v="FTW-RUN-W"/>
    <n v="2"/>
    <n v="54.99"/>
    <s v="FREESHIP"/>
    <n v="0"/>
    <n v="0"/>
    <n v="109.98"/>
    <s v="Google Pay"/>
    <x v="2"/>
    <s v="fulfilled"/>
    <s v="United States"/>
    <s v="Arizona"/>
    <s v="Valid"/>
    <s v="Wilsonview"/>
  </r>
  <r>
    <s v="#2688"/>
    <d v="2026-08-04T14:05:24"/>
    <d v="2026-08-04T14:05:24"/>
    <s v="Chad Smith"/>
    <x v="0"/>
    <s v="chad.smith773@icloud.com"/>
    <s v="Yoga Mat - Extra Thick"/>
    <s v="Sports &amp; Outdoors"/>
    <s v="SP-YGM-EX"/>
    <n v="1"/>
    <n v="22.99"/>
    <m/>
    <s v="$0.00"/>
    <n v="5.99"/>
    <n v="28.98"/>
    <s v="Apple Pay"/>
    <x v="0"/>
    <s v="fulfilled"/>
    <s v="Pakistan"/>
    <m/>
    <s v="Not Required"/>
    <s v="Smithview"/>
  </r>
  <r>
    <s v="#2689"/>
    <d v="2026-08-04T13:56:59"/>
    <d v="2026-08-04T13:56:59"/>
    <s v="Dustin Mccoy"/>
    <x v="0"/>
    <s v="dustin.mccoy570@gmail.com"/>
    <s v="Classic Cotton T-Shirt"/>
    <s v="Apparel"/>
    <s v="TSH-BLK-M"/>
    <n v="1"/>
    <n v="14.99"/>
    <m/>
    <n v="0"/>
    <n v="4.99"/>
    <n v="19.98"/>
    <s v="Shopify Payments"/>
    <x v="2"/>
    <s v="fulfilled"/>
    <s v="Canada"/>
    <m/>
    <s v="Not Required"/>
    <s v="Sarabury"/>
  </r>
  <r>
    <s v="#2690"/>
    <d v="2026-08-04T14:01:01"/>
    <d v="2026-08-04T14:01:01"/>
    <s v="Stacy Webb"/>
    <x v="0"/>
    <s v="stacy.webb586@yahoo.com"/>
    <s v="USB C Fast Charger 20W"/>
    <s v="Electronics"/>
    <s v="ELC-CHG-20"/>
    <n v="1"/>
    <s v="$15.49"/>
    <s v="VIP15"/>
    <n v="2.3199999999999998"/>
    <n v="7.99"/>
    <n v="21.16"/>
    <s v="PayPal"/>
    <x v="3"/>
    <s v="fulfilled"/>
    <s v="United States"/>
    <s v="NC"/>
    <s v="Valid"/>
    <s v="Andrewton"/>
  </r>
  <r>
    <s v="#2691"/>
    <d v="2026-08-04T14:06:28"/>
    <d v="2026-08-04T14:06:28"/>
    <s v="Brian Ruiz"/>
    <x v="0"/>
    <s v="brian.ruiz246@gmail.com"/>
    <s v="Classic Cotton T-Shirt"/>
    <s v="Apparel"/>
    <s v="TSH-BLK-M"/>
    <n v="1"/>
    <n v="14.99"/>
    <s v="WELCOME10"/>
    <s v="$1.50"/>
    <n v="4.99"/>
    <n v="18.48"/>
    <s v="Credit Card"/>
    <x v="3"/>
    <s v="refunded"/>
    <s v="Germany"/>
    <m/>
    <s v="Not Required"/>
    <s v="Veronicaborough"/>
  </r>
  <r>
    <s v="#2692"/>
    <d v="2026-08-04T13:56:51"/>
    <d v="2026-08-04T13:56:51"/>
    <s v="Natalie Dixon"/>
    <x v="0"/>
    <s v="natalie.dixon388@outlook.com"/>
    <s v="Vitamin C Serum 30ml"/>
    <s v="Beauty"/>
    <s v="BTY-SRM-30"/>
    <n v="1"/>
    <n v="24.99"/>
    <m/>
    <n v="0"/>
    <n v="7.99"/>
    <n v="32.979999999999997"/>
    <s v="Google Pay"/>
    <x v="2"/>
    <s v="pending"/>
    <s v="United States"/>
    <s v="Canada"/>
    <s v="Valid"/>
    <s v="New Sarahfurt"/>
  </r>
  <r>
    <s v="#2693"/>
    <d v="2026-08-04T14:06:36"/>
    <d v="2026-08-04T14:06:36"/>
    <s v="Christy Phillips"/>
    <x v="0"/>
    <s v="christy.phillips291@gmail.com"/>
    <s v="Non-Stick Frying Pan 10in"/>
    <s v="Home &amp; Kitchen"/>
    <s v="HK-PAN-10"/>
    <n v="1"/>
    <n v="24.99"/>
    <s v="WELCOME10"/>
    <n v="2.5"/>
    <n v="4.99"/>
    <n v="27.48"/>
    <s v="Apple Pay"/>
    <x v="2"/>
    <s v="fulfilled"/>
    <s v="Pakistan"/>
    <m/>
    <s v="Not Required"/>
    <s v="Glennmouth"/>
  </r>
  <r>
    <s v="#2694"/>
    <d v="2026-08-04T13:57:55"/>
    <d v="2026-08-04T13:57:55"/>
    <s v="Megan Herman"/>
    <x v="0"/>
    <s v="megan.herman268@yahoo.com"/>
    <s v="Vitamin C Serum 30ml"/>
    <s v="Beauty"/>
    <s v="BTY-SRM-30"/>
    <n v="1"/>
    <n v="24.99"/>
    <s v="VIP15"/>
    <n v="3.75"/>
    <n v="7.99"/>
    <n v="29.23"/>
    <s v="Shopify Payments"/>
    <x v="3"/>
    <s v="cancelled"/>
    <s v="United States"/>
    <s v="North Carolina"/>
    <s v="Valid"/>
    <s v="North Rogerberg"/>
  </r>
  <r>
    <s v="#2695"/>
    <d v="2026-08-04T14:00:08"/>
    <d v="2026-08-04T14:00:08"/>
    <s v="Ian Morris"/>
    <x v="0"/>
    <s v="ian.morris90@outlook.com"/>
    <s v="Scented Soy Candle - Vanilla"/>
    <s v="Home &amp; Kitchen"/>
    <s v="HK-CND-VAN"/>
    <n v="1"/>
    <s v="$9.99"/>
    <m/>
    <n v="0"/>
    <n v="7.99"/>
    <n v="17.98"/>
    <s v="PayPal"/>
    <x v="2"/>
    <s v="fulfilled"/>
    <s v="Pakistan"/>
    <m/>
    <s v="Not Required"/>
    <s v="Alimouth"/>
  </r>
  <r>
    <s v="#2696"/>
    <d v="2026-08-04T14:04:42"/>
    <d v="2026-08-04T14:04:42"/>
    <s v="Joshua Ayers"/>
    <x v="0"/>
    <s v="joshua.ayers935@yahoo.com"/>
    <s v="USB-C Fast Charger 20W"/>
    <s v="Electronics"/>
    <s v="ELC-CHG-20"/>
    <n v="2"/>
    <n v="15.49"/>
    <s v="VIP15"/>
    <n v="4.6500000000000004"/>
    <n v="5.99"/>
    <n v="32.32"/>
    <s v="Apple Pay"/>
    <x v="0"/>
    <s v="fulfilled"/>
    <s v="Germany"/>
    <m/>
    <s v="Not Required"/>
    <s v="New Brandon"/>
  </r>
  <r>
    <s v="#2697"/>
    <d v="2026-08-04T14:01:30"/>
    <d v="2026-08-04T14:01:30"/>
    <s v="Patrick Richardson"/>
    <x v="0"/>
    <s v="patrick.richardson270@icloud.com"/>
    <s v="Scented Soy Candle - Vanilla"/>
    <s v="Home &amp; Kitchen"/>
    <s v="HK-CND-VAN"/>
    <n v="1"/>
    <n v="9.99"/>
    <m/>
    <n v="0"/>
    <n v="4.99"/>
    <n v="14.98"/>
    <s v="PayPal"/>
    <x v="3"/>
    <s v="cancelled"/>
    <s v="United States"/>
    <s v="Texas"/>
    <s v="Valid"/>
    <s v="West Melissa"/>
  </r>
  <r>
    <s v="#2698"/>
    <d v="2026-08-04T13:57:15"/>
    <d v="2026-08-04T13:57:15"/>
    <s v="Marcus Sloan"/>
    <x v="0"/>
    <s v="marcus.sloan49@icloud.com"/>
    <s v="Stainless Steel Water Bottle"/>
    <s v="Home &amp; Kitchen"/>
    <s v="HK-BTL-750"/>
    <n v="2"/>
    <n v="12.99"/>
    <s v="WELCOME10"/>
    <s v="$2.60"/>
    <n v="5.99"/>
    <n v="29.37"/>
    <s v="Apple Pay"/>
    <x v="3"/>
    <s v="fulfilled"/>
    <s v="United States"/>
    <s v="Illinois"/>
    <s v="Valid"/>
    <s v="New Michael"/>
  </r>
  <r>
    <s v="#2699"/>
    <d v="2026-08-04T13:57:44"/>
    <d v="2026-08-04T13:57:44"/>
    <s v="Pamela Miller"/>
    <x v="0"/>
    <s v="pamela.miller171@icloud.com"/>
    <s v="Hooded Sweatshirt"/>
    <s v="Apparel"/>
    <s v="APR-HOD-GRY"/>
    <n v="4"/>
    <n v="34.99"/>
    <m/>
    <n v="0"/>
    <n v="0"/>
    <n v="139.96"/>
    <s v="Shopify Payments"/>
    <x v="1"/>
    <s v="fulfilled"/>
    <s v="United States"/>
    <s v="North Carolina"/>
    <s v="Valid"/>
    <s v="New Madison"/>
  </r>
  <r>
    <s v="#2700"/>
    <d v="2026-08-04T13:59:07"/>
    <d v="2026-08-04T13:59:07"/>
    <s v="Richard Zavala"/>
    <x v="1"/>
    <m/>
    <s v="Yoga Mat - Extra Thick"/>
    <s v="Sports &amp; Outdoors"/>
    <s v="SP-YGM-EX"/>
    <n v="1"/>
    <n v="22.99"/>
    <m/>
    <n v="0"/>
    <n v="5.99"/>
    <n v="28.98"/>
    <s v="Shopify Payments"/>
    <x v="0"/>
    <s v="fulfilled"/>
    <s v="Canada"/>
    <m/>
    <s v="Not Required"/>
    <s v="Markbury"/>
  </r>
  <r>
    <s v="#2701"/>
    <d v="2026-08-04T13:57:21"/>
    <d v="2026-08-04T13:57:21"/>
    <s v="John Carson"/>
    <x v="0"/>
    <s v="john.carson203@yahoo.com"/>
    <s v="Hooded Sweatshirt"/>
    <s v="Apparel"/>
    <s v="APR-HOD-GRY"/>
    <n v="1"/>
    <n v="34.99"/>
    <s v="FREESHIP"/>
    <s v="$0.00"/>
    <n v="0"/>
    <n v="34.99"/>
    <s v="Apple Pay"/>
    <x v="1"/>
    <s v="fulfilled"/>
    <s v="United States"/>
    <s v="WA"/>
    <s v="Valid"/>
    <s v="Kennethshire"/>
  </r>
  <r>
    <s v="#2702"/>
    <d v="2026-08-04T13:54:06"/>
    <d v="2026-08-04T13:54:06"/>
    <s v="Shelly Griffith"/>
    <x v="0"/>
    <s v="shelly.griffith342@icloud.com"/>
    <s v="Phone Case - Clear"/>
    <s v="Electronics"/>
    <s v="ELC-CSE-CLR"/>
    <n v="1"/>
    <n v="8.99"/>
    <s v="SAVE20"/>
    <n v="1.8"/>
    <n v="5.99"/>
    <n v="13.18"/>
    <s v="Credit Card"/>
    <x v="2"/>
    <s v="fulfilled"/>
    <s v="Australia"/>
    <m/>
    <s v="Not Required"/>
    <s v="North Karenchester"/>
  </r>
  <r>
    <s v="#2703"/>
    <d v="2026-08-04T13:58:16"/>
    <d v="2026-08-04T13:58:16"/>
    <s v="THOMAS ROJAS"/>
    <x v="0"/>
    <s v="thomas.rojas667@icloud.com"/>
    <s v="Yoga Mat - Extra Thick"/>
    <s v="Sports &amp; Outdoors"/>
    <s v="SP-YGM-EX"/>
    <n v="2"/>
    <n v="22.99"/>
    <m/>
    <n v="0"/>
    <n v="5.99"/>
    <n v="51.97"/>
    <s v="Credit Card"/>
    <x v="0"/>
    <s v="fulfilled"/>
    <s v="United States"/>
    <s v="Texas"/>
    <s v="Valid"/>
    <s v="East Catherinechester"/>
  </r>
  <r>
    <s v="#2705"/>
    <d v="2026-08-04T14:05:55"/>
    <d v="2026-08-04T14:05:55"/>
    <s v="Ronald Stanley"/>
    <x v="0"/>
    <s v="ronald.stanley7@yahoo.com"/>
    <s v="Running Shoes - Women's"/>
    <s v="Footwear"/>
    <s v="FTW-RUN-W"/>
    <n v="1"/>
    <n v="54.99"/>
    <s v="SAVE20"/>
    <n v="11"/>
    <n v="4.99"/>
    <n v="48.98"/>
    <s v="Shopify Payments"/>
    <x v="0"/>
    <s v="fulfilled"/>
    <s v="United States"/>
    <s v="Ohio"/>
    <s v="Valid"/>
    <s v="Castillostad"/>
  </r>
  <r>
    <s v="#2706"/>
    <d v="2026-08-04T13:55:04"/>
    <d v="2026-08-04T13:55:04"/>
    <s v="Kayla Morris"/>
    <x v="0"/>
    <s v="kayla.morris339@outlook.com"/>
    <s v="Kids Building Blocks Set"/>
    <s v="Toys"/>
    <s v="TOY-BLK-SET"/>
    <n v="1"/>
    <n v="27.99"/>
    <m/>
    <n v="0"/>
    <n v="4.99"/>
    <n v="32.979999999999997"/>
    <s v="Shopify Payments"/>
    <x v="0"/>
    <s v="fulfilled"/>
    <s v="Canada"/>
    <m/>
    <s v="Not Required"/>
    <s v="Matthewfurt"/>
  </r>
  <r>
    <s v="#2707"/>
    <d v="2026-08-04T14:04:54"/>
    <d v="2026-08-04T14:04:54"/>
    <s v="Lauren Williams"/>
    <x v="0"/>
    <s v="lauren.williams316@icloud.com"/>
    <s v="Facial Cleanser 200ml"/>
    <s v="Beauty"/>
    <s v="BTY-CLN-200"/>
    <n v="1"/>
    <n v="13.49"/>
    <s v="SAVE20"/>
    <n v="2.7"/>
    <n v="7.99"/>
    <n v="18.78"/>
    <s v="Google Pay"/>
    <x v="1"/>
    <s v="cancelled"/>
    <s v="United States"/>
    <s v="Illinois"/>
    <s v="Valid"/>
    <s v="Amandachester"/>
  </r>
  <r>
    <s v="#2708"/>
    <d v="2026-08-04T14:01:17"/>
    <d v="2026-08-04T14:01:17"/>
    <s v="Donald Davis"/>
    <x v="0"/>
    <s v="donald.davis404@icloud.com"/>
    <s v="Wireless Mouse"/>
    <s v="Electronics"/>
    <s v="ELC-MSE-WL"/>
    <n v="1"/>
    <n v="11.99"/>
    <m/>
    <n v="0"/>
    <n v="4.99"/>
    <n v="16.98"/>
    <s v="Google Pay"/>
    <x v="0"/>
    <s v="cancelled"/>
    <s v="Canada"/>
    <m/>
    <s v="Not Required"/>
    <s v="Watershaven"/>
  </r>
  <r>
    <s v="#2709"/>
    <d v="2026-08-04T14:07:48"/>
    <d v="2026-08-04T14:07:48"/>
    <s v="Christy Phillips"/>
    <x v="0"/>
    <s v="christy.phillips291@gmail.com"/>
    <s v="Portable Power Bank 10000mAh"/>
    <s v="Electronics"/>
    <s v="ELC-PWB-10K"/>
    <n v="1"/>
    <n v="21.99"/>
    <s v="WELCOME10"/>
    <n v="2.2000000000000002"/>
    <n v="5.99"/>
    <n v="25.78"/>
    <s v="Credit Card"/>
    <x v="0"/>
    <s v="fulfilled"/>
    <s v="Pakistan"/>
    <m/>
    <s v="Not Required"/>
    <s v="Port Sherry"/>
  </r>
  <r>
    <s v="#2710"/>
    <d v="2026-08-04T14:04:38"/>
    <d v="2026-08-04T14:04:38"/>
    <s v="Sharon Brown"/>
    <x v="0"/>
    <s v="sharon.brown14@gmail.com"/>
    <s v="Ceramic Coffee Mug Set (4pc)"/>
    <s v="Home &amp; Kitchen"/>
    <s v="HK-MUG-4PK"/>
    <n v="1"/>
    <n v="18.989999999999998"/>
    <m/>
    <n v="0"/>
    <n v="4.99"/>
    <s v="$23.98"/>
    <s v="Apple Pay"/>
    <x v="0"/>
    <s v="fulfilled"/>
    <s v="United States"/>
    <s v="Georgia"/>
    <s v="Valid"/>
    <s v="West Nicholastown"/>
  </r>
  <r>
    <s v="#2711"/>
    <d v="2026-08-04T13:56:57"/>
    <d v="2026-08-04T13:56:57"/>
    <s v="Sean Frank"/>
    <x v="0"/>
    <s v="sean.frank587@icloud.com"/>
    <s v="Ceramic Coffee Mug Set (4pc)"/>
    <s v="Home &amp; Kitchen"/>
    <s v="HK-MUG-4PK"/>
    <n v="3"/>
    <n v="18.989999999999998"/>
    <m/>
    <n v="0"/>
    <n v="7.99"/>
    <n v="64.959999999999994"/>
    <s v="Google Pay"/>
    <x v="3"/>
    <s v="pending"/>
    <s v="Australia"/>
    <m/>
    <s v="Not Required"/>
    <s v="North Andrewmouth"/>
  </r>
  <r>
    <s v="#2712"/>
    <d v="2026-08-04T13:57:19"/>
    <d v="2026-08-04T13:57:19"/>
    <s v="Anthony Krueger"/>
    <x v="0"/>
    <s v="anthony.krueger812@yahoo.com"/>
    <s v="Phone Case - Clear"/>
    <s v="Electronics"/>
    <s v="ELC-CSE-CLR"/>
    <n v="1"/>
    <n v="8.99"/>
    <s v="SAVE20"/>
    <n v="1.8"/>
    <n v="4.99"/>
    <n v="12.18"/>
    <s v="Shopify Payments"/>
    <x v="0"/>
    <s v="refunded"/>
    <s v="Pakistan"/>
    <m/>
    <s v="Not Required"/>
    <s v="East Christine"/>
  </r>
  <r>
    <s v="#2713"/>
    <d v="2026-08-04T14:02:22"/>
    <d v="2026-08-04T14:02:22"/>
    <s v="Amanda Robinson"/>
    <x v="0"/>
    <s v="amanda.robinson263@icloud.com"/>
    <s v="Non-Stick Frying Pan 10in"/>
    <s v="Home &amp; Kitchen"/>
    <s v="HK-PAN-10"/>
    <n v="1"/>
    <n v="24.99"/>
    <m/>
    <n v="0"/>
    <n v="7.99"/>
    <n v="32.979999999999997"/>
    <s v="Google Pay"/>
    <x v="2"/>
    <s v="pending"/>
    <s v="United States"/>
    <s v="GA"/>
    <s v="Valid"/>
    <s v="Carmenland"/>
  </r>
  <r>
    <s v="#2714"/>
    <d v="2026-08-04T14:04:45"/>
    <d v="2026-08-04T14:04:45"/>
    <s v="Dustin Mccoy"/>
    <x v="0"/>
    <s v="dustin.mccoy570@gmail.com"/>
    <s v="Slim Fit Denim Jeans"/>
    <s v="Apparel"/>
    <s v="JNS-BLU-32"/>
    <n v="2"/>
    <s v="$39.99"/>
    <s v="BFCM25"/>
    <s v="$20.00"/>
    <n v="0"/>
    <n v="59.98"/>
    <s v="Shopify Payments"/>
    <x v="3"/>
    <s v="cancelled"/>
    <s v="Canada"/>
    <m/>
    <s v="Not Required"/>
    <s v="South Edwardtown"/>
  </r>
  <r>
    <s v="#2715"/>
    <d v="2026-08-04T13:59:50"/>
    <d v="2026-08-04T13:59:50"/>
    <s v="Sara Sims"/>
    <x v="0"/>
    <s v="sara.sims992@icloud.com"/>
    <s v="Backpack - 25L"/>
    <s v="Accessories"/>
    <s v="ACC-BPK-25L"/>
    <n v="1"/>
    <n v="32.99"/>
    <s v="VIP15"/>
    <n v="4.95"/>
    <n v="7.99"/>
    <n v="36.03"/>
    <s v="Credit Card"/>
    <x v="0"/>
    <s v="fulfilled"/>
    <s v="Germany"/>
    <m/>
    <s v="Not Required"/>
    <s v="Adamston"/>
  </r>
  <r>
    <s v="#2716"/>
    <d v="2026-08-04T13:54:07"/>
    <d v="2026-08-04T13:54:07"/>
    <s v="Natalie Dixon"/>
    <x v="0"/>
    <s v="natalie.dixon388@outlook.com"/>
    <s v="USB-C Fast Charger 20W"/>
    <s v="Electronics"/>
    <s v="ELC-CHG-20"/>
    <n v="1"/>
    <n v="15.49"/>
    <m/>
    <n v="0"/>
    <n v="7.99"/>
    <n v="23.48"/>
    <s v="Google Pay"/>
    <x v="1"/>
    <s v="fulfilled"/>
    <s v="United States"/>
    <s v="NY"/>
    <s v="Valid"/>
    <s v="North Kari"/>
  </r>
  <r>
    <s v="#2717"/>
    <d v="2026-08-04T14:00:35"/>
    <d v="2026-08-04T14:00:35"/>
    <s v="David Duke"/>
    <x v="0"/>
    <s v="david.duke814@icloud.com"/>
    <s v="Classic Cotton T-Shirt"/>
    <s v="Apparel"/>
    <s v="TSH-BLK-L"/>
    <n v="1"/>
    <n v="14.99"/>
    <m/>
    <n v="0"/>
    <n v="5.99"/>
    <n v="20.98"/>
    <s v="Credit Card"/>
    <x v="2"/>
    <s v="cancelled"/>
    <s v="United States"/>
    <s v="California"/>
    <s v="Valid"/>
    <s v="Milesberg"/>
  </r>
  <r>
    <s v="#2718"/>
    <d v="2026-08-04T14:06:15"/>
    <d v="2026-08-04T14:06:15"/>
    <s v="Margaret Conley"/>
    <x v="0"/>
    <s v="margaret.conley327@icloud.com"/>
    <s v="Leather Wallet - Brown"/>
    <s v="Accessories"/>
    <s v="ACC-WLT-BRN"/>
    <n v="1"/>
    <n v="19.989999999999998"/>
    <s v="VIP15"/>
    <n v="3"/>
    <n v="4.99"/>
    <n v="21.98"/>
    <s v="PayPal"/>
    <x v="1"/>
    <s v="fulfilled"/>
    <s v="Australia"/>
    <m/>
    <s v="Not Required"/>
    <s v="North Patricialand"/>
  </r>
  <r>
    <s v="#2719"/>
    <d v="2026-08-04T00:00:00"/>
    <s v="04-08-2026 13:54"/>
    <s v="Tyler Williams"/>
    <x v="1"/>
    <m/>
    <s v="Facial Cleanser 200ml"/>
    <s v="Beauty"/>
    <s v="BTY-CLN-200"/>
    <n v="1"/>
    <s v="$13.49"/>
    <m/>
    <n v="0"/>
    <n v="5.99"/>
    <n v="19.48"/>
    <s v="Google Pay"/>
    <x v="2"/>
    <s v="fulfilled"/>
    <s v="Australia"/>
    <m/>
    <s v="Not Required"/>
    <s v="Burnshaven"/>
  </r>
  <r>
    <s v="#2720"/>
    <d v="2026-08-04T13:56:29"/>
    <d v="2026-08-04T13:56:29"/>
    <s v="Johnathan Sloan"/>
    <x v="0"/>
    <s v="johnathan.sloan721@outlook.com"/>
    <s v="Backpack - 25L"/>
    <s v="Accessories"/>
    <s v="ACC-BPK-25L"/>
    <n v="3"/>
    <n v="32.99"/>
    <m/>
    <n v="0"/>
    <n v="0"/>
    <n v="98.97"/>
    <s v="Google Pay"/>
    <x v="0"/>
    <s v="fulfilled"/>
    <s v="Pakistan"/>
    <m/>
    <s v="Not Required"/>
    <s v="Christopherburgh"/>
  </r>
  <r>
    <s v="#2721"/>
    <d v="2026-08-04T13:56:33"/>
    <d v="2026-08-04T13:56:33"/>
    <s v="Kimberly Cordova"/>
    <x v="0"/>
    <s v="kimberly.cordova508@icloud.com"/>
    <s v="Classic Cotton T-Shirt"/>
    <s v="Apparel"/>
    <s v="TSH-BLK-M"/>
    <n v="1"/>
    <n v="14.99"/>
    <s v="SAVE20"/>
    <s v="$3.00"/>
    <n v="4.99"/>
    <n v="16.98"/>
    <s v="Credit Card"/>
    <x v="0"/>
    <s v="pending"/>
    <s v="Pakistan"/>
    <m/>
    <s v="Not Required"/>
    <s v="Hendersonview"/>
  </r>
  <r>
    <s v="#2722"/>
    <d v="2026-08-04T14:05:57"/>
    <d v="2026-08-04T14:05:57"/>
    <s v="Daniel Contreras"/>
    <x v="0"/>
    <s v="daniel.contreras749@yahoo.com"/>
    <s v="Facial Cleanser 200ml"/>
    <s v="Beauty"/>
    <s v="BTY-CLN-200"/>
    <n v="2"/>
    <n v="13.49"/>
    <s v="SAVE20"/>
    <n v="5.4"/>
    <n v="7.99"/>
    <n v="29.57"/>
    <s v="Google Pay"/>
    <x v="1"/>
    <s v="fulfilled"/>
    <s v="Australia"/>
    <m/>
    <s v="Not Required"/>
    <s v="Petersonhaven"/>
  </r>
  <r>
    <s v="#2723"/>
    <d v="2026-08-04T13:56:10"/>
    <d v="2026-08-04T13:56:10"/>
    <s v="Laura Johnson"/>
    <x v="0"/>
    <s v="laura.johnson708@outlook.com"/>
    <s v="Classic Cotton T-Shirt"/>
    <s v="Apparel"/>
    <s v="TSH-BLK-L"/>
    <n v="1"/>
    <n v="14.99"/>
    <s v="VIP15"/>
    <n v="2.25"/>
    <n v="7.99"/>
    <n v="20.73"/>
    <s v="Shopify Payments"/>
    <x v="1"/>
    <s v="refunded"/>
    <s v="Australia"/>
    <m/>
    <s v="Not Required"/>
    <s v="Jessicatown"/>
  </r>
  <r>
    <s v="#2724"/>
    <d v="2026-08-04T13:56:29"/>
    <d v="2026-08-04T13:56:29"/>
    <s v="Amanda Harris"/>
    <x v="0"/>
    <s v="amanda.harris197@gmail.com"/>
    <s v="Polarized Sunglasses"/>
    <s v="Accessories"/>
    <s v="ACC-SUN-01"/>
    <n v="1"/>
    <n v="16.989999999999998"/>
    <m/>
    <s v="$0.00"/>
    <n v="7.99"/>
    <n v="24.98"/>
    <s v="Apple Pay"/>
    <x v="1"/>
    <s v="fulfilled"/>
    <s v="United States"/>
    <s v="California"/>
    <s v="Valid"/>
    <s v="New Hectormouth"/>
  </r>
  <r>
    <s v="#2725"/>
    <d v="2026-08-04T14:01:40"/>
    <d v="2026-08-04T14:01:40"/>
    <s v="Jennifer Lee"/>
    <x v="0"/>
    <s v="jennifer.lee321@icloud.com"/>
    <s v="Backpack - 25L"/>
    <s v="Accessories"/>
    <s v="ACC-BPK-25L"/>
    <n v="1"/>
    <n v="32.99"/>
    <m/>
    <n v="0"/>
    <n v="5.99"/>
    <n v="38.979999999999997"/>
    <s v="Apple Pay"/>
    <x v="0"/>
    <s v="pending"/>
    <s v="United Kingdom"/>
    <m/>
    <s v="Not Required"/>
    <s v="Garciamouth"/>
  </r>
  <r>
    <s v="#2726"/>
    <d v="2026-04-08T00:00:00"/>
    <s v="08/04/2026"/>
    <s v="  Sandra Potter"/>
    <x v="0"/>
    <s v="sandra.potter166@yahoo.com"/>
    <s v="Classic Cotton T-Shirt"/>
    <s v="Apparel"/>
    <s v="TSH-BLK-M"/>
    <n v="1"/>
    <n v="14.99"/>
    <s v="FREESHIP"/>
    <n v="0"/>
    <n v="0"/>
    <n v="14.99"/>
    <s v="Apple Pay"/>
    <x v="0"/>
    <s v="fulfilled"/>
    <s v="United States"/>
    <s v="Georgia"/>
    <s v="Valid"/>
    <s v="Reeseport"/>
  </r>
  <r>
    <s v="#2727"/>
    <d v="2026-08-04T14:00:56"/>
    <d v="2026-08-04T14:00:56"/>
    <s v="Laura Pruitt"/>
    <x v="0"/>
    <s v="laura.pruitt212@yahoo.com"/>
    <s v="Ceramic Coffee Mug Set (4pc)"/>
    <s v="Home &amp; Kitchen"/>
    <s v="HK-MUG-4PK"/>
    <n v="1"/>
    <n v="18.989999999999998"/>
    <s v="WELCOME10"/>
    <n v="1.9"/>
    <n v="5.99"/>
    <n v="23.08"/>
    <s v="Google Pay"/>
    <x v="2"/>
    <s v="fulfilled"/>
    <s v="United States"/>
    <s v="Georgia"/>
    <s v="Valid"/>
    <s v="East Joseview"/>
  </r>
  <r>
    <s v="#2728"/>
    <d v="2026-08-04T14:07:45"/>
    <d v="2026-08-04T14:07:45"/>
    <s v="Cody Murray"/>
    <x v="0"/>
    <s v="cody.murray456@gmail.com"/>
    <s v="Leather Wallet - Brown"/>
    <s v="Accessories"/>
    <s v="ACC-WLT-BRN"/>
    <n v="1"/>
    <n v="19.989999999999998"/>
    <m/>
    <s v="$0.00"/>
    <n v="7.99"/>
    <n v="27.98"/>
    <s v="Credit Card"/>
    <x v="2"/>
    <s v="cancelled"/>
    <s v="United Kingdom"/>
    <m/>
    <s v="Not Required"/>
    <s v="Darrylfort"/>
  </r>
  <r>
    <s v="#2729"/>
    <d v="2026-08-04T14:02:00"/>
    <d v="2026-08-04T14:02:00"/>
    <s v="Amy Barnett"/>
    <x v="0"/>
    <s v="amy.barnett396@icloud.com"/>
    <s v="Classic Cotton T-Shirt"/>
    <s v="Apparel"/>
    <s v="TSH-BLK-L"/>
    <n v="1"/>
    <n v="14.99"/>
    <s v="BFCM25"/>
    <n v="3.75"/>
    <n v="7.99"/>
    <n v="19.23"/>
    <s v="Apple Pay"/>
    <x v="0"/>
    <s v="fulfilled"/>
    <s v="Pakistan"/>
    <m/>
    <s v="Not Required"/>
    <s v="New Deanna"/>
  </r>
  <r>
    <s v="#2730"/>
    <d v="2026-08-04T14:07:35"/>
    <d v="2026-08-04T14:07:35"/>
    <s v="Kathryn Robinson"/>
    <x v="0"/>
    <s v="kathryn.robinson965@gmail.com"/>
    <s v="Portable Power Bank 10000mAh"/>
    <s v="Electronics"/>
    <s v="ELC-PWB-10K"/>
    <n v="1"/>
    <n v="21.99"/>
    <m/>
    <n v="0"/>
    <n v="4.99"/>
    <s v="$26.98"/>
    <s v="Google Pay"/>
    <x v="0"/>
    <s v="cancelled"/>
    <s v="United Kingdom"/>
    <m/>
    <s v="Not Required"/>
    <s v="Melaniehaven"/>
  </r>
  <r>
    <s v="#2731"/>
    <d v="2026-04-08T00:00:00"/>
    <s v="08/04/2026"/>
    <s v="Elizabeth Johnston"/>
    <x v="0"/>
    <s v="elizabeth.johnston946@gmail.com"/>
    <s v="Running Shoes - Men's"/>
    <s v="Footwear"/>
    <s v="FTW-RUN-M"/>
    <n v="1"/>
    <n v="54.99"/>
    <s v="BFCM25"/>
    <n v="13.75"/>
    <n v="4.99"/>
    <n v="46.23"/>
    <s v="Apple Pay"/>
    <x v="2"/>
    <s v="fulfilled"/>
    <s v="United Kingdom"/>
    <m/>
    <s v="Not Required"/>
    <s v="Batesborough"/>
  </r>
  <r>
    <s v="#2732"/>
    <d v="2026-08-04T14:05:35"/>
    <d v="2026-08-04T14:05:35"/>
    <s v="Jack Bryant"/>
    <x v="0"/>
    <s v="jack.bryant173@gmail.com"/>
    <s v="Yoga Mat - Extra Thick"/>
    <s v="Sports &amp; Outdoors"/>
    <s v="SP-YGM-EX"/>
    <n v="1"/>
    <n v="22.99"/>
    <s v="WELCOME10"/>
    <n v="2.2999999999999998"/>
    <n v="7.99"/>
    <n v="28.68"/>
    <s v="Google Pay"/>
    <x v="1"/>
    <s v="refunded"/>
    <s v="Germany"/>
    <m/>
    <s v="Not Required"/>
    <s v="Jacksonfurt"/>
  </r>
  <r>
    <s v="#2733"/>
    <d v="2026-08-04T14:08:06"/>
    <d v="2026-08-04T14:08:06"/>
    <s v="Angela Martin"/>
    <x v="1"/>
    <m/>
    <s v="Polarized Sunglasses"/>
    <s v="Accessories"/>
    <s v="ACC-SUN-01"/>
    <n v="1"/>
    <n v="16.989999999999998"/>
    <s v="BFCM25"/>
    <n v="4.25"/>
    <n v="5.99"/>
    <n v="18.73"/>
    <s v="PayPal"/>
    <x v="0"/>
    <s v="refunded"/>
    <s v="Canada"/>
    <m/>
    <s v="Not Required"/>
    <s v="Garciaville"/>
  </r>
  <r>
    <s v="#2734"/>
    <d v="2026-08-04T13:59:26"/>
    <d v="2026-08-04T13:59:26"/>
    <s v="Kayla Cruz"/>
    <x v="0"/>
    <s v="kayla.cruz151@outlook.com"/>
    <s v="Facial Cleanser 200ml"/>
    <s v="Beauty"/>
    <s v="BTY-CLN-200"/>
    <n v="1"/>
    <n v="13.49"/>
    <m/>
    <n v="0"/>
    <n v="4.99"/>
    <n v="18.48"/>
    <s v="PayPal"/>
    <x v="3"/>
    <s v="fulfilled"/>
    <s v="Pakistan"/>
    <m/>
    <s v="Not Required"/>
    <s v="Timothyshire"/>
  </r>
  <r>
    <s v="#2735"/>
    <d v="2026-08-04T13:59:33"/>
    <d v="2026-08-04T13:59:33"/>
    <s v="Sandra Wilson"/>
    <x v="0"/>
    <s v="sandra.wilson554@outlook.com"/>
    <s v="Resistance Bands Set"/>
    <s v="Sports &amp; Outdoors"/>
    <s v="SP-RBS-SET"/>
    <n v="1"/>
    <s v="$13.99"/>
    <m/>
    <n v="0"/>
    <n v="4.99"/>
    <n v="18.98"/>
    <s v="Apple Pay"/>
    <x v="0"/>
    <s v="fulfilled"/>
    <s v="Canada"/>
    <m/>
    <s v="Not Required"/>
    <s v="North Deborah"/>
  </r>
  <r>
    <s v="#2736"/>
    <d v="2026-08-04T14:05:03"/>
    <d v="2026-08-04T14:05:03"/>
    <s v="Alan Davis"/>
    <x v="0"/>
    <s v="alan.davis483@icloud.com"/>
    <s v="Wireless Mouse"/>
    <s v="Electronics"/>
    <s v="ELC-MSE-WL"/>
    <n v="4"/>
    <n v="11.99"/>
    <m/>
    <n v="0"/>
    <n v="5.99"/>
    <n v="53.95"/>
    <s v="Shopify Payments"/>
    <x v="3"/>
    <s v="cancelled"/>
    <s v="Canada"/>
    <m/>
    <s v="Not Required"/>
    <s v="Henryside"/>
  </r>
  <r>
    <s v="#2738"/>
    <d v="2026-04-08T00:00:00"/>
    <s v="08/04/2026"/>
    <s v="Melanie Kennedy"/>
    <x v="0"/>
    <s v="melanie.kennedy658@yahoo.com"/>
    <s v="Classic Cotton T-Shirt"/>
    <s v="Apparel"/>
    <s v="TSH-BLK-M"/>
    <n v="2"/>
    <n v="14.99"/>
    <s v="SAVE20"/>
    <n v="6"/>
    <n v="4.99"/>
    <n v="28.97"/>
    <s v="PayPal"/>
    <x v="2"/>
    <s v="fulfilled"/>
    <s v="United States"/>
    <s v="Arizona"/>
    <s v="Valid"/>
    <s v="East Michael"/>
  </r>
  <r>
    <s v="#2739"/>
    <d v="2026-04-08T00:00:00"/>
    <s v="08/04/2026"/>
    <s v="Johnathan Sloan"/>
    <x v="0"/>
    <s v="johnathan.sloan721@outlook.com"/>
    <s v="Classic Cotton T-Shirt"/>
    <s v="Apparel"/>
    <s v="TSH-BLK-L"/>
    <n v="1"/>
    <n v="14.99"/>
    <m/>
    <n v="0"/>
    <n v="7.99"/>
    <s v="$22.98"/>
    <s v="Apple Pay"/>
    <x v="1"/>
    <s v="fulfilled"/>
    <s v="Pakistan"/>
    <m/>
    <s v="Not Required"/>
    <s v="Lake Vincentburgh"/>
  </r>
  <r>
    <s v="#2740"/>
    <d v="2026-08-04T14:03:34"/>
    <d v="2026-08-04T14:03:34"/>
    <s v="Peter Alvarez"/>
    <x v="0"/>
    <s v="peter.alvarez465@yahoo.com"/>
    <s v="Resistance Bands Set"/>
    <s v="Sports &amp; Outdoors"/>
    <s v="SP-RBS-SET"/>
    <n v="1"/>
    <n v="13.99"/>
    <m/>
    <n v="0"/>
    <n v="7.99"/>
    <n v="21.98"/>
    <s v="Apple Pay"/>
    <x v="3"/>
    <s v="fulfilled"/>
    <s v="United States"/>
    <s v="Texas"/>
    <s v="Valid"/>
    <s v="North Christopher"/>
  </r>
  <r>
    <s v="#2741"/>
    <d v="2026-08-04T13:56:14"/>
    <d v="2026-08-04T13:56:14"/>
    <s v="Alan Davis"/>
    <x v="1"/>
    <m/>
    <s v="Hooded Sweatshirt"/>
    <s v="Apparel"/>
    <s v="APR-HOD-GRY"/>
    <n v="1"/>
    <n v="34.99"/>
    <m/>
    <n v="0"/>
    <n v="7.99"/>
    <n v="42.98"/>
    <s v="Google Pay"/>
    <x v="0"/>
    <s v="fulfilled"/>
    <s v="Canada"/>
    <m/>
    <s v="Not Required"/>
    <s v="North Samanthaland"/>
  </r>
  <r>
    <s v="#2742"/>
    <d v="2026-08-04T14:05:23"/>
    <d v="2026-08-04T14:05:23"/>
    <s v="Ian Morris"/>
    <x v="0"/>
    <s v="ian.morris90@outlook.com"/>
    <s v="Running Shoes   Men's"/>
    <s v="Footwear"/>
    <s v="FTW-RUN-M"/>
    <n v="1"/>
    <n v="54.99"/>
    <m/>
    <n v="0"/>
    <n v="5.99"/>
    <n v="60.98"/>
    <s v="Shopify Payments"/>
    <x v="0"/>
    <s v="fulfilled"/>
    <s v="Pakistan"/>
    <m/>
    <s v="Not Required"/>
    <s v="Pamfurt"/>
  </r>
  <r>
    <s v="#2743"/>
    <d v="2026-08-04T14:05:16"/>
    <d v="2026-08-04T14:05:16"/>
    <s v="Michael Hays"/>
    <x v="0"/>
    <s v="michael.hays590@gmail.com"/>
    <s v="Classic Cotton T-Shirt"/>
    <s v="Apparel"/>
    <s v="TSH-BLK-M"/>
    <n v="2"/>
    <n v="14.99"/>
    <m/>
    <n v="0"/>
    <n v="4.99"/>
    <n v="34.97"/>
    <s v="Shopify Payments"/>
    <x v="0"/>
    <s v="fulfilled"/>
    <s v="United States"/>
    <s v="New York"/>
    <s v="Valid"/>
    <s v="North Heidi"/>
  </r>
  <r>
    <s v="#2744"/>
    <d v="2026-08-04T13:58:17"/>
    <d v="2026-08-04T13:58:17"/>
    <s v="Jennifer Burke"/>
    <x v="0"/>
    <s v="jennifer.burke472@icloud.com"/>
    <s v="Non-Stick Frying Pan 10in"/>
    <s v="Home &amp; Kitchen"/>
    <s v="HK-PAN-10"/>
    <n v="2"/>
    <n v="24.99"/>
    <m/>
    <n v="0"/>
    <n v="5.99"/>
    <s v="$55.97"/>
    <s v="PayPal"/>
    <x v="0"/>
    <s v="pending"/>
    <s v="Pakistan"/>
    <m/>
    <s v="Not Required"/>
    <s v="Fosterview"/>
  </r>
  <r>
    <s v="#2745"/>
    <d v="2026-08-04T13:56:08"/>
    <d v="2026-08-04T13:56:08"/>
    <s v="Christopher Harrington"/>
    <x v="0"/>
    <s v="christopher.harrington960@gmail.com"/>
    <s v="Resistance Bands Set"/>
    <s v="Sports &amp; Outdoors"/>
    <s v="SP-RBS-SET"/>
    <n v="2"/>
    <n v="13.99"/>
    <s v="BFCM25"/>
    <n v="7"/>
    <n v="4.99"/>
    <n v="25.97"/>
    <s v="Google Pay"/>
    <x v="0"/>
    <s v="fulfilled"/>
    <s v="Australia"/>
    <m/>
    <s v="Not Required"/>
    <s v="Madisonfort"/>
  </r>
  <r>
    <s v="#2746"/>
    <d v="2026-08-04T14:04:16"/>
    <d v="2026-08-04T14:04:16"/>
    <s v="Kathryn Robinson"/>
    <x v="0"/>
    <s v="kathryn.robinson965@gmail.com"/>
    <s v="Classic Cotton T-Shirt"/>
    <s v="Apparel"/>
    <s v="TSH-BLK-M"/>
    <n v="2"/>
    <s v="$14.99"/>
    <m/>
    <n v="0"/>
    <n v="5.99"/>
    <n v="35.97"/>
    <s v="Google Pay"/>
    <x v="3"/>
    <s v="fulfilled"/>
    <s v="United Kingdom"/>
    <m/>
    <s v="Not Required"/>
    <s v="East Derekhaven"/>
  </r>
  <r>
    <s v="#2747"/>
    <d v="2026-04-08T00:00:00"/>
    <s v="08/04/2026"/>
    <s v="MICHELLE BELL"/>
    <x v="0"/>
    <s v="michelle.bell28@yahoo.com"/>
    <s v="Vitamin C Serum 30ml"/>
    <s v="Beauty"/>
    <s v="BTY-SRM-30"/>
    <n v="1"/>
    <n v="24.99"/>
    <s v="BFCM25"/>
    <n v="6.25"/>
    <n v="4.99"/>
    <n v="23.73"/>
    <s v="Credit Card"/>
    <x v="2"/>
    <s v="refunded"/>
    <s v="United States"/>
    <s v="Georgia"/>
    <s v="Valid"/>
    <s v="Krystaltown"/>
  </r>
  <r>
    <s v="#2748"/>
    <d v="2026-08-04T14:03:17"/>
    <d v="2026-08-04T14:03:17"/>
    <s v="Kenneth Davis"/>
    <x v="0"/>
    <s v="kenneth.davis106@yahoo.com"/>
    <s v="Hooded Sweatshirt"/>
    <s v="Apparel"/>
    <s v="APR-HOD-GRY"/>
    <n v="1"/>
    <n v="34.99"/>
    <s v="SAVE20"/>
    <n v="7"/>
    <n v="4.99"/>
    <n v="32.979999999999997"/>
    <s v="Apple Pay"/>
    <x v="2"/>
    <s v="cancelled"/>
    <s v="United States"/>
    <s v="Texas"/>
    <s v="Valid"/>
    <s v="Port Jason"/>
  </r>
  <r>
    <s v="#2749"/>
    <d v="2026-08-04T14:05:46"/>
    <d v="2026-08-04T14:05:46"/>
    <s v="THOMAS ROJAS"/>
    <x v="0"/>
    <s v="thomas.rojas667@icloud.com"/>
    <s v="Phone Case - Clear"/>
    <s v="Electronics"/>
    <s v="ELC-CSE-CLR"/>
    <n v="1"/>
    <n v="8.99"/>
    <s v="BFCM25"/>
    <n v="2.25"/>
    <n v="5.99"/>
    <n v="12.73"/>
    <s v="Google Pay"/>
    <x v="0"/>
    <s v="fulfilled"/>
    <s v="United States"/>
    <s v="Ohio"/>
    <s v="Valid"/>
    <s v="Mortonview"/>
  </r>
  <r>
    <s v="#2750"/>
    <d v="2026-08-04T14:04:31"/>
    <d v="2026-08-04T14:04:31"/>
    <s v="Mary Garcia"/>
    <x v="0"/>
    <s v="mary.garcia899@icloud.com"/>
    <s v="Polarized Sunglasses"/>
    <s v="Accessories"/>
    <s v="ACC-SUN-01"/>
    <n v="4"/>
    <n v="16.989999999999998"/>
    <s v="BFCM25"/>
    <n v="16.989999999999998"/>
    <n v="7.99"/>
    <n v="58.96"/>
    <s v="Shopify Payments"/>
    <x v="3"/>
    <s v="fulfilled"/>
    <s v="Canada"/>
    <m/>
    <s v="Not Required"/>
    <s v="Danielsfurt"/>
  </r>
  <r>
    <s v="#2752"/>
    <d v="2026-08-04T14:04:56"/>
    <d v="2026-08-04T14:04:56"/>
    <s v="Christopher Hayes"/>
    <x v="0"/>
    <s v="christopher.hayes809@icloud.com"/>
    <s v="Wireless Mouse"/>
    <s v="Electronics"/>
    <s v="ELC-MSE-WL"/>
    <n v="2"/>
    <n v="11.99"/>
    <m/>
    <n v="0"/>
    <n v="5.99"/>
    <s v="$29.97"/>
    <s v="Credit Card"/>
    <x v="0"/>
    <s v="fulfilled"/>
    <s v="United States"/>
    <s v="Texas"/>
    <s v="Valid"/>
    <s v="Williamfort"/>
  </r>
  <r>
    <s v="#2753"/>
    <d v="2026-08-04T14:06:13"/>
    <d v="2026-08-04T14:06:13"/>
    <s v="Sean Frank"/>
    <x v="0"/>
    <s v="sean.frank587@icloud.com"/>
    <s v="Vitamin C Serum 30ml"/>
    <s v="Beauty"/>
    <s v="BTY-SRM-30"/>
    <n v="2"/>
    <n v="24.99"/>
    <s v="SAVE20"/>
    <s v="$10.00"/>
    <n v="4.99"/>
    <n v="44.97"/>
    <s v="Apple Pay"/>
    <x v="2"/>
    <s v="refunded"/>
    <s v="Australia"/>
    <m/>
    <s v="Not Required"/>
    <s v="East Deniseburgh"/>
  </r>
  <r>
    <s v="#2754"/>
    <d v="2026-08-04T13:55:11"/>
    <d v="2026-08-04T13:55:11"/>
    <s v="jaime vargas"/>
    <x v="0"/>
    <s v="jaime.vargas795@outlook.com"/>
    <s v="Facial Cleanser 200ml"/>
    <s v="Beauty"/>
    <s v="BTY-CLN-200"/>
    <n v="1"/>
    <s v="$13.49"/>
    <s v="BFCM25"/>
    <n v="3.37"/>
    <n v="4.99"/>
    <n v="15.11"/>
    <s v="Shopify Payments"/>
    <x v="0"/>
    <s v="pending"/>
    <s v="United Kingdom"/>
    <m/>
    <s v="Not Required"/>
    <s v="Cruzport"/>
  </r>
  <r>
    <s v="#2755"/>
    <d v="2026-04-08T00:00:00"/>
    <s v="08/04/2026"/>
    <s v="Rojas, Thomas"/>
    <x v="0"/>
    <s v="thomas.rojas667@icloud.com"/>
    <s v="Yoga Mat - Extra Thick"/>
    <s v="Sports &amp; Outdoors"/>
    <s v="SP-YGM-EX"/>
    <n v="2"/>
    <n v="22.99"/>
    <s v="BFCM25"/>
    <n v="11.49"/>
    <n v="7.99"/>
    <n v="42.48"/>
    <s v="Apple Pay"/>
    <x v="3"/>
    <s v="fulfilled"/>
    <s v="United States"/>
    <s v="Texas"/>
    <s v="Valid"/>
    <s v="Rodriguezport"/>
  </r>
  <r>
    <s v="#2756"/>
    <d v="2026-08-04T13:56:54"/>
    <d v="2026-08-04T13:56:54"/>
    <s v="Aimee Smith"/>
    <x v="0"/>
    <s v="aimee.smith857@icloud.com"/>
    <s v="Classic Cotton T-Shirt"/>
    <s v="Apparel"/>
    <s v="TSH-BLK-L"/>
    <n v="1"/>
    <n v="14.99"/>
    <m/>
    <n v="0"/>
    <n v="5.99"/>
    <n v="20.98"/>
    <s v="Credit Card"/>
    <x v="0"/>
    <s v="fulfilled"/>
    <s v="United Kingdom"/>
    <m/>
    <s v="Not Required"/>
    <s v="Port John"/>
  </r>
  <r>
    <s v="#2757"/>
    <d v="2026-08-04T13:58:34"/>
    <d v="2026-08-04T13:58:34"/>
    <s v="  Amy West"/>
    <x v="0"/>
    <s v="amy.west811@icloud.com"/>
    <s v="Running Shoes - Men's"/>
    <s v="Footwear"/>
    <s v="FTW-RUN-M"/>
    <n v="2"/>
    <n v="54.99"/>
    <m/>
    <n v="0"/>
    <n v="0"/>
    <n v="109.98"/>
    <s v="Shopify Payments"/>
    <x v="0"/>
    <s v="fulfilled"/>
    <s v="Australia"/>
    <m/>
    <s v="Not Required"/>
    <s v="Cunninghamland"/>
  </r>
  <r>
    <s v="#2758"/>
    <d v="2026-08-04T13:59:35"/>
    <d v="2026-08-04T13:59:35"/>
    <s v="Elizabeth Johnston"/>
    <x v="0"/>
    <s v="elizabeth.johnston946@gmail.com"/>
    <s v="Resistance Bands Set"/>
    <s v="Sports &amp; Outdoors"/>
    <s v="SP-RBS-SET"/>
    <n v="1"/>
    <n v="13.99"/>
    <m/>
    <n v="0"/>
    <n v="5.99"/>
    <n v="19.98"/>
    <s v="Google Pay"/>
    <x v="2"/>
    <s v="fulfilled"/>
    <s v="United Kingdom"/>
    <m/>
    <s v="Not Required"/>
    <s v="Gibbsfurt"/>
  </r>
  <r>
    <s v="#2759"/>
    <d v="2026-08-04T13:55:09"/>
    <d v="2026-08-04T13:55:09"/>
    <s v="Frank Diaz"/>
    <x v="0"/>
    <s v="frank.diaz795@gmail.com"/>
    <s v="Wireless Mouse"/>
    <s v="Electronics"/>
    <s v="ELC-MSE-WL"/>
    <n v="1"/>
    <n v="11.99"/>
    <s v="FREESHIP"/>
    <n v="0"/>
    <n v="0"/>
    <n v="11.99"/>
    <s v="Apple Pay"/>
    <x v="2"/>
    <s v="cancelled"/>
    <s v="United States"/>
    <s v="Illinois"/>
    <s v="Valid"/>
    <s v="Davidville"/>
  </r>
  <r>
    <s v="#2760"/>
    <d v="2026-08-04T14:05:44"/>
    <d v="2026-08-04T14:05:44"/>
    <s v="JACQUELINE RICHMOND"/>
    <x v="0"/>
    <s v="jacqueline.richmond595@outlook.com"/>
    <s v="Non-Stick Frying Pan 10in"/>
    <s v="Home &amp; Kitchen"/>
    <s v="HK-PAN-10"/>
    <n v="1"/>
    <n v="24.99"/>
    <m/>
    <n v="0"/>
    <n v="4.99"/>
    <n v="29.98"/>
    <s v="Apple Pay"/>
    <x v="1"/>
    <s v="fulfilled"/>
    <s v="United States"/>
    <s v="Texas"/>
    <s v="Valid"/>
    <s v="West Annaport"/>
  </r>
  <r>
    <s v="#2761"/>
    <d v="2026-08-04T14:03:16"/>
    <d v="2026-08-04T14:03:16"/>
    <s v="Victoria Wilson"/>
    <x v="0"/>
    <s v="victoria.wilson114@gmail.com"/>
    <s v="Resistance Bands Set"/>
    <s v="Sports &amp; Outdoors"/>
    <s v="SP-RBS-SET"/>
    <n v="2"/>
    <n v="13.99"/>
    <s v="BFCM25"/>
    <n v="7"/>
    <n v="7.99"/>
    <n v="28.97"/>
    <s v="Shopify Payments"/>
    <x v="1"/>
    <s v="pending"/>
    <s v="Canada"/>
    <m/>
    <s v="Not Required"/>
    <s v="East Sarahstad"/>
  </r>
  <r>
    <s v="#2762"/>
    <d v="2026-08-04T13:57:52"/>
    <d v="2026-08-04T13:57:52"/>
    <s v="Alan Davis"/>
    <x v="0"/>
    <s v="alan.davis483@icloud.com"/>
    <s v="Kids Building Blocks Set"/>
    <s v="Toys"/>
    <s v="TOY-BLK-SET"/>
    <n v="1"/>
    <n v="27.99"/>
    <s v="BFCM25"/>
    <n v="7"/>
    <n v="7.99"/>
    <n v="28.98"/>
    <s v="Credit Card"/>
    <x v="3"/>
    <s v="pending"/>
    <s v="Canada"/>
    <m/>
    <s v="Not Required"/>
    <s v="South Brianport"/>
  </r>
  <r>
    <s v="#2763"/>
    <d v="2026-08-04T00:00:00"/>
    <s v="2026-08-04"/>
    <s v="Duncan, Ruth"/>
    <x v="0"/>
    <s v="ruth.duncan434@icloud.com"/>
    <s v="Non-Stick Frying Pan 10in"/>
    <s v="Home &amp; Kitchen"/>
    <s v="HK-PAN-10"/>
    <n v="2"/>
    <s v="$24.99"/>
    <m/>
    <n v="0"/>
    <n v="4.99"/>
    <n v="54.97"/>
    <s v="Credit Card"/>
    <x v="2"/>
    <s v="cancelled"/>
    <s v="Australia"/>
    <m/>
    <s v="Not Required"/>
    <s v="New Frances"/>
  </r>
  <r>
    <s v="#2764"/>
    <d v="2026-08-04T14:00:30"/>
    <d v="2026-08-04T14:00:30"/>
    <s v="Shelly Griffith"/>
    <x v="0"/>
    <s v="shelly.griffith342@icloud.com"/>
    <s v="Leather Wallet - Brown"/>
    <s v="Accessories"/>
    <s v="ACC-WLT-BRN"/>
    <n v="1"/>
    <n v="19.989999999999998"/>
    <s v="WELCOME10"/>
    <n v="2"/>
    <n v="5.99"/>
    <n v="23.98"/>
    <s v="Google Pay"/>
    <x v="3"/>
    <s v="fulfilled"/>
    <s v="Australia"/>
    <m/>
    <s v="Not Required"/>
    <s v="Calhountown"/>
  </r>
  <r>
    <s v="#2765"/>
    <d v="2026-04-08T00:00:00"/>
    <s v="08/04/2026"/>
    <s v="THOMAS ROJAS"/>
    <x v="0"/>
    <s v="thomas.rojas667@icloud.com"/>
    <s v="Classic Cotton T-Shirt"/>
    <s v="Apparel"/>
    <s v="TSH-BLK-M"/>
    <n v="1"/>
    <n v="14.99"/>
    <s v="SAVE20"/>
    <n v="3"/>
    <n v="4.99"/>
    <n v="16.98"/>
    <s v="Apple Pay"/>
    <x v="0"/>
    <s v="fulfilled"/>
    <s v="United States"/>
    <s v="Ohio"/>
    <s v="Valid"/>
    <s v="West Ashley"/>
  </r>
  <r>
    <s v="#2766"/>
    <d v="2026-08-04T00:00:00"/>
    <s v="2026-08-04"/>
    <s v="Donald Davis"/>
    <x v="0"/>
    <s v="donald.davis404@icloud.com"/>
    <s v="Leather Wallet - Brown"/>
    <s v="Accessories"/>
    <s v="ACC-WLT-BRN"/>
    <n v="1"/>
    <n v="19.989999999999998"/>
    <m/>
    <n v="0"/>
    <n v="4.99"/>
    <n v="24.98"/>
    <s v="Credit Card"/>
    <x v="2"/>
    <s v="cancelled"/>
    <s v="Canada"/>
    <m/>
    <s v="Not Required"/>
    <s v="West Gabrielside"/>
  </r>
  <r>
    <s v="#2767"/>
    <d v="2026-04-08T00:00:00"/>
    <s v="08/04/2026"/>
    <s v="Vincent Rosales"/>
    <x v="0"/>
    <s v="vincent.rosales30@icloud.com"/>
    <s v="USB-C Fast Charger 20W"/>
    <s v="Electronics"/>
    <s v="ELC-CHG-20"/>
    <n v="2"/>
    <n v="15.49"/>
    <m/>
    <n v="0"/>
    <n v="7.99"/>
    <n v="38.97"/>
    <s v="PayPal"/>
    <x v="0"/>
    <s v="fulfilled"/>
    <s v="United States"/>
    <s v="OH"/>
    <s v="Valid"/>
    <s v="East Beth"/>
  </r>
  <r>
    <s v="#2768"/>
    <d v="2026-08-04T13:58:52"/>
    <d v="2026-08-04T13:58:52"/>
    <s v="George Green"/>
    <x v="0"/>
    <s v="george.green694@icloud.com"/>
    <s v="Classic Cotton T-Shirt"/>
    <s v="Apparel"/>
    <s v="TSH-BLK-M"/>
    <n v="2"/>
    <n v="14.99"/>
    <m/>
    <n v="0"/>
    <n v="5.99"/>
    <n v="35.97"/>
    <s v="PayPal"/>
    <x v="3"/>
    <s v="refunded"/>
    <s v="United States"/>
    <s v="Texas"/>
    <s v="Valid"/>
    <s v="North Heatherberg"/>
  </r>
  <r>
    <s v="#2769"/>
    <d v="2026-08-04T13:56:29"/>
    <d v="2026-08-04T13:56:29"/>
    <s v="Christopher Martin"/>
    <x v="0"/>
    <s v="christopher.martin10@gmail.com"/>
    <s v="Polarized Sunglasses"/>
    <s v="Accessories"/>
    <s v="ACC-SUN-01"/>
    <n v="1"/>
    <n v="16.989999999999998"/>
    <m/>
    <n v="0"/>
    <n v="7.99"/>
    <n v="24.98"/>
    <s v="Credit Card"/>
    <x v="1"/>
    <s v="fulfilled"/>
    <s v="United States"/>
    <s v="Arizona"/>
    <s v="Valid"/>
    <s v="Ramosberg"/>
  </r>
  <r>
    <s v="#2770"/>
    <d v="2026-08-04T14:02:15"/>
    <d v="2026-08-04T14:02:15"/>
    <s v="Elizabeth Carter"/>
    <x v="0"/>
    <s v="elizabeth.carter304@icloud.com"/>
    <s v="Polarized Sunglasses"/>
    <s v="Accessories"/>
    <s v="ACC-SUN-01"/>
    <n v="1"/>
    <n v="16.989999999999998"/>
    <m/>
    <n v="0"/>
    <n v="5.99"/>
    <n v="22.98"/>
    <s v="PayPal"/>
    <x v="2"/>
    <s v="fulfilled"/>
    <s v="Canada"/>
    <m/>
    <s v="Not Required"/>
    <s v="West Lynn"/>
  </r>
  <r>
    <s v="#2771"/>
    <d v="2026-08-04T13:59:27"/>
    <d v="2026-08-04T13:59:27"/>
    <s v="Kenneth Davis"/>
    <x v="0"/>
    <s v="kenneth.davis106@yahoo.com"/>
    <s v="Resistance Bands Set"/>
    <s v="Sports &amp; Outdoors"/>
    <s v="SP-RBS-SET"/>
    <n v="1"/>
    <n v="13.99"/>
    <m/>
    <n v="0"/>
    <n v="5.99"/>
    <n v="19.98"/>
    <s v="Google Pay"/>
    <x v="1"/>
    <s v="fulfilled"/>
    <s v="United States"/>
    <s v="Georgia"/>
    <s v="Valid"/>
    <s v="Roseton"/>
  </r>
  <r>
    <s v="#2772"/>
    <d v="2026-08-04T13:58:04"/>
    <d v="2026-08-04T13:58:04"/>
    <s v="Mary Garcia"/>
    <x v="0"/>
    <s v="mary.garcia899@icloud.com"/>
    <s v="Resistance Bands Set"/>
    <s v="Sports &amp; Outdoors"/>
    <s v="SP-RBS-SET"/>
    <n v="2"/>
    <s v="$13.99"/>
    <s v="VIP15"/>
    <n v="4.2"/>
    <n v="4.99"/>
    <n v="28.77"/>
    <s v="Shopify Payments"/>
    <x v="0"/>
    <s v="fulfilled"/>
    <s v="Canada"/>
    <m/>
    <s v="Not Required"/>
    <s v="West Sarahchester"/>
  </r>
  <r>
    <s v="#2773"/>
    <d v="2026-08-04T00:00:00"/>
    <s v="Aug 04, 2026"/>
    <s v="Zachary Hanson"/>
    <x v="1"/>
    <m/>
    <s v="Polarized Sunglasses"/>
    <s v="Accessories"/>
    <s v="ACC-SUN-01"/>
    <n v="1"/>
    <n v="16.989999999999998"/>
    <s v="BFCM25"/>
    <n v="4.25"/>
    <n v="4.99"/>
    <n v="17.73"/>
    <s v="Credit Card"/>
    <x v="2"/>
    <s v="pending"/>
    <s v="United States"/>
    <s v="Georgia"/>
    <s v="Valid"/>
    <s v="Gregoryland"/>
  </r>
  <r>
    <s v="#2774"/>
    <d v="2026-08-04T13:56:32"/>
    <d v="2026-08-04T13:56:32"/>
    <s v="Nicholas Jarvis"/>
    <x v="0"/>
    <s v="nicholas.jarvis112@icloud.com"/>
    <s v="Ceramic Coffee Mug Set (4pc)"/>
    <s v="Home &amp; Kitchen"/>
    <s v="HK-MUG-4PK"/>
    <n v="1"/>
    <n v="18.989999999999998"/>
    <s v="BFCM25"/>
    <n v="4.75"/>
    <n v="7.99"/>
    <n v="22.23"/>
    <s v="Credit Card"/>
    <x v="0"/>
    <s v="refunded"/>
    <s v="Canada"/>
    <m/>
    <s v="Not Required"/>
    <s v="Lake Kyleborough"/>
  </r>
  <r>
    <s v="#2775"/>
    <d v="2026-08-04T14:03:53"/>
    <d v="2026-08-04T14:03:53"/>
    <s v="Charles Franco"/>
    <x v="0"/>
    <s v="charles.franco761@outlook.com"/>
    <s v="Running Shoes - Men's"/>
    <s v="Footwear"/>
    <s v="FTW-RUN-M"/>
    <n v="2"/>
    <n v="54.99"/>
    <s v="VIP15"/>
    <n v="16.5"/>
    <n v="0"/>
    <n v="93.48"/>
    <s v="Apple Pay"/>
    <x v="2"/>
    <s v="fulfilled"/>
    <s v="United States"/>
    <s v="Georgia"/>
    <s v="Valid"/>
    <s v="Jacobton"/>
  </r>
  <r>
    <s v="#2776"/>
    <d v="2026-08-04T00:00:00"/>
    <s v="2026-08-04"/>
    <s v="Jacob Gibbs"/>
    <x v="0"/>
    <s v="jacob.gibbs527@gmail.com"/>
    <s v="Vitamin C Serum 30ml"/>
    <s v="Beauty"/>
    <s v="BTY-SRM-30"/>
    <n v="1"/>
    <n v="24.99"/>
    <m/>
    <n v="0"/>
    <n v="7.99"/>
    <n v="32.979999999999997"/>
    <s v="Credit Card"/>
    <x v="3"/>
    <s v="fulfilled"/>
    <s v="United States"/>
    <s v="AZ"/>
    <s v="Valid"/>
    <s v="Lake Frankton"/>
  </r>
  <r>
    <s v="#2777"/>
    <d v="2026-04-08T00:00:00"/>
    <s v="08/04/2026"/>
    <s v="Darin Alvarez"/>
    <x v="0"/>
    <s v="darin.alvarez843@gmail.com"/>
    <s v="Wireless Mouse"/>
    <s v="Electronics"/>
    <s v="ELC-MSE-WL"/>
    <n v="1"/>
    <n v="11.99"/>
    <m/>
    <n v="0"/>
    <n v="7.99"/>
    <s v="$19.98"/>
    <s v="Credit Card"/>
    <x v="1"/>
    <s v="fulfilled"/>
    <s v="Canada"/>
    <m/>
    <s v="Not Required"/>
    <s v="West Jamesfort"/>
  </r>
  <r>
    <s v="#2778"/>
    <d v="2026-08-04T14:07:25"/>
    <d v="2026-08-04T14:07:25"/>
    <s v="Stephanie Mcgee"/>
    <x v="0"/>
    <s v="stephanie.mcgee557@outlook.com"/>
    <s v="Ceramic Coffee Mug Set (4pc)"/>
    <s v="Home &amp; Kitchen"/>
    <s v="HK-MUG-4PK"/>
    <n v="1"/>
    <n v="18.989999999999998"/>
    <s v="WELCOME10"/>
    <n v="1.9"/>
    <n v="4.99"/>
    <n v="22.08"/>
    <s v="Shopify Payments"/>
    <x v="0"/>
    <s v="refunded"/>
    <s v="Australia"/>
    <m/>
    <s v="Not Required"/>
    <s v="Flynnport"/>
  </r>
  <r>
    <s v="#2779"/>
    <d v="2026-08-04T14:05:39"/>
    <d v="2026-08-04T14:05:39"/>
    <s v="Anthony Krueger"/>
    <x v="0"/>
    <s v="anthony.krueger812@yahoo.com"/>
    <s v="Stainless Steel Water Bottle"/>
    <s v="Home &amp; Kitchen"/>
    <s v="HK-BTL-750"/>
    <n v="1"/>
    <n v="12.99"/>
    <s v="VIP15"/>
    <n v="1.95"/>
    <n v="5.99"/>
    <n v="17.03"/>
    <s v="Google Pay"/>
    <x v="2"/>
    <s v="refunded"/>
    <s v="Pakistan"/>
    <m/>
    <s v="Not Required"/>
    <s v="Hughesmouth"/>
  </r>
  <r>
    <s v="#2780"/>
    <d v="2026-08-04T14:04:55"/>
    <d v="2026-08-04T14:04:55"/>
    <s v="Ian Morris"/>
    <x v="0"/>
    <s v="ian.morris90@outlook.com"/>
    <s v="Leather Wallet - Brown"/>
    <s v="Accessories"/>
    <s v="ACC-WLT-BRN"/>
    <n v="1"/>
    <n v="19.989999999999998"/>
    <s v="VIP15"/>
    <n v="3"/>
    <n v="7.99"/>
    <n v="24.98"/>
    <s v="Credit Card"/>
    <x v="0"/>
    <s v="refunded"/>
    <s v="Pakistan"/>
    <m/>
    <s v="Not Required"/>
    <s v="North Matthewfurt"/>
  </r>
  <r>
    <s v="#2781"/>
    <d v="2026-08-04T14:06:58"/>
    <d v="2026-08-04T14:06:58"/>
    <m/>
    <x v="0"/>
    <s v="sean.frank587@icloud.com"/>
    <s v="USB-C Fast Charger 20W"/>
    <s v="Electronics"/>
    <s v="ELC-CHG-20"/>
    <n v="1"/>
    <n v="15.49"/>
    <m/>
    <n v="0"/>
    <n v="5.99"/>
    <n v="21.48"/>
    <s v="Shopify Payments"/>
    <x v="0"/>
    <s v="fulfilled"/>
    <s v="Australia"/>
    <m/>
    <s v="Not Required"/>
    <s v="Terryport"/>
  </r>
  <r>
    <s v="#2782"/>
    <d v="2026-08-04T13:57:08"/>
    <d v="2026-08-04T13:57:08"/>
    <s v="ALAN DAVIS"/>
    <x v="0"/>
    <s v="alan.davis483@icloud.com"/>
    <s v="Adjustable Dumbbell Set"/>
    <s v="Sports &amp; Outdoors"/>
    <s v="SP-DMB-ADJ"/>
    <n v="2"/>
    <n v="89.99"/>
    <m/>
    <n v="0"/>
    <n v="0"/>
    <s v="$179.98"/>
    <s v="Credit Card"/>
    <x v="0"/>
    <s v="refunded"/>
    <s v="Canada"/>
    <m/>
    <s v="Not Required"/>
    <s v="Bergton"/>
  </r>
  <r>
    <s v="#2783"/>
    <d v="2026-04-08T00:00:00"/>
    <s v="08/04/2026"/>
    <s v="Amanda Robinson"/>
    <x v="0"/>
    <s v="amanda.robinson263@icloud.com"/>
    <s v="Running Shoes - Women's"/>
    <s v="Footwear"/>
    <s v="FTW-RUN-W"/>
    <n v="1"/>
    <n v="54.99"/>
    <m/>
    <n v="0"/>
    <n v="5.99"/>
    <n v="60.98"/>
    <s v="Apple Pay"/>
    <x v="0"/>
    <s v="fulfilled"/>
    <s v="United States"/>
    <s v="Washington"/>
    <s v="Valid"/>
    <s v="New Cindy"/>
  </r>
  <r>
    <s v="#2784"/>
    <d v="2026-08-04T13:56:49"/>
    <d v="2026-08-04T13:56:49"/>
    <s v="James Miller"/>
    <x v="0"/>
    <s v="james.miller866@yahoo.com"/>
    <s v="Vitamin C Serum 30ml"/>
    <s v="Beauty"/>
    <s v="BTY-SRM-30"/>
    <n v="1"/>
    <n v="24.99"/>
    <m/>
    <n v="0"/>
    <n v="5.99"/>
    <n v="30.98"/>
    <s v="Apple Pay"/>
    <x v="3"/>
    <s v="cancelled"/>
    <s v="Pakistan"/>
    <m/>
    <s v="Not Required"/>
    <s v="West Anthonymouth"/>
  </r>
  <r>
    <s v="#2785"/>
    <d v="2026-08-04T14:02:35"/>
    <d v="2026-08-04T14:02:35"/>
    <s v="Lisa Zuniga"/>
    <x v="0"/>
    <s v="lisa.zuniga825@outlook.com"/>
    <s v="Slim Fit Denim Jeans"/>
    <s v="Apparel"/>
    <s v="JNS-BLU-32"/>
    <n v="1"/>
    <n v="39.99"/>
    <m/>
    <n v="0"/>
    <n v="5.99"/>
    <n v="45.98"/>
    <s v="Credit Card"/>
    <x v="2"/>
    <s v="fulfilled"/>
    <s v="Germany"/>
    <m/>
    <s v="Not Required"/>
    <s v="Marcmouth"/>
  </r>
  <r>
    <s v="#2786"/>
    <d v="2026-08-04T14:00:17"/>
    <d v="2026-08-04T14:00:17"/>
    <s v="Vincent Rosales"/>
    <x v="1"/>
    <m/>
    <s v="Non-Stick Frying Pan 10in"/>
    <s v="Home &amp; Kitchen"/>
    <s v="HK-PAN-10"/>
    <n v="1"/>
    <n v="24.99"/>
    <s v="FREESHIP"/>
    <n v="0"/>
    <n v="0"/>
    <n v="24.99"/>
    <s v="Apple Pay"/>
    <x v="3"/>
    <s v="cancelled"/>
    <s v="United States"/>
    <s v="Illinois"/>
    <s v="Valid"/>
    <s v="North Teresa"/>
  </r>
  <r>
    <s v="#2787"/>
    <d v="2026-08-04T14:04:53"/>
    <d v="2026-08-04T14:04:53"/>
    <s v="Christopher Harrington"/>
    <x v="0"/>
    <s v="christopher.harrington960@gmail.com"/>
    <s v="Polarized Sunglasses"/>
    <s v="Accessories"/>
    <s v="ACC-SUN-01"/>
    <n v="1"/>
    <n v="16.989999999999998"/>
    <s v="BFCM25"/>
    <n v="4.25"/>
    <n v="7.99"/>
    <n v="20.73"/>
    <s v="Google Pay"/>
    <x v="1"/>
    <s v="fulfilled"/>
    <s v="Australia"/>
    <m/>
    <s v="Not Required"/>
    <s v="South Stacie"/>
  </r>
  <r>
    <s v="#2788"/>
    <d v="2026-08-04T13:53:44"/>
    <d v="2026-08-04T13:53:44"/>
    <s v="Charles Franco"/>
    <x v="0"/>
    <s v="charles.franco761@outlook.com"/>
    <s v="Resistance Bands Set"/>
    <s v="Sports &amp; Outdoors"/>
    <s v="SP-RBS-SET"/>
    <n v="1"/>
    <n v="13.99"/>
    <s v="SAVE20"/>
    <n v="2.8"/>
    <n v="4.99"/>
    <n v="16.18"/>
    <s v="PayPal"/>
    <x v="0"/>
    <s v="fulfilled"/>
    <s v="United States"/>
    <s v="Florida"/>
    <s v="Valid"/>
    <s v="West Dawn"/>
  </r>
  <r>
    <s v="#2789"/>
    <d v="2026-08-04T14:07:53"/>
    <d v="2026-08-04T14:07:53"/>
    <s v="Jesus Mason"/>
    <x v="0"/>
    <s v="jesus.mason798@icloud.com"/>
    <s v="Wireless Mouse"/>
    <s v="Electronics"/>
    <s v="ELC-MSE-WL"/>
    <n v="1"/>
    <n v="11.99"/>
    <s v="BFCM25"/>
    <s v="$3.00"/>
    <n v="5.99"/>
    <n v="14.98"/>
    <s v="PayPal"/>
    <x v="2"/>
    <s v="fulfilled"/>
    <s v="United States"/>
    <s v="Ohio"/>
    <s v="Valid"/>
    <s v="Olsonberg"/>
  </r>
  <r>
    <s v="#2790"/>
    <d v="2026-08-04T13:55:21"/>
    <d v="2026-08-04T13:55:21"/>
    <s v="Nancy Nichols"/>
    <x v="0"/>
    <s v="nancy.nichols189@yahoo.com"/>
    <s v="Polarized Sunglasses"/>
    <s v="Accessories"/>
    <s v="ACC-SUN-01"/>
    <n v="1"/>
    <n v="16.989999999999998"/>
    <s v="SAVE20"/>
    <n v="3.4"/>
    <n v="7.99"/>
    <n v="21.58"/>
    <s v="Apple Pay"/>
    <x v="2"/>
    <s v="cancelled"/>
    <s v="United States"/>
    <s v="North Carolina"/>
    <s v="Valid"/>
    <s v="Thompsonton"/>
  </r>
  <r>
    <s v="#2791"/>
    <d v="2026-08-04T14:01:29"/>
    <d v="2026-08-04T14:01:29"/>
    <s v="Robert Ramsey"/>
    <x v="0"/>
    <s v="robert.ramsey440@outlook.com"/>
    <s v="Wireless Bluetooth Earbuds"/>
    <s v="Electronics"/>
    <s v="ELC-WBE-01"/>
    <n v="1"/>
    <n v="29.99"/>
    <m/>
    <n v="0"/>
    <n v="4.99"/>
    <n v="34.979999999999997"/>
    <s v="Apple Pay"/>
    <x v="3"/>
    <s v="fulfilled"/>
    <s v="Canada"/>
    <m/>
    <s v="Not Required"/>
    <s v="Rosemouth"/>
  </r>
  <r>
    <s v="#2793"/>
    <d v="2026-08-04T14:05:54"/>
    <d v="2026-08-04T14:05:54"/>
    <s v="Jesus Mason"/>
    <x v="0"/>
    <s v="jesus.mason798@icloud.com"/>
    <s v="Non-Stick Frying Pan 10in"/>
    <s v="Home &amp; Kitchen"/>
    <s v="HK-PAN-10"/>
    <n v="1"/>
    <n v="24.99"/>
    <s v="BFCM25"/>
    <n v="6.25"/>
    <n v="7.99"/>
    <n v="26.73"/>
    <s v="Google Pay"/>
    <x v="3"/>
    <s v="pending"/>
    <s v="United States"/>
    <s v="GA"/>
    <s v="Valid"/>
    <s v="South Danielshire"/>
  </r>
  <r>
    <s v="#2794"/>
    <d v="2026-08-04T14:07:11"/>
    <d v="2026-08-04T14:07:11"/>
    <s v="Sandra Potter"/>
    <x v="0"/>
    <s v="sandra.potter166@yahoo.com"/>
    <s v="Wireless Bluetooth Earbuds"/>
    <s v="Electronics"/>
    <s v="ELC-WBE-01"/>
    <n v="2"/>
    <n v="29.99"/>
    <s v="FREESHIP"/>
    <n v="0"/>
    <n v="0"/>
    <n v="59.98"/>
    <s v="Apple Pay"/>
    <x v="0"/>
    <s v="pending"/>
    <s v="United States"/>
    <s v="California"/>
    <s v="Valid"/>
    <s v="Andradeburgh"/>
  </r>
  <r>
    <s v="#2795"/>
    <d v="2026-08-04T00:00:00"/>
    <s v="2026-08-04"/>
    <s v="Jose Ingram"/>
    <x v="1"/>
    <m/>
    <s v="Scented Soy Candle - Vanilla"/>
    <s v="Home &amp; Kitchen"/>
    <s v="HK-CND-VAN"/>
    <n v="1"/>
    <n v="9.99"/>
    <s v=" WELCOME10 "/>
    <n v="1"/>
    <n v="5.99"/>
    <n v="14.98"/>
    <s v="Google Pay"/>
    <x v="2"/>
    <s v="pending"/>
    <s v="United States"/>
    <s v="TX"/>
    <s v="Valid"/>
    <s v="Port Caitlin"/>
  </r>
  <r>
    <s v="#2796"/>
    <d v="2026-08-04T14:06:53"/>
    <d v="2026-08-04T14:06:53"/>
    <s v="Christopher Osborne"/>
    <x v="0"/>
    <s v="christopher.osborne481@yahoo.com"/>
    <s v="Hooded Sweatshirt"/>
    <s v="Apparel"/>
    <s v="APR-HOD-GRY"/>
    <n v="1"/>
    <n v="34.99"/>
    <m/>
    <n v="0"/>
    <n v="5.99"/>
    <n v="40.98"/>
    <s v="Credit Card"/>
    <x v="0"/>
    <s v="fulfilled"/>
    <s v="United States"/>
    <s v="North Carolina"/>
    <s v="Valid"/>
    <s v="Ricardomouth"/>
  </r>
  <r>
    <s v="#2797"/>
    <d v="2026-08-04T13:56:18"/>
    <d v="2026-08-04T13:56:18"/>
    <s v="Zachary Hanson"/>
    <x v="0"/>
    <s v="zachary.hanson261@outlook.com"/>
    <s v="Adjustable Dumbbell Set"/>
    <s v="Sports &amp; Outdoors"/>
    <s v="SP-DMB-ADJ"/>
    <n v="1"/>
    <n v="89.99"/>
    <s v="WELCOME10"/>
    <n v="9"/>
    <n v="0"/>
    <n v="80.989999999999995"/>
    <s v="Credit Card"/>
    <x v="3"/>
    <s v="refunded"/>
    <s v="United States"/>
    <s v="Georgia"/>
    <s v="Valid"/>
    <s v="Mcintoshbury"/>
  </r>
  <r>
    <s v="#2798"/>
    <d v="2026-08-04T13:55:45"/>
    <d v="2026-08-04T13:55:45"/>
    <s v="Daniel Hill"/>
    <x v="0"/>
    <s v="daniel.hill472@outlook.com"/>
    <s v="Adjustable Dumbbell Set"/>
    <s v="Sports &amp; Outdoors"/>
    <s v="SP-DMB-ADJ"/>
    <n v="1"/>
    <n v="89.99"/>
    <m/>
    <n v="0"/>
    <n v="0"/>
    <n v="89.99"/>
    <s v="Google Pay"/>
    <x v="0"/>
    <s v="refunded"/>
    <s v="Australia"/>
    <m/>
    <s v="Not Required"/>
    <s v="West Daniel"/>
  </r>
  <r>
    <s v="#2799"/>
    <d v="2026-08-04T14:06:18"/>
    <d v="2026-08-04T14:06:18"/>
    <s v="Trevor Carter"/>
    <x v="0"/>
    <s v="trevor.carter617@icloud.com"/>
    <s v="Adjustable Dumbbell Set"/>
    <s v="Sports &amp; Outdoors"/>
    <s v="SP-DMB-ADJ"/>
    <n v="1"/>
    <n v="89.99"/>
    <s v="BFCM25"/>
    <n v="22.5"/>
    <n v="0"/>
    <n v="67.489999999999995"/>
    <s v="Google Pay"/>
    <x v="0"/>
    <s v="pending"/>
    <s v="United States"/>
    <s v="Georgia"/>
    <s v="Valid"/>
    <s v="Port Jamie"/>
  </r>
  <r>
    <s v="#2800"/>
    <d v="2026-08-04T14:00:44"/>
    <d v="2026-08-04T14:00:44"/>
    <s v="Janet Martinez"/>
    <x v="0"/>
    <s v="janet.martinez20@yahoo.com"/>
    <s v="Backpack - 25L"/>
    <s v="Accessories"/>
    <s v="ACC-BPK-25L"/>
    <n v="1"/>
    <n v="32.99"/>
    <m/>
    <n v="0"/>
    <n v="5.99"/>
    <n v="38.979999999999997"/>
    <s v="Credit Card"/>
    <x v="3"/>
    <s v="refunded"/>
    <s v="United States"/>
    <s v="North Carolina"/>
    <s v="Valid"/>
    <s v="Martinezmouth"/>
  </r>
  <r>
    <s v="#2801"/>
    <d v="2026-08-04T00:00:00"/>
    <s v="Aug 04, 2026"/>
    <s v="Joshua Ayers"/>
    <x v="0"/>
    <s v="joshua.ayers935@yahoo.com"/>
    <s v="Yoga Mat - Extra Thick"/>
    <s v="Sports &amp; Outdoors"/>
    <s v="SP-YGM-EX"/>
    <n v="2"/>
    <n v="22.99"/>
    <m/>
    <n v="0"/>
    <n v="7.99"/>
    <n v="53.97"/>
    <s v="Shopify Payments"/>
    <x v="0"/>
    <s v="refunded"/>
    <s v="Germany"/>
    <m/>
    <s v="Not Required"/>
    <s v="Lake Scottmouth"/>
  </r>
  <r>
    <s v="#2802"/>
    <d v="2026-08-04T13:56:57"/>
    <d v="2026-08-04T13:56:57"/>
    <s v="Amanda Rodriguez"/>
    <x v="0"/>
    <s v="amanda.rodriguez770@yahoo.com"/>
    <s v="Phone Case - Clear"/>
    <s v="Electronics"/>
    <s v="ELC-CSE-CLR"/>
    <n v="1"/>
    <n v="8.99"/>
    <s v="VIP15"/>
    <n v="1.35"/>
    <n v="7.99"/>
    <n v="15.63"/>
    <s v="PayPal"/>
    <x v="2"/>
    <s v="cancelled"/>
    <s v="United States"/>
    <s v="North Carolina"/>
    <s v="Valid"/>
    <s v="Johnsontown"/>
  </r>
  <r>
    <s v="#2803"/>
    <d v="2026-04-08T00:00:00"/>
    <s v="08/04/2026"/>
    <s v="Christopher Osborne"/>
    <x v="0"/>
    <s v="christopher.osborne481@yahoo.com"/>
    <s v="Yoga Mat - Extra Thick"/>
    <s v="Sports &amp; Outdoors"/>
    <s v="SP-YGM-EX"/>
    <n v="1"/>
    <n v="22.99"/>
    <s v="FREESHIP"/>
    <n v="0"/>
    <n v="0"/>
    <n v="22.99"/>
    <s v="Apple Pay"/>
    <x v="2"/>
    <s v="fulfilled"/>
    <s v="United States"/>
    <s v="Georgia"/>
    <s v="Valid"/>
    <s v="West Keith"/>
  </r>
  <r>
    <s v="#2804"/>
    <d v="2026-08-04T00:00:00"/>
    <s v="2026-08-04"/>
    <s v="Jamie Brown"/>
    <x v="0"/>
    <s v="jamie.brown582@icloud.com"/>
    <s v="Wireless Bluetooth Earbuds"/>
    <s v="Electronics"/>
    <s v="ELC-WBE-01"/>
    <n v="2"/>
    <n v="29.99"/>
    <s v="SAVE20"/>
    <n v="12"/>
    <n v="5.99"/>
    <n v="53.97"/>
    <s v="PayPal"/>
    <x v="2"/>
    <s v="fulfilled"/>
    <s v="United States"/>
    <s v="Canada"/>
    <s v="Valid"/>
    <s v="Rileystad"/>
  </r>
  <r>
    <s v="#2805"/>
    <d v="2026-08-04T14:07:40"/>
    <d v="2026-08-04T14:07:40"/>
    <s v="Erika Maxwell"/>
    <x v="0"/>
    <s v="erika.maxwell281@gmail.com"/>
    <s v="Yoga Mat - Extra Thick"/>
    <s v="Sports &amp; Outdoors"/>
    <s v="SP-YGM-EX"/>
    <n v="1"/>
    <n v="22.99"/>
    <m/>
    <n v="0"/>
    <n v="4.99"/>
    <n v="27.98"/>
    <s v="PayPal"/>
    <x v="1"/>
    <s v="refunded"/>
    <s v="United States"/>
    <s v="Texas"/>
    <s v="Valid"/>
    <s v="North Mark"/>
  </r>
  <r>
    <s v="#2806"/>
    <d v="2026-08-04T13:57:26"/>
    <d v="2026-08-04T13:57:26"/>
    <s v="Michael Hays"/>
    <x v="0"/>
    <s v="michael.hays590@gmail.com"/>
    <s v="Phone Case - Clear"/>
    <s v="Electronics"/>
    <s v="ELC-CSE-CLR"/>
    <n v="1"/>
    <n v="8.99"/>
    <s v="VIP15"/>
    <n v="1.35"/>
    <n v="7.99"/>
    <n v="15.63"/>
    <s v="Shopify Payments"/>
    <x v="1"/>
    <s v="fulfilled"/>
    <s v="United States"/>
    <s v="Florida"/>
    <s v="Valid"/>
    <s v="Bennettside"/>
  </r>
  <r>
    <s v="#2807"/>
    <d v="2026-08-04T14:04:59"/>
    <d v="2026-08-04T14:04:59"/>
    <s v="Patricia Thompson"/>
    <x v="0"/>
    <s v="patricia.thompson164@icloud.com"/>
    <s v="Slim Fit Denim Jeans"/>
    <s v="Apparel"/>
    <s v="JNS-BLU-32"/>
    <n v="1"/>
    <n v="39.99"/>
    <m/>
    <s v="$0.00"/>
    <n v="4.99"/>
    <n v="44.98"/>
    <s v="PayPal"/>
    <x v="1"/>
    <s v="fulfilled"/>
    <s v="United States"/>
    <s v="TX"/>
    <s v="Valid"/>
    <s v="New Loriport"/>
  </r>
  <r>
    <s v="#2808"/>
    <d v="2026-08-04T14:03:43"/>
    <d v="2026-08-04T14:03:43"/>
    <s v="Carly Johnson"/>
    <x v="0"/>
    <s v="carly.johnson664@gmail.com"/>
    <s v="Classic Cotton T-Shirt"/>
    <s v="Apparel"/>
    <s v="TSH-BLK-L"/>
    <n v="1"/>
    <n v="14.99"/>
    <s v="SAVE20"/>
    <n v="3"/>
    <n v="4.99"/>
    <n v="16.98"/>
    <s v="Google Pay"/>
    <x v="0"/>
    <s v="fulfilled"/>
    <s v="Germany"/>
    <m/>
    <s v="Not Required"/>
    <s v="Kingmouth"/>
  </r>
  <r>
    <s v="#2809"/>
    <d v="2026-08-04T13:57:45"/>
    <d v="2026-08-04T13:57:45"/>
    <s v="James Miller"/>
    <x v="0"/>
    <s v="james.miller866@yahoo.com"/>
    <s v="Classic Cotton T-Shirt"/>
    <s v="Apparel"/>
    <s v="TSH-BLK-M"/>
    <n v="1"/>
    <n v="14.99"/>
    <s v="SAVE20"/>
    <n v="3"/>
    <n v="7.99"/>
    <n v="19.98"/>
    <s v="Shopify Payments"/>
    <x v="0"/>
    <s v="fulfilled"/>
    <s v="Pakistan"/>
    <m/>
    <s v="Not Required"/>
    <s v="Timothyfort"/>
  </r>
  <r>
    <s v="#2810"/>
    <d v="2026-04-08T00:00:00"/>
    <s v="08/04/2026"/>
    <s v="Jennifer Lee"/>
    <x v="0"/>
    <s v="jennifer.lee321@icloud.com"/>
    <s v="Hooded Sweatshirt"/>
    <s v="Apparel"/>
    <s v="APR-HOD-GRY"/>
    <n v="1"/>
    <n v="34.99"/>
    <s v="WELCOME10"/>
    <n v="3.5"/>
    <n v="7.99"/>
    <n v="39.479999999999997"/>
    <s v="PayPal"/>
    <x v="0"/>
    <s v="fulfilled"/>
    <s v="United Kingdom"/>
    <m/>
    <s v="Not Required"/>
    <s v="Natashaview"/>
  </r>
  <r>
    <s v="#2811"/>
    <d v="2026-08-04T14:01:42"/>
    <d v="2026-08-04T14:01:42"/>
    <s v="Anthony Mullen"/>
    <x v="0"/>
    <s v="anthony.mullen523@yahoo.com"/>
    <s v="USB-C Fast Charger 20W"/>
    <s v="Electronics"/>
    <s v="ELC-CHG-20"/>
    <n v="2"/>
    <n v="15.49"/>
    <s v="BFCM25"/>
    <n v="7.75"/>
    <n v="7.99"/>
    <n v="31.22"/>
    <s v="PayPal"/>
    <x v="1"/>
    <s v="refunded"/>
    <s v="United States"/>
    <s v="Ohio"/>
    <s v="Valid"/>
    <s v="West Katherine"/>
  </r>
  <r>
    <s v="#2812"/>
    <d v="2026-08-04T13:54:36"/>
    <d v="2026-08-04T13:54:36"/>
    <s v="Lauren Nguyen"/>
    <x v="0"/>
    <s v="lauren.nguyen819@outlook.com"/>
    <s v="Facial Cleanser 200ml"/>
    <s v="Beauty"/>
    <s v="BTY-CLN-200"/>
    <n v="2"/>
    <s v="$13.49"/>
    <s v="FREESHIP"/>
    <n v="0"/>
    <n v="0"/>
    <n v="26.98"/>
    <s v="Google Pay"/>
    <x v="0"/>
    <s v="fulfilled"/>
    <s v="United Kingdom"/>
    <m/>
    <s v="Not Required"/>
    <s v="New Bruce"/>
  </r>
  <r>
    <s v="#2813"/>
    <d v="2026-08-04T14:06:09"/>
    <d v="2026-08-04T14:06:09"/>
    <s v="Sean Frank"/>
    <x v="0"/>
    <s v="sean.frank587@icloud.com"/>
    <s v="Classic Cotton T-Shirt"/>
    <s v="Apparel"/>
    <s v="TSH-BLK-M"/>
    <n v="1"/>
    <n v="14.99"/>
    <s v="WELCOME10"/>
    <n v="1.5"/>
    <n v="5.99"/>
    <n v="19.48"/>
    <s v="Apple Pay"/>
    <x v="0"/>
    <s v="pending"/>
    <s v="Australia"/>
    <m/>
    <s v="Not Required"/>
    <s v="Lake Breannashire"/>
  </r>
  <r>
    <s v="#2814"/>
    <d v="2026-08-04T14:01:26"/>
    <d v="2026-08-04T14:01:26"/>
    <s v="Andrea Martinez"/>
    <x v="0"/>
    <s v="andrea.martinez756@yahoo.com"/>
    <s v="Classic Cotton T-Shirt"/>
    <s v="Apparel"/>
    <s v="TSH-BLK-M"/>
    <n v="2"/>
    <n v="14.99"/>
    <s v="SAVE20"/>
    <n v="6"/>
    <n v="4.99"/>
    <n v="28.97"/>
    <s v="Shopify Payments"/>
    <x v="0"/>
    <s v="fulfilled"/>
    <s v="Australia"/>
    <m/>
    <s v="Not Required"/>
    <s v="Alisonton"/>
  </r>
  <r>
    <s v="#2815"/>
    <d v="2026-08-04T00:00:00"/>
    <s v="2026-08-04"/>
    <s v="Danielle Franco"/>
    <x v="0"/>
    <s v="danielle.franco952@yahoo.com"/>
    <s v="Resistance Bands Set"/>
    <s v="Sports &amp; Outdoors"/>
    <s v="SP-RBS-SET"/>
    <n v="1"/>
    <n v="13.99"/>
    <s v="WELCOME10"/>
    <n v="1.4"/>
    <n v="7.99"/>
    <n v="20.58"/>
    <s v="Credit Card"/>
    <x v="0"/>
    <s v="refunded"/>
    <s v="Germany"/>
    <m/>
    <s v="Not Required"/>
    <s v="Port Daniel"/>
  </r>
  <r>
    <s v="#2816"/>
    <d v="2026-08-04T13:54:19"/>
    <d v="2026-08-04T13:54:19"/>
    <s v="Alan Davis"/>
    <x v="0"/>
    <s v="alan.davis483@icloud.com"/>
    <s v="Kids Building Blocks Set"/>
    <s v="Toys"/>
    <s v="TOY-BLK-SET"/>
    <n v="4"/>
    <n v="27.99"/>
    <s v="WELCOME10"/>
    <s v="$11.20"/>
    <n v="0"/>
    <n v="100.76"/>
    <s v="Google Pay"/>
    <x v="3"/>
    <s v="pending"/>
    <s v="Canada"/>
    <m/>
    <s v="Not Required"/>
    <s v="Andreaview"/>
  </r>
  <r>
    <s v="#2817"/>
    <d v="2026-08-04T13:54:11"/>
    <d v="2026-08-04T13:54:11"/>
    <s v="Aimee Smith"/>
    <x v="0"/>
    <s v="aimee.smith857@icloud.com"/>
    <s v="Classic Cotton T Shirt"/>
    <s v="Apparel"/>
    <s v="TSH-BLK-M"/>
    <n v="1"/>
    <n v="14.99"/>
    <m/>
    <n v="0"/>
    <n v="5.99"/>
    <n v="20.98"/>
    <s v="PayPal"/>
    <x v="2"/>
    <s v="cancelled"/>
    <s v="United Kingdom"/>
    <m/>
    <s v="Not Required"/>
    <s v="Charlesland"/>
  </r>
  <r>
    <s v="#2818"/>
    <d v="2026-08-04T14:05:24"/>
    <d v="2026-08-04T14:05:24"/>
    <s v="COURTNEY BULLOCK"/>
    <x v="0"/>
    <s v="courtney.bullock860@outlook.com"/>
    <s v="Wireless Bluetooth Earbuds"/>
    <s v="Electronics"/>
    <s v="ELC-WBE-01"/>
    <n v="1"/>
    <n v="29.99"/>
    <m/>
    <n v="0"/>
    <n v="4.99"/>
    <n v="34.979999999999997"/>
    <s v="Apple Pay"/>
    <x v="0"/>
    <s v="fulfilled"/>
    <s v="United Kingdom"/>
    <m/>
    <s v="Not Required"/>
    <s v="North Christopher"/>
  </r>
  <r>
    <s v="#2819"/>
    <d v="2026-08-04T14:04:01"/>
    <d v="2026-08-04T14:04:01"/>
    <s v="Amy Barnett"/>
    <x v="0"/>
    <s v="amy.barnett396@icloud.com"/>
    <s v="Leather Wallet - Brown"/>
    <s v="Accessories"/>
    <s v="ACC-WLT-BRN"/>
    <n v="2"/>
    <s v="$19.99"/>
    <m/>
    <n v="0"/>
    <n v="7.99"/>
    <n v="47.97"/>
    <s v="Shopify Payments"/>
    <x v="1"/>
    <s v="fulfilled"/>
    <s v="Pakistan"/>
    <m/>
    <s v="Not Required"/>
    <s v="East Michellefurt"/>
  </r>
  <r>
    <s v="#2820"/>
    <d v="2026-08-04T13:56:43"/>
    <d v="2026-08-04T13:56:43"/>
    <s v="Joshua Owens"/>
    <x v="0"/>
    <s v="joshua.owens56@icloud.com"/>
    <s v="Running Shoes - Women's"/>
    <s v="Footwear"/>
    <s v="FTW-RUN-W"/>
    <n v="1"/>
    <n v="54.99"/>
    <m/>
    <n v="0"/>
    <n v="5.99"/>
    <n v="60.98"/>
    <s v="PayPal"/>
    <x v="1"/>
    <s v="fulfilled"/>
    <s v="United States"/>
    <s v="OH"/>
    <s v="Valid"/>
    <s v="New Dawn"/>
  </r>
  <r>
    <s v="#2821"/>
    <d v="2026-08-04T14:00:08"/>
    <d v="2026-08-04T14:00:08"/>
    <s v="James Castro"/>
    <x v="1"/>
    <m/>
    <s v="Ceramic Coffee Mug Set (4pc)"/>
    <s v="Home &amp; Kitchen"/>
    <s v="HK-MUG-4PK"/>
    <n v="1"/>
    <n v="18.989999999999998"/>
    <s v="WELCOME10"/>
    <n v="1.9"/>
    <n v="4.99"/>
    <n v="22.08"/>
    <s v="Credit Card"/>
    <x v="0"/>
    <s v="fulfilled"/>
    <s v="Pakistan"/>
    <m/>
    <s v="Not Required"/>
    <s v="Lake Savannah"/>
  </r>
  <r>
    <s v="#2822"/>
    <d v="2026-08-04T14:04:28"/>
    <d v="2026-08-04T14:04:28"/>
    <s v="Christopher Osborne"/>
    <x v="0"/>
    <s v="christopher.osborne481@yahoo.com"/>
    <s v="Polarized Sunglasses"/>
    <s v="Accessories"/>
    <s v="ACC-SUN-01"/>
    <n v="3"/>
    <n v="16.989999999999998"/>
    <s v="FREESHIP"/>
    <n v="0"/>
    <n v="0"/>
    <n v="50.97"/>
    <s v="Google Pay"/>
    <x v="2"/>
    <s v="fulfilled"/>
    <s v="United States"/>
    <s v="California"/>
    <s v="Valid"/>
    <s v="Smithhaven"/>
  </r>
  <r>
    <s v="#2823"/>
    <d v="2026-08-04T13:59:33"/>
    <d v="2026-08-04T13:59:33"/>
    <s v="Kaitlyn Hernandez"/>
    <x v="1"/>
    <m/>
    <s v="Stainless Steel Water Bottle"/>
    <s v="Home &amp; Kitchen"/>
    <s v="HK-BTL-750"/>
    <n v="1"/>
    <n v="12.99"/>
    <s v="BFCM25"/>
    <n v="3.25"/>
    <n v="5.99"/>
    <s v="$15.73"/>
    <s v="PayPal"/>
    <x v="0"/>
    <s v="cancelled"/>
    <s v="Pakistan"/>
    <m/>
    <s v="Not Required"/>
    <s v="New Tony"/>
  </r>
  <r>
    <s v="#2824"/>
    <d v="2026-08-04T13:56:28"/>
    <d v="2026-08-04T13:56:28"/>
    <s v="Devon Rodriguez"/>
    <x v="0"/>
    <s v="devon.rodriguez635@outlook.com"/>
    <s v="Running Shoes - Men's"/>
    <s v="Footwear"/>
    <s v="FTW-RUN-M"/>
    <n v="1"/>
    <n v="54.99"/>
    <m/>
    <n v="0"/>
    <n v="7.99"/>
    <n v="62.98"/>
    <s v="Apple Pay"/>
    <x v="1"/>
    <s v="refunded"/>
    <s v="United States"/>
    <s v="Texas"/>
    <s v="Valid"/>
    <s v="South Nicholasberg"/>
  </r>
  <r>
    <s v="#2825"/>
    <d v="2026-08-04T14:01:23"/>
    <d v="2026-08-04T14:01:23"/>
    <s v="Timothy Santos"/>
    <x v="0"/>
    <s v="timothy.santos549@outlook.com"/>
    <s v="Kids Building Blocks Set"/>
    <s v="Toys"/>
    <s v="TOY-BLK-SET"/>
    <n v="2"/>
    <s v="$27.99"/>
    <s v="FREESHIP"/>
    <n v="0"/>
    <n v="0"/>
    <n v="55.98"/>
    <s v="Google Pay"/>
    <x v="3"/>
    <s v="fulfilled"/>
    <s v="United Kingdom"/>
    <m/>
    <s v="Not Required"/>
    <s v="Greenmouth"/>
  </r>
  <r>
    <s v="#2826"/>
    <d v="2026-08-04T14:06:21"/>
    <d v="2026-08-04T14:06:21"/>
    <s v="Heather Davis"/>
    <x v="1"/>
    <m/>
    <s v="Portable Power Bank 10000mAh"/>
    <s v="Electronics"/>
    <s v="ELC-PWB-10K"/>
    <n v="1"/>
    <n v="21.99"/>
    <m/>
    <n v="0"/>
    <n v="7.99"/>
    <n v="29.98"/>
    <s v="Shopify Payments"/>
    <x v="3"/>
    <s v="fulfilled"/>
    <s v="Germany"/>
    <m/>
    <s v="Not Required"/>
    <s v="Jonburgh"/>
  </r>
  <r>
    <s v="#2827"/>
    <d v="2026-08-04T13:56:59"/>
    <d v="2026-08-04T13:56:59"/>
    <s v="Barbara Brown"/>
    <x v="0"/>
    <s v="barbara.brown26@gmail.com"/>
    <s v="Slim Fit Denim Jeans"/>
    <s v="Apparel"/>
    <s v="JNS-BLU-32"/>
    <n v="1"/>
    <n v="39.99"/>
    <m/>
    <s v="$0.00"/>
    <n v="4.99"/>
    <n v="44.98"/>
    <s v="Shopify Payments"/>
    <x v="1"/>
    <s v="fulfilled"/>
    <s v="United States"/>
    <s v="New York"/>
    <s v="Valid"/>
    <s v="East Nicholas"/>
  </r>
  <r>
    <s v="#2828"/>
    <d v="2026-08-04T13:58:51"/>
    <d v="2026-08-04T13:58:51"/>
    <s v="Michael Wilson"/>
    <x v="0"/>
    <s v="michael.wilson464@icloud.com"/>
    <s v="Throw Blanket - Fleece"/>
    <s v="Home &amp; Kitchen"/>
    <s v="HK-BLK-FLC"/>
    <n v="1"/>
    <s v="$17.99"/>
    <m/>
    <n v="0"/>
    <n v="7.99"/>
    <s v="$25.98"/>
    <s v="PayPal"/>
    <x v="3"/>
    <s v="refunded"/>
    <s v="Australia"/>
    <m/>
    <s v="Not Required"/>
    <s v="East Nicoleburgh"/>
  </r>
  <r>
    <s v="#2829"/>
    <d v="2026-08-04T00:00:00"/>
    <s v="2026-08-04"/>
    <s v="Autumn Stewart"/>
    <x v="0"/>
    <s v="autumn.stewart565@outlook.com"/>
    <s v="Backpack - 25L"/>
    <s v="Accessories"/>
    <s v="ACC-BPK-25L"/>
    <n v="1"/>
    <n v="32.99"/>
    <s v="FREESHIP"/>
    <n v="0"/>
    <n v="0"/>
    <n v="32.99"/>
    <s v="Credit Card"/>
    <x v="0"/>
    <s v="fulfilled"/>
    <s v="United Kingdom"/>
    <m/>
    <s v="Not Required"/>
    <s v="West Jessica"/>
  </r>
  <r>
    <s v="#2830"/>
    <d v="2026-08-04T00:00:00"/>
    <s v="04-08-2026 13:57"/>
    <s v="Samuel Padilla"/>
    <x v="0"/>
    <s v="samuel.padilla79@gmail.com"/>
    <s v="Running Shoes - Women's"/>
    <s v="Footwear"/>
    <s v="FTW-RUN-W"/>
    <n v="1"/>
    <n v="54.99"/>
    <m/>
    <n v="0"/>
    <n v="7.99"/>
    <n v="62.98"/>
    <s v="Credit Card"/>
    <x v="2"/>
    <s v="pending"/>
    <s v="United States"/>
    <s v="Texas"/>
    <s v="Valid"/>
    <s v="Branchberg"/>
  </r>
  <r>
    <s v="#2831"/>
    <d v="2026-08-04T13:57:36"/>
    <d v="2026-08-04T13:57:36"/>
    <m/>
    <x v="0"/>
    <s v="jennifer.burke472@icloud.com"/>
    <s v="Adjustable Dumbbell Set"/>
    <s v="Sports &amp; Outdoors"/>
    <s v="SP-DMB-ADJ"/>
    <n v="1"/>
    <n v="89.99"/>
    <m/>
    <n v="0"/>
    <n v="0"/>
    <n v="89.99"/>
    <s v="Apple Pay"/>
    <x v="0"/>
    <s v="fulfilled"/>
    <s v="Pakistan"/>
    <m/>
    <s v="Not Required"/>
    <s v="North Stefanie"/>
  </r>
  <r>
    <s v="#2832"/>
    <d v="2026-04-08T00:00:00"/>
    <s v="08/04/2026"/>
    <s v="Julie Hoffman"/>
    <x v="0"/>
    <s v="julie.hoffman913@gmail.com"/>
    <s v="Backpack - 25L"/>
    <s v="Accessories"/>
    <s v="ACC-BPK-25L"/>
    <n v="1"/>
    <n v="32.99"/>
    <m/>
    <n v="0"/>
    <n v="5.99"/>
    <n v="38.979999999999997"/>
    <s v="Apple Pay"/>
    <x v="0"/>
    <s v="fulfilled"/>
    <s v="United States"/>
    <s v="New York"/>
    <s v="Valid"/>
    <s v="Nobletown"/>
  </r>
  <r>
    <s v="#2833"/>
    <d v="2026-08-04T00:00:00"/>
    <s v="04-08-2026 13:59"/>
    <s v="Karen Bautista"/>
    <x v="0"/>
    <s v="karen.bautista779@icloud.com"/>
    <s v="Phone Case - Clear"/>
    <s v="Electronics"/>
    <s v="ELC-CSE-CLR"/>
    <n v="1"/>
    <n v="8.99"/>
    <s v="FREESHIP"/>
    <n v="0"/>
    <n v="0"/>
    <n v="8.99"/>
    <s v="Apple Pay"/>
    <x v="2"/>
    <s v="cancelled"/>
    <s v="United States"/>
    <s v="Illinois"/>
    <s v="Valid"/>
    <s v="North Theresaton"/>
  </r>
  <r>
    <s v="#2834"/>
    <d v="2026-08-04T14:04:51"/>
    <d v="2026-08-04T14:04:51"/>
    <s v="Rachel Colon"/>
    <x v="0"/>
    <s v="rachel.colon654@yahoo.com"/>
    <s v="Scented Soy Candle - Vanilla"/>
    <s v="Home &amp; Kitchen"/>
    <s v="HK-CND-VAN"/>
    <n v="1"/>
    <n v="9.99"/>
    <m/>
    <n v="0"/>
    <n v="5.99"/>
    <n v="15.98"/>
    <s v="Apple Pay"/>
    <x v="0"/>
    <s v="fulfilled"/>
    <s v="Australia"/>
    <m/>
    <s v="Not Required"/>
    <s v="North Javier"/>
  </r>
  <r>
    <s v="#2835"/>
    <d v="2026-08-04T13:55:41"/>
    <d v="2026-08-04T13:55:41"/>
    <s v="Tara Jackson"/>
    <x v="0"/>
    <s v="tara.jackson708@outlook.com"/>
    <s v="Leather Wallet - Brown"/>
    <s v="Accessories"/>
    <s v="ACC-WLT-BRN"/>
    <n v="1"/>
    <n v="19.989999999999998"/>
    <m/>
    <n v="0"/>
    <n v="4.99"/>
    <n v="24.98"/>
    <s v="Shopify Payments"/>
    <x v="0"/>
    <s v="fulfilled"/>
    <s v="Canada"/>
    <m/>
    <s v="Not Required"/>
    <s v="West Heathershire"/>
  </r>
  <r>
    <s v="#2836"/>
    <d v="2026-08-04T00:00:00"/>
    <s v="Aug 04, 2026"/>
    <s v="Nicholas Jarvis"/>
    <x v="0"/>
    <s v="nicholas.jarvis112@icloud.com"/>
    <s v="Wireless Mouse"/>
    <s v="Electronics"/>
    <s v="ELC-MSE-WL"/>
    <n v="1"/>
    <n v="11.99"/>
    <s v="WELCOME10"/>
    <n v="1.2"/>
    <n v="7.99"/>
    <n v="18.78"/>
    <s v="PayPal"/>
    <x v="0"/>
    <s v="fulfilled"/>
    <s v="Canada"/>
    <m/>
    <s v="Not Required"/>
    <s v="South Catherineland"/>
  </r>
  <r>
    <s v="#2837"/>
    <d v="2026-08-04T14:06:00"/>
    <d v="2026-08-04T14:06:00"/>
    <s v="Anthony Mullen"/>
    <x v="0"/>
    <s v="anthony.mullen523@yahoo.com"/>
    <s v="Vitamin C Serum 30ml"/>
    <s v="Beauty"/>
    <s v="BTY-SRM-30"/>
    <n v="4"/>
    <n v="24.99"/>
    <s v="FREESHIP"/>
    <n v="0"/>
    <n v="0"/>
    <n v="99.96"/>
    <s v="PayPal"/>
    <x v="1"/>
    <s v="refunded"/>
    <s v="United States"/>
    <s v="NC"/>
    <s v="Valid"/>
    <s v="East Jamesfurt"/>
  </r>
  <r>
    <s v="#2838"/>
    <d v="2026-08-04T13:56:08"/>
    <d v="2026-08-04T13:56:08"/>
    <s v="TEST TEST"/>
    <x v="0"/>
    <s v="test@test.com"/>
    <s v="Wireless Bluetooth Earbuds"/>
    <s v="Electronics"/>
    <s v="ELC-WBE-01"/>
    <n v="1"/>
    <n v="29.99"/>
    <s v="VIP15"/>
    <n v="4.5"/>
    <n v="7.99"/>
    <n v="0"/>
    <s v="Credit Card"/>
    <x v="3"/>
    <s v="fulfilled"/>
    <s v="Australia"/>
    <m/>
    <s v="Not Required"/>
    <s v="Lake Troy"/>
  </r>
  <r>
    <s v="#2839"/>
    <d v="2026-08-04T14:06:54"/>
    <d v="2026-08-04T14:06:54"/>
    <s v="Michele Davis"/>
    <x v="0"/>
    <s v="michele.davis844@gmail.com"/>
    <s v="Phone Case - Clear"/>
    <s v="Electronics"/>
    <s v="ELC-CSE-CLR"/>
    <n v="2"/>
    <s v="$8.99"/>
    <m/>
    <n v="0"/>
    <n v="5.99"/>
    <n v="23.97"/>
    <s v="Apple Pay"/>
    <x v="0"/>
    <s v="pending"/>
    <s v="Australia"/>
    <m/>
    <s v="Not Required"/>
    <s v="Port Michael"/>
  </r>
  <r>
    <s v="#2840"/>
    <d v="2026-08-04T14:06:53"/>
    <d v="2026-08-04T14:06:53"/>
    <s v="Karen Jones"/>
    <x v="0"/>
    <s v="karen.jones794@outlook.com"/>
    <s v="Hooded Sweatshirt"/>
    <s v="Apparel"/>
    <s v="APR-HOD-GRY"/>
    <n v="1"/>
    <n v="34.99"/>
    <s v="BFCM25"/>
    <s v="$8.75"/>
    <n v="4.99"/>
    <n v="31.23"/>
    <s v="PayPal"/>
    <x v="0"/>
    <s v="pending"/>
    <s v="Australia"/>
    <m/>
    <s v="Not Required"/>
    <s v="Robertsfort"/>
  </r>
  <r>
    <s v="#2841"/>
    <d v="2026-08-04T14:02:28"/>
    <d v="2026-08-04T14:02:28"/>
    <s v="Daniel Hill"/>
    <x v="0"/>
    <s v="daniel.hill472@outlook.com"/>
    <s v="Yoga Mat - Extra Thick"/>
    <s v="Sports &amp; Outdoors"/>
    <s v="SP-YGM-EX"/>
    <n v="1"/>
    <n v="22.99"/>
    <s v="BFCM25"/>
    <n v="5.75"/>
    <n v="4.99"/>
    <s v="$22.23"/>
    <s v="Google Pay"/>
    <x v="0"/>
    <s v="fulfilled"/>
    <s v="Australia"/>
    <m/>
    <s v="Not Required"/>
    <s v="Smithland"/>
  </r>
  <r>
    <s v="#2842"/>
    <d v="2026-08-04T14:04:39"/>
    <d v="2026-08-04T14:04:39"/>
    <s v="Samuel Padilla"/>
    <x v="0"/>
    <s v="samuel.padilla79@gmail.com"/>
    <s v="Wireless Bluetooth Earbuds"/>
    <s v="Electronics"/>
    <s v="ELC-WBE-01"/>
    <n v="1"/>
    <n v="29.99"/>
    <m/>
    <n v="0"/>
    <n v="5.99"/>
    <n v="35.979999999999997"/>
    <s v="Credit Card"/>
    <x v="0"/>
    <s v="fulfilled"/>
    <s v="United States"/>
    <s v="California"/>
    <s v="Valid"/>
    <s v="East Melissa"/>
  </r>
  <r>
    <s v="#2843"/>
    <d v="2026-08-04T00:00:00"/>
    <s v="04-08-2026 14:01"/>
    <s v="Amy Maldonado"/>
    <x v="0"/>
    <s v="amy.maldonado44@gmail.com"/>
    <s v="Adjustable Dumbbell Set"/>
    <s v="Sports &amp; Outdoors"/>
    <s v="SP-DMB-ADJ"/>
    <n v="1"/>
    <n v="89.99"/>
    <m/>
    <s v="$0.00"/>
    <n v="0"/>
    <n v="89.99"/>
    <s v="Shopify Payments"/>
    <x v="3"/>
    <s v="fulfilled"/>
    <s v="Pakistan"/>
    <m/>
    <s v="Not Required"/>
    <s v="Lynchport"/>
  </r>
  <r>
    <s v="#2844"/>
    <d v="2026-04-08T00:00:00"/>
    <s v="08/04/2026"/>
    <s v="Heather Davis"/>
    <x v="0"/>
    <s v="heather.davis117@icloud.com"/>
    <s v="Vitamin C Serum 30ml  "/>
    <s v="Beauty"/>
    <s v="BTY-SRM-30"/>
    <n v="1"/>
    <n v="24.99"/>
    <m/>
    <n v="0"/>
    <n v="5.99"/>
    <n v="30.98"/>
    <s v="Apple Pay"/>
    <x v="1"/>
    <s v="fulfilled"/>
    <s v="Germany"/>
    <m/>
    <s v="Not Required"/>
    <s v="Lake Rickystad"/>
  </r>
  <r>
    <s v="#2845"/>
    <d v="2026-08-04T13:58:32"/>
    <d v="2026-08-04T13:58:32"/>
    <s v="Haley Glover"/>
    <x v="0"/>
    <s v="haley.glover361@yahoo.com"/>
    <s v="Wireless Bluetooth Earbuds"/>
    <s v="Electronics"/>
    <s v="ELC-WBE-01"/>
    <n v="1"/>
    <n v="29.99"/>
    <m/>
    <s v="$0.00"/>
    <n v="4.99"/>
    <n v="34.979999999999997"/>
    <s v="Google Pay"/>
    <x v="0"/>
    <s v="fulfilled"/>
    <s v="Germany"/>
    <m/>
    <s v="Not Required"/>
    <s v="Shepherdshire"/>
  </r>
  <r>
    <s v="#2846"/>
    <d v="2026-08-04T14:02:44"/>
    <d v="2026-08-04T14:02:44"/>
    <s v="Christina Mcknight"/>
    <x v="0"/>
    <s v="christina.mcknight904@outlook.com"/>
    <s v="Classic Cotton T-Shirt"/>
    <s v="Apparel"/>
    <s v="TSH-BLK-L"/>
    <n v="1"/>
    <n v="14.99"/>
    <m/>
    <n v="0"/>
    <n v="7.99"/>
    <n v="22.98"/>
    <s v="Google Pay"/>
    <x v="3"/>
    <s v="refunded"/>
    <s v="United States"/>
    <s v="New York"/>
    <s v="Valid"/>
    <s v="Rodriguezmouth"/>
  </r>
  <r>
    <s v="#2847"/>
    <d v="2026-08-04T14:06:37"/>
    <d v="2026-08-04T14:06:37"/>
    <s v="William Fry"/>
    <x v="0"/>
    <s v="william.fry209@gmail.com"/>
    <s v="Wireless Bluetooth Earbuds"/>
    <s v="Electronics"/>
    <s v="ELC-WBE-01"/>
    <n v="1"/>
    <n v="29.99"/>
    <s v="BFCM25"/>
    <n v="7.5"/>
    <n v="4.99"/>
    <n v="27.48"/>
    <s v="PayPal"/>
    <x v="0"/>
    <s v="cancelled"/>
    <s v="United States"/>
    <s v="Texas"/>
    <s v="Valid"/>
    <s v="Murrayburgh"/>
  </r>
  <r>
    <s v="#2848"/>
    <d v="2026-08-04T13:54:14"/>
    <d v="2026-08-04T13:54:14"/>
    <s v="Kristina Thompson"/>
    <x v="0"/>
    <s v="kristina.thompson501@icloud.com"/>
    <s v="Portable Power Bank 10000mAh"/>
    <s v="Electronics"/>
    <s v="ELC-PWB-10K"/>
    <n v="1"/>
    <n v="21.99"/>
    <s v="WELCOME10"/>
    <n v="2.2000000000000002"/>
    <n v="5.99"/>
    <n v="25.78"/>
    <s v="Shopify Payments"/>
    <x v="0"/>
    <s v="refunded"/>
    <s v="United States"/>
    <s v="Illinois"/>
    <s v="Valid"/>
    <s v="East Tamaraberg"/>
  </r>
  <r>
    <s v="#2849"/>
    <d v="2026-08-04T14:05:36"/>
    <d v="2026-08-04T14:05:36"/>
    <s v="alexandria miller"/>
    <x v="0"/>
    <s v="alexandria.miller414@outlook.com"/>
    <s v="Leather Wallet - Brown"/>
    <s v="Accessories"/>
    <s v="ACC-WLT-BRN"/>
    <n v="1"/>
    <n v="19.989999999999998"/>
    <s v="BFCM25"/>
    <n v="5"/>
    <n v="4.99"/>
    <n v="19.98"/>
    <s v="Google Pay"/>
    <x v="2"/>
    <s v="fulfilled"/>
    <s v="Australia"/>
    <m/>
    <s v="Not Required"/>
    <s v="Youngshire"/>
  </r>
  <r>
    <s v="#2851"/>
    <d v="2026-08-04T13:55:05"/>
    <d v="2026-08-04T13:55:05"/>
    <s v="Joshua Anderson"/>
    <x v="0"/>
    <s v="joshua.anderson662@gmail.com"/>
    <s v="Wireless Bluetooth Earbuds"/>
    <s v="Electronics"/>
    <s v="ELC-WBE-01"/>
    <n v="1"/>
    <n v="29.99"/>
    <s v="FREESHIP"/>
    <n v="0"/>
    <n v="0"/>
    <n v="29.99"/>
    <s v="PayPal"/>
    <x v="0"/>
    <s v="pending"/>
    <s v="Canada"/>
    <m/>
    <s v="Not Required"/>
    <s v="Lawrencebury"/>
  </r>
  <r>
    <s v="#2852"/>
    <d v="2026-08-04T14:05:27"/>
    <d v="2026-08-04T14:05:27"/>
    <s v="Joanne Perez"/>
    <x v="0"/>
    <s v="joanne.perez120@gmail.com"/>
    <s v="Classic Cotton T-Shirt"/>
    <s v="Apparel"/>
    <s v="TSH-BLK-L"/>
    <n v="1"/>
    <n v="14.99"/>
    <s v="VIP15"/>
    <n v="2.25"/>
    <n v="7.99"/>
    <n v="20.73"/>
    <s v="Credit Card"/>
    <x v="0"/>
    <s v="fulfilled"/>
    <s v="United States"/>
    <s v="Arizona"/>
    <s v="Valid"/>
    <s v="West Susan"/>
  </r>
  <r>
    <s v="#2853"/>
    <d v="2026-08-04T14:03:49"/>
    <d v="2026-08-04T14:03:49"/>
    <s v="Logan Fox"/>
    <x v="0"/>
    <s v="logan.fox165@gmail.com"/>
    <s v="Running Shoes - Women's  "/>
    <s v="Footwear"/>
    <s v="FTW-RUN-W"/>
    <n v="1"/>
    <n v="54.99"/>
    <s v="WELCOME10"/>
    <n v="5.5"/>
    <n v="7.99"/>
    <n v="57.48"/>
    <s v="Shopify Payments"/>
    <x v="2"/>
    <s v="fulfilled"/>
    <s v="Australia"/>
    <m/>
    <s v="Not Required"/>
    <s v="Port Andrewburgh"/>
  </r>
  <r>
    <s v="#2854"/>
    <d v="2026-08-04T00:00:00"/>
    <s v="04-08-2026 13:55"/>
    <s v="Angie Martin"/>
    <x v="0"/>
    <s v="angie.martin506@icloud.com"/>
    <s v="Kids Building Blocks Set  "/>
    <s v="Toys"/>
    <s v="TOY-BLK-SET"/>
    <n v="1"/>
    <n v="27.99"/>
    <m/>
    <n v="0"/>
    <n v="7.99"/>
    <n v="35.979999999999997"/>
    <s v="Apple Pay"/>
    <x v="1"/>
    <s v="fulfilled"/>
    <s v="Pakistan"/>
    <m/>
    <s v="Not Required"/>
    <s v="Jacobside"/>
  </r>
  <r>
    <s v="#2855"/>
    <d v="2026-08-04T14:02:32"/>
    <d v="2026-08-04T14:02:32"/>
    <s v="Kayla Morris"/>
    <x v="0"/>
    <s v="kayla.morris339@outlook.com"/>
    <s v="Wireless Bluetooth Earbuds"/>
    <s v="Electronics"/>
    <s v="ELC-WBE-01"/>
    <n v="2"/>
    <n v="29.99"/>
    <m/>
    <n v="0"/>
    <n v="5.99"/>
    <n v="65.97"/>
    <s v="Credit Card"/>
    <x v="0"/>
    <s v="pending"/>
    <s v="Canada"/>
    <m/>
    <s v="Not Required"/>
    <s v="North Richard"/>
  </r>
  <r>
    <s v="#2856"/>
    <d v="2026-08-04T13:59:00"/>
    <d v="2026-08-04T13:59:00"/>
    <s v="Sarah Mendoza"/>
    <x v="0"/>
    <s v="sarah.mendoza691@outlook.com"/>
    <s v="Non-Stick Frying Pan 10in"/>
    <s v="Home &amp; Kitchen"/>
    <s v="HK-PAN-10"/>
    <n v="1"/>
    <n v="24.99"/>
    <s v="FREESHIP"/>
    <n v="0"/>
    <n v="0"/>
    <n v="24.99"/>
    <s v="Apple Pay"/>
    <x v="1"/>
    <s v="fulfilled"/>
    <s v="United States"/>
    <s v="Florida"/>
    <s v="Valid"/>
    <s v="Burnsbury"/>
  </r>
  <r>
    <s v="#2857"/>
    <d v="2026-08-04T14:03:49"/>
    <d v="2026-08-04T14:03:49"/>
    <s v="Jamie Brown"/>
    <x v="0"/>
    <s v="jamie.brown582@icloud.com"/>
    <s v="Stainless Steel Water Bottle"/>
    <s v="Home &amp; Kitchen"/>
    <s v="HK-BTL-750"/>
    <n v="1"/>
    <n v="12.99"/>
    <s v="BFCM25"/>
    <n v="3.25"/>
    <n v="5.99"/>
    <n v="15.73"/>
    <s v="PayPal"/>
    <x v="0"/>
    <s v="pending"/>
    <s v="United States"/>
    <s v="Illinois"/>
    <s v="Valid"/>
    <s v="Angelabury"/>
  </r>
  <r>
    <s v="#2858"/>
    <d v="2026-08-04T13:55:16"/>
    <d v="2026-08-04T13:55:16"/>
    <s v="Christopher Osborne"/>
    <x v="0"/>
    <s v="christopher.osborne481@yahoo.com"/>
    <s v="Kids Building Blocks Set"/>
    <s v="Toys"/>
    <s v="TOY-BLK-SET"/>
    <n v="1"/>
    <n v="27.99"/>
    <s v="FREESHIP"/>
    <n v="0"/>
    <n v="0"/>
    <s v="$27.99"/>
    <s v="Apple Pay"/>
    <x v="1"/>
    <s v="fulfilled"/>
    <s v="United States"/>
    <s v="Texas"/>
    <s v="Valid"/>
    <s v="Brianview"/>
  </r>
  <r>
    <s v="#2859"/>
    <d v="2026-08-04T13:54:13"/>
    <d v="2026-08-04T13:54:13"/>
    <s v="Sandra Potter"/>
    <x v="0"/>
    <s v="sandra.potter166@yahoo.com"/>
    <s v="Stainless Steel Water Bottle"/>
    <s v="Home &amp; Kitchen"/>
    <s v="HK-BTL-750"/>
    <n v="1"/>
    <n v="12.99"/>
    <m/>
    <n v="0"/>
    <n v="5.99"/>
    <n v="18.98"/>
    <s v="PayPal"/>
    <x v="0"/>
    <s v="fulfilled"/>
    <s v="United States"/>
    <s v="Washington"/>
    <s v="Valid"/>
    <s v="Heatherside"/>
  </r>
  <r>
    <s v="#2860"/>
    <d v="2026-08-04T00:00:00"/>
    <s v="04-08-2026 13:55"/>
    <s v="Stacey Johnson"/>
    <x v="1"/>
    <m/>
    <s v="Ceramic Coffee Mug Set (4pc)"/>
    <s v="Home &amp; Kitchen"/>
    <s v="HK-MUG-4PK"/>
    <n v="2"/>
    <n v="18.989999999999998"/>
    <m/>
    <n v="0"/>
    <n v="5.99"/>
    <n v="43.97"/>
    <s v="Shopify Payments"/>
    <x v="1"/>
    <s v="pending"/>
    <s v="Germany"/>
    <m/>
    <s v="Not Required"/>
    <s v="Port Patricia"/>
  </r>
  <r>
    <s v="#2861"/>
    <d v="2026-08-04T00:00:00"/>
    <s v="Aug 04, 2026"/>
    <s v="Dawn Randolph"/>
    <x v="1"/>
    <m/>
    <s v="Resistance Bands Set"/>
    <s v="Sports &amp; Outdoors"/>
    <s v="SP-RBS-SET"/>
    <n v="1"/>
    <n v="13.99"/>
    <s v="SAVE20"/>
    <n v="2.8"/>
    <n v="7.99"/>
    <n v="19.18"/>
    <s v="Google Pay"/>
    <x v="0"/>
    <s v="fulfilled"/>
    <s v="Pakistan"/>
    <m/>
    <s v="Not Required"/>
    <s v="West Brittanyborough"/>
  </r>
  <r>
    <s v="#2863"/>
    <d v="2026-08-04T13:56:58"/>
    <d v="2026-08-04T13:56:58"/>
    <s v="Rhonda Chapman"/>
    <x v="0"/>
    <s v="rhonda.chapman481@yahoo.com"/>
    <s v="Yoga Mat - Extra Thick"/>
    <s v="Sports &amp; Outdoors"/>
    <s v="SP-YGM-EX"/>
    <n v="1"/>
    <s v="$22.99"/>
    <s v="WELCOME10"/>
    <n v="2.2999999999999998"/>
    <n v="7.99"/>
    <n v="28.68"/>
    <s v="Google Pay"/>
    <x v="2"/>
    <s v="fulfilled"/>
    <s v="United States"/>
    <s v="IL"/>
    <s v="Valid"/>
    <s v="Thomasborough"/>
  </r>
  <r>
    <s v="#2864"/>
    <d v="2026-08-04T14:06:39"/>
    <d v="2026-08-04T14:06:39"/>
    <s v="Glenn Smith"/>
    <x v="0"/>
    <s v="glenn.smith305@gmail.com"/>
    <s v="Stainless Steel Water Bottle"/>
    <s v="Home &amp; Kitchen"/>
    <s v="HK-BTL-750"/>
    <n v="3"/>
    <n v="12.99"/>
    <s v="FREESHIP"/>
    <n v="0"/>
    <n v="0"/>
    <n v="38.97"/>
    <s v="Credit Card"/>
    <x v="3"/>
    <s v="fulfilled"/>
    <s v="Canada"/>
    <m/>
    <s v="Not Required"/>
    <s v="North Amanda"/>
  </r>
  <r>
    <s v="#2865"/>
    <d v="2026-08-04T13:58:30"/>
    <d v="2026-08-04T13:58:30"/>
    <s v="Sharon Brown"/>
    <x v="1"/>
    <m/>
    <s v="Hooded Sweatshirt"/>
    <s v="Apparel"/>
    <s v="APR-HOD-GRY"/>
    <n v="1"/>
    <n v="34.99"/>
    <s v="WELCOME10"/>
    <n v="3.5"/>
    <n v="7.99"/>
    <n v="39.479999999999997"/>
    <s v="PayPal"/>
    <x v="0"/>
    <s v="fulfilled"/>
    <s v="United States"/>
    <s v="North Carolina"/>
    <s v="Valid"/>
    <s v="New Lisaton"/>
  </r>
  <r>
    <s v="#2866"/>
    <d v="2026-08-04T14:05:28"/>
    <d v="2026-08-04T14:05:28"/>
    <s v="Hunt, Anthony"/>
    <x v="0"/>
    <s v="anthony.hunt521@outlook.com"/>
    <s v="Wireless Mouse"/>
    <s v="Electronics"/>
    <s v="ELC-MSE-WL"/>
    <n v="3"/>
    <n v="11.99"/>
    <m/>
    <n v="0"/>
    <n v="7.99"/>
    <s v="$43.96"/>
    <s v="Google Pay"/>
    <x v="0"/>
    <s v="fulfilled"/>
    <s v="United States"/>
    <s v="Ohio"/>
    <s v="Valid"/>
    <s v="East Catherine"/>
  </r>
  <r>
    <s v="#2867"/>
    <d v="2026-08-04T14:02:55"/>
    <d v="2026-08-04T14:02:55"/>
    <s v="Michele Davis"/>
    <x v="0"/>
    <s v="michele.davis844@gmail.com"/>
    <s v="Hooded Sweatshirt"/>
    <s v="Apparel"/>
    <s v="APR-HOD-GRY"/>
    <n v="3"/>
    <s v="$34.99"/>
    <m/>
    <n v="0"/>
    <n v="0"/>
    <n v="104.97"/>
    <s v="Credit Card"/>
    <x v="1"/>
    <s v="cancelled"/>
    <s v="Australia"/>
    <m/>
    <s v="Not Required"/>
    <s v="Bonillaside"/>
  </r>
  <r>
    <s v="#2868"/>
    <d v="2026-08-04T14:04:09"/>
    <d v="2026-08-04T14:04:09"/>
    <s v="Christopher Hayes"/>
    <x v="0"/>
    <s v="christopher.hayes809@icloud.com"/>
    <s v="Running Shoes - Women's"/>
    <s v="Footwear"/>
    <s v="FTW-RUN-W"/>
    <n v="1"/>
    <n v="54.99"/>
    <m/>
    <n v="0"/>
    <n v="5.99"/>
    <n v="60.98"/>
    <s v="Google Pay"/>
    <x v="1"/>
    <s v="fulfilled"/>
    <s v="United States"/>
    <s v="NY"/>
    <s v="Valid"/>
    <s v="Reginafurt"/>
  </r>
  <r>
    <s v="#2869"/>
    <d v="2026-08-04T14:02:13"/>
    <d v="2026-08-04T14:02:13"/>
    <s v="Patrick Stevens"/>
    <x v="0"/>
    <s v="patrick.stevens218@gmail.com"/>
    <s v="Kids Building Blocks Set"/>
    <s v="Toys"/>
    <s v="TOY-BLK-SET"/>
    <n v="1"/>
    <n v="27.99"/>
    <m/>
    <n v="0"/>
    <n v="5.99"/>
    <n v="33.979999999999997"/>
    <s v="Credit Card"/>
    <x v="3"/>
    <s v="fulfilled"/>
    <s v="Pakistan"/>
    <m/>
    <s v="Not Required"/>
    <s v="Moodytown"/>
  </r>
  <r>
    <s v="#2870"/>
    <d v="2026-08-04T13:58:34"/>
    <d v="2026-08-04T13:58:34"/>
    <s v="Angela Carr"/>
    <x v="1"/>
    <m/>
    <s v="Adjustable Dumbbell Set"/>
    <s v="Sports &amp; Outdoors"/>
    <s v="SP-DMB-ADJ"/>
    <n v="1"/>
    <n v="89.99"/>
    <m/>
    <n v="0"/>
    <n v="0"/>
    <n v="89.99"/>
    <s v="PayPal"/>
    <x v="2"/>
    <s v="refunded"/>
    <s v="United States"/>
    <s v="Ohio"/>
    <s v="Valid"/>
    <s v="Deniseshire"/>
  </r>
  <r>
    <s v="#2871"/>
    <d v="2026-08-04T00:00:00"/>
    <s v="2026-08-04"/>
    <s v="Monica Hodge"/>
    <x v="0"/>
    <s v="monica.hodge369@icloud.com"/>
    <s v="Adjustable Dumbbell Set"/>
    <s v="Sports &amp; Outdoors"/>
    <s v="SP-DMB-ADJ"/>
    <n v="1"/>
    <s v="$89.99"/>
    <m/>
    <n v="0"/>
    <n v="0"/>
    <n v="89.99"/>
    <s v="Credit Card"/>
    <x v="3"/>
    <s v="fulfilled"/>
    <s v="United States"/>
    <s v="Arizona"/>
    <s v="Valid"/>
    <s v="Michaelchester"/>
  </r>
  <r>
    <s v="#2872"/>
    <d v="2026-08-04T14:06:06"/>
    <d v="2026-08-04T14:06:06"/>
    <s v="Alison Schroeder"/>
    <x v="0"/>
    <s v="alison.schroeder943@icloud.com"/>
    <s v="Running Shoes - Women's"/>
    <s v="Footwear"/>
    <s v="FTW-RUN-W"/>
    <n v="1"/>
    <n v="54.99"/>
    <m/>
    <n v="0"/>
    <n v="5.99"/>
    <s v="$60.98"/>
    <s v="Credit Card"/>
    <x v="0"/>
    <s v="fulfilled"/>
    <s v="Australia"/>
    <m/>
    <s v="Not Required"/>
    <s v="Crawfordland"/>
  </r>
  <r>
    <s v="#2873"/>
    <d v="2026-04-08T00:00:00"/>
    <s v="08/04/2026"/>
    <s v="Timothy Weaver"/>
    <x v="0"/>
    <s v="timothy.weaver591@gmail.com"/>
    <s v="Phone Case - Clear"/>
    <s v="Electronics"/>
    <s v="ELC-CSE-CLR"/>
    <n v="1"/>
    <n v="8.99"/>
    <s v="FREESHIP"/>
    <n v="0"/>
    <n v="0"/>
    <n v="8.99"/>
    <s v="Google Pay"/>
    <x v="2"/>
    <s v="refunded"/>
    <s v="Australia"/>
    <m/>
    <s v="Not Required"/>
    <s v="Lake Cynthialand"/>
  </r>
  <r>
    <s v="#2874"/>
    <d v="2026-08-04T13:59:11"/>
    <d v="2026-08-04T13:59:11"/>
    <s v="Philip Stevens"/>
    <x v="0"/>
    <s v="philip.stevens908@outlook.com"/>
    <s v="Vitamin C Serum 30ml"/>
    <s v="Beauty"/>
    <s v="BTY-SRM-30"/>
    <n v="1"/>
    <n v="24.99"/>
    <s v="VIP15"/>
    <n v="3.75"/>
    <n v="7.99"/>
    <n v="29.23"/>
    <s v="PayPal"/>
    <x v="0"/>
    <s v="cancelled"/>
    <s v="United States"/>
    <s v="Georgia"/>
    <s v="Valid"/>
    <s v="Taylorborough"/>
  </r>
  <r>
    <s v="#2875"/>
    <d v="2026-08-04T13:54:12"/>
    <d v="2026-08-04T13:54:12"/>
    <s v="Monique Bowman"/>
    <x v="0"/>
    <s v="monique.bowman430@gmail.com"/>
    <s v="Hooded Sweatshirt"/>
    <s v="Apparel"/>
    <s v="APR-HOD-GRY"/>
    <n v="1"/>
    <n v="34.99"/>
    <s v="VIP15 "/>
    <n v="5.25"/>
    <n v="5.99"/>
    <s v="$35.73"/>
    <s v="Google Pay"/>
    <x v="0"/>
    <s v="fulfilled"/>
    <s v="United States"/>
    <s v="California"/>
    <s v="Valid"/>
    <s v="Cardenaston"/>
  </r>
  <r>
    <s v="#2876"/>
    <d v="2026-08-04T14:01:02"/>
    <d v="2026-08-04T14:01:02"/>
    <s v="Heather Davis"/>
    <x v="0"/>
    <s v="heather.davis117@icloud.com"/>
    <s v="Resistance Bands Set"/>
    <s v="Sports &amp; Outdoors"/>
    <s v="SP-RBS-SET"/>
    <n v="1"/>
    <n v="13.99"/>
    <m/>
    <n v="0"/>
    <n v="4.99"/>
    <n v="18.98"/>
    <s v="PayPal"/>
    <x v="2"/>
    <s v="fulfilled"/>
    <s v="Germany"/>
    <m/>
    <s v="Not Required"/>
    <s v="Richardville"/>
  </r>
  <r>
    <s v="#2877"/>
    <d v="2026-08-04T14:01:23"/>
    <d v="2026-08-04T14:01:23"/>
    <s v="Jennifer White"/>
    <x v="0"/>
    <s v="jennifer.white450@icloud.com"/>
    <s v="Classic Cotton T-Shirt"/>
    <s v="Apparel"/>
    <s v="TSH-BLK-L"/>
    <n v="1"/>
    <n v="14.99"/>
    <s v="FREESHIP"/>
    <n v="0"/>
    <n v="0"/>
    <n v="14.99"/>
    <s v="Credit Card"/>
    <x v="0"/>
    <s v="fulfilled"/>
    <s v="United States"/>
    <s v="Canada"/>
    <s v="Valid"/>
    <s v="West Travis"/>
  </r>
  <r>
    <s v="#2878"/>
    <d v="2026-08-04T14:08:18"/>
    <d v="2026-08-04T14:08:18"/>
    <s v="Robert Bryant"/>
    <x v="0"/>
    <s v="robert.bryant21@gmail.com"/>
    <s v="Classic Cotton T-Shirt"/>
    <s v="Apparel"/>
    <s v="TSH-BLK-M"/>
    <n v="2"/>
    <n v="14.99"/>
    <m/>
    <n v="0"/>
    <n v="4.99"/>
    <n v="34.97"/>
    <s v="Google Pay"/>
    <x v="0"/>
    <s v="fulfilled"/>
    <s v="Germany"/>
    <m/>
    <s v="Not Required"/>
    <s v="East Jakeberg"/>
  </r>
  <r>
    <s v="#2879"/>
    <d v="2026-08-04T14:02:39"/>
    <d v="2026-08-04T14:02:39"/>
    <s v="Robin Ruiz"/>
    <x v="0"/>
    <s v="robin.ruiz407@yahoo.com"/>
    <s v="Vitamin C Serum 30ml"/>
    <s v="Beauty"/>
    <s v="BTY-SRM-30"/>
    <n v="1"/>
    <n v="24.99"/>
    <s v="VIP15"/>
    <n v="3.75"/>
    <n v="7.99"/>
    <n v="29.23"/>
    <s v="Google Pay"/>
    <x v="3"/>
    <s v="refunded"/>
    <s v="United States"/>
    <s v="California"/>
    <s v="Valid"/>
    <s v="Roberttown"/>
  </r>
  <r>
    <s v="#2880"/>
    <d v="2026-08-04T14:01:13"/>
    <d v="2026-08-04T14:01:13"/>
    <s v="Brianna Hicks"/>
    <x v="0"/>
    <s v="brianna.hicks972@icloud.com"/>
    <s v="Running Shoes - Men's"/>
    <s v="Footwear"/>
    <s v="FTW-RUN-M"/>
    <n v="1"/>
    <n v="54.99"/>
    <s v="WELCOME10"/>
    <n v="5.5"/>
    <n v="5.99"/>
    <n v="55.48"/>
    <s v="Credit Card"/>
    <x v="0"/>
    <s v="pending"/>
    <s v="United States"/>
    <s v="TX"/>
    <s v="Valid"/>
    <s v="Shawnshire"/>
  </r>
  <r>
    <s v="#2881"/>
    <d v="2026-08-04T14:01:38"/>
    <d v="2026-08-04T14:01:38"/>
    <s v="Tina Crane"/>
    <x v="0"/>
    <s v="tina.crane554@gmail.com"/>
    <s v="Hooded Sweatshirt"/>
    <s v="Apparel"/>
    <s v="APR-HOD-GRY"/>
    <n v="1"/>
    <n v="34.99"/>
    <m/>
    <n v="0"/>
    <n v="7.99"/>
    <n v="42.98"/>
    <s v="Credit Card"/>
    <x v="2"/>
    <s v="pending"/>
    <s v="United Kingdom"/>
    <m/>
    <s v="Not Required"/>
    <s v="East Briannamouth"/>
  </r>
  <r>
    <s v="#2882"/>
    <d v="2026-08-04T14:00:13"/>
    <d v="2026-08-04T14:00:13"/>
    <s v="Sean Frank"/>
    <x v="1"/>
    <m/>
    <s v="Yoga Mat - Extra Thick"/>
    <s v="Sports &amp; Outdoors"/>
    <s v="SP-YGM-EX"/>
    <n v="1"/>
    <n v="22.99"/>
    <m/>
    <n v="0"/>
    <n v="7.99"/>
    <n v="30.98"/>
    <s v="Apple Pay"/>
    <x v="1"/>
    <s v="pending"/>
    <s v="Australia"/>
    <m/>
    <s v="Not Required"/>
    <s v="Nicholasside"/>
  </r>
  <r>
    <s v="#2883"/>
    <d v="2026-08-04T00:00:00"/>
    <s v="2026-08-04"/>
    <s v="Kenneth Davis"/>
    <x v="1"/>
    <m/>
    <s v="Resistance Bands Set"/>
    <s v="Sports &amp; Outdoors"/>
    <s v="SP-RBS-SET"/>
    <n v="3"/>
    <n v="13.99"/>
    <s v="SAVE20"/>
    <n v="8.39"/>
    <n v="7.99"/>
    <n v="41.57"/>
    <s v="Apple Pay"/>
    <x v="0"/>
    <s v="cancelled"/>
    <s v="United States"/>
    <s v="Georgia"/>
    <s v="Valid"/>
    <s v="Teresaton"/>
  </r>
  <r>
    <s v="#2884"/>
    <d v="2026-08-04T14:04:11"/>
    <d v="2026-08-04T14:04:11"/>
    <s v="Shopify Test"/>
    <x v="0"/>
    <s v="test@test.com"/>
    <s v="Hooded Sweatshirt"/>
    <s v="Apparel"/>
    <s v="APR-HOD-GRY"/>
    <n v="1"/>
    <n v="34.99"/>
    <m/>
    <n v="0"/>
    <n v="5.99"/>
    <n v="0"/>
    <s v="Google Pay"/>
    <x v="0"/>
    <s v="pending"/>
    <s v="United States"/>
    <s v="Arizona"/>
    <s v="Valid"/>
    <s v="New Emilystad"/>
  </r>
  <r>
    <s v="#2885"/>
    <d v="2026-08-04T14:04:24"/>
    <d v="2026-08-04T14:04:24"/>
    <s v="Jessica Tucker"/>
    <x v="0"/>
    <s v="jessica.tucker963@gmail.com"/>
    <s v="Scented Soy Candle - Vanilla"/>
    <s v="Home &amp; Kitchen"/>
    <s v="HK-CND-VAN"/>
    <n v="1"/>
    <n v="9.99"/>
    <m/>
    <n v="0"/>
    <n v="4.99"/>
    <n v="14.98"/>
    <s v="Google Pay"/>
    <x v="0"/>
    <s v="fulfilled"/>
    <s v="Germany"/>
    <m/>
    <s v="Not Required"/>
    <s v="Ryantown"/>
  </r>
  <r>
    <s v="#2886"/>
    <d v="2026-08-04T14:00:20"/>
    <d v="2026-08-04T14:00:20"/>
    <s v="Jaime Vargas"/>
    <x v="0"/>
    <s v="jaime.vargas795@outlook.com"/>
    <s v="Running Shoes - Men's"/>
    <s v="Footwear"/>
    <s v="FTW-RUN-M"/>
    <n v="1"/>
    <s v="$54.99"/>
    <m/>
    <n v="0"/>
    <n v="5.99"/>
    <n v="60.98"/>
    <s v="PayPal"/>
    <x v="0"/>
    <s v="refunded"/>
    <s v="United Kingdom"/>
    <m/>
    <s v="Not Required"/>
    <s v="Hernandezbury"/>
  </r>
  <r>
    <s v="#2887"/>
    <d v="2026-08-04T14:07:13"/>
    <d v="2026-08-04T14:07:13"/>
    <s v="Kristina Thompson"/>
    <x v="0"/>
    <s v="kristina.thompson501@icloud.com"/>
    <s v="Scented Soy Candle - Vanilla"/>
    <s v="Home &amp; Kitchen"/>
    <s v="HK-CND-VAN"/>
    <n v="2"/>
    <n v="9.99"/>
    <m/>
    <n v="0"/>
    <n v="7.99"/>
    <n v="27.97"/>
    <s v="PayPal"/>
    <x v="2"/>
    <s v="cancelled"/>
    <s v="United States"/>
    <s v="New York"/>
    <s v="Valid"/>
    <s v="East Charlestown"/>
  </r>
  <r>
    <s v="#2889"/>
    <d v="2026-08-04T14:06:32"/>
    <d v="2026-08-04T14:06:32"/>
    <s v="Christopher Harrington"/>
    <x v="0"/>
    <s v="christopher.harrington960@gmail.com"/>
    <s v="Classic Cotton T-Shirt"/>
    <s v="Apparel"/>
    <s v="TSH-BLK-M"/>
    <n v="1"/>
    <n v="14.99"/>
    <s v="SAVE20"/>
    <n v="3"/>
    <n v="4.99"/>
    <n v="16.98"/>
    <s v="Credit Card"/>
    <x v="1"/>
    <s v="fulfilled"/>
    <s v="Australia"/>
    <m/>
    <s v="Not Required"/>
    <s v="North Christopherhaven"/>
  </r>
  <r>
    <s v="#2890"/>
    <d v="2026-08-04T14:00:35"/>
    <d v="2026-08-04T14:00:35"/>
    <s v="Lindsay Shaw"/>
    <x v="0"/>
    <s v="lindsay.shaw178@icloud.com"/>
    <s v="Leather Wallet - Brown"/>
    <s v="Accessories"/>
    <s v="ACC-WLT-BRN"/>
    <n v="2"/>
    <n v="19.989999999999998"/>
    <s v="FREESHIP"/>
    <n v="0"/>
    <n v="0"/>
    <n v="39.979999999999997"/>
    <s v="Credit Card"/>
    <x v="0"/>
    <s v="pending"/>
    <s v="United Kingdom"/>
    <m/>
    <s v="Not Required"/>
    <s v="South Earlburgh"/>
  </r>
  <r>
    <s v="#2891"/>
    <d v="2026-08-04T13:53:44"/>
    <d v="2026-08-04T13:53:44"/>
    <s v="Austin Norris"/>
    <x v="0"/>
    <s v="austin.norris15@gmail.com"/>
    <s v="Resistance Bands Set"/>
    <s v="Sports &amp; Outdoors"/>
    <s v="SP-RBS-SET"/>
    <n v="2"/>
    <n v="13.99"/>
    <m/>
    <n v="0"/>
    <n v="7.99"/>
    <s v="$35.97"/>
    <s v="Credit Card"/>
    <x v="3"/>
    <s v="cancelled"/>
    <s v="United States"/>
    <s v="FL"/>
    <s v="Valid"/>
    <s v="Angelicamouth"/>
  </r>
  <r>
    <s v="#2892"/>
    <d v="2026-08-04T13:57:06"/>
    <d v="2026-08-04T13:57:06"/>
    <s v="Rose English"/>
    <x v="0"/>
    <s v="rose.english118@icloud.com"/>
    <s v="Adjustable Dumbbell Set"/>
    <s v="Sports &amp; Outdoors"/>
    <s v="SP-DMB-ADJ"/>
    <n v="1"/>
    <n v="89.99"/>
    <s v="WELCOME10"/>
    <n v="9"/>
    <n v="0"/>
    <n v="80.989999999999995"/>
    <s v="Credit Card"/>
    <x v="0"/>
    <s v="refunded"/>
    <s v="Germany"/>
    <m/>
    <s v="Not Required"/>
    <s v="Karenville"/>
  </r>
  <r>
    <s v="#2894"/>
    <d v="2026-08-04T00:00:00"/>
    <s v="Aug 04, 2026"/>
    <s v="Barbara Brown"/>
    <x v="0"/>
    <s v="barbara.brown26@gmail.com"/>
    <s v="Kids Building Blocks Set"/>
    <s v="Toys"/>
    <s v="TOY-BLK-SET"/>
    <n v="2"/>
    <n v="27.99"/>
    <m/>
    <n v="0"/>
    <n v="4.99"/>
    <n v="60.97"/>
    <s v="Shopify Payments"/>
    <x v="3"/>
    <s v="fulfilled"/>
    <s v="United States"/>
    <s v="Washington"/>
    <s v="Valid"/>
    <s v="Amymouth"/>
  </r>
  <r>
    <s v="#2895"/>
    <d v="2026-08-04T14:00:37"/>
    <d v="2026-08-04T14:00:37"/>
    <s v="Sheryl Nguyen"/>
    <x v="0"/>
    <s v="sheryl.nguyen272@outlook.com"/>
    <s v="Ceramic Coffee Mug Set (4pc)"/>
    <s v="Home &amp; Kitchen"/>
    <s v="HK-MUG-4PK"/>
    <n v="1"/>
    <n v="18.989999999999998"/>
    <m/>
    <n v="0"/>
    <n v="7.99"/>
    <n v="26.98"/>
    <s v="Shopify Payments"/>
    <x v="3"/>
    <s v="refunded"/>
    <s v="United States"/>
    <s v="Texas"/>
    <s v="Valid"/>
    <s v="Kevinberg"/>
  </r>
  <r>
    <s v="#2896"/>
    <d v="2026-08-04T14:05:10"/>
    <d v="2026-08-04T14:05:10"/>
    <s v="TINA SINGH"/>
    <x v="0"/>
    <s v="tina.singh98@icloud.com"/>
    <s v="Wireless Mouse"/>
    <s v="Electronics"/>
    <s v="ELC-MSE-WL"/>
    <n v="1"/>
    <n v="11.99"/>
    <m/>
    <n v="0"/>
    <n v="7.99"/>
    <n v="19.98"/>
    <s v="PayPal"/>
    <x v="3"/>
    <s v="fulfilled"/>
    <s v="United States"/>
    <s v="Illinois"/>
    <s v="Valid"/>
    <s v="Huffmanmouth"/>
  </r>
  <r>
    <s v="#2897"/>
    <d v="2026-08-04T14:05:57"/>
    <d v="2026-08-04T14:05:57"/>
    <s v="Mary Meza"/>
    <x v="0"/>
    <s v="mary.meza759@gmail.com"/>
    <s v="Wireless Mouse"/>
    <s v="Electronics"/>
    <s v="ELC-MSE-WL"/>
    <n v="2"/>
    <n v="11.99"/>
    <s v="SAVE20"/>
    <n v="4.8"/>
    <n v="4.99"/>
    <n v="24.17"/>
    <s v="Shopify Payments"/>
    <x v="0"/>
    <s v="fulfilled"/>
    <s v="Canada"/>
    <m/>
    <s v="Not Required"/>
    <s v="Lake Mitchelltown"/>
  </r>
  <r>
    <s v="#2898"/>
    <d v="2026-08-04T14:02:01"/>
    <d v="2026-08-04T14:02:01"/>
    <s v="Allison Byrd"/>
    <x v="0"/>
    <s v="allison.byrd266@yahoo.com"/>
    <s v="Resistance Bands Set"/>
    <s v="Sports &amp; Outdoors"/>
    <s v="SP-RBS-SET"/>
    <n v="1"/>
    <n v="13.99"/>
    <m/>
    <n v="0"/>
    <n v="4.99"/>
    <n v="18.98"/>
    <s v="Apple Pay"/>
    <x v="1"/>
    <s v="pending"/>
    <s v="United States"/>
    <s v="Washington"/>
    <s v="Valid"/>
    <s v="Pruittshire"/>
  </r>
  <r>
    <s v="#2899"/>
    <d v="2026-08-04T13:54:08"/>
    <d v="2026-08-04T13:54:08"/>
    <s v="TINA CRANE"/>
    <x v="0"/>
    <s v="tina.crane554@gmail.com"/>
    <s v="Adjustable Dumbbell Set"/>
    <s v="Sports &amp; Outdoors"/>
    <s v="SP-DMB-ADJ"/>
    <n v="1"/>
    <n v="89.99"/>
    <s v="FREESHIP"/>
    <n v="0"/>
    <n v="0"/>
    <n v="89.99"/>
    <s v="Google Pay"/>
    <x v="2"/>
    <s v="refunded"/>
    <s v="United Kingdom"/>
    <m/>
    <s v="Not Required"/>
    <s v="Samuelstad"/>
  </r>
  <r>
    <s v="#2900"/>
    <d v="2026-04-08T00:00:00"/>
    <s v="08/04/2026"/>
    <s v="Christy Phillips"/>
    <x v="0"/>
    <s v="christy.phillips291@gmail.com"/>
    <s v="Vitamin C Serum 30ml"/>
    <s v="Beauty"/>
    <s v="BTY-SRM-30"/>
    <n v="1"/>
    <n v="24.99"/>
    <s v="SAVE20"/>
    <n v="5"/>
    <n v="5.99"/>
    <n v="25.98"/>
    <s v="Shopify Payments"/>
    <x v="3"/>
    <s v="refunded"/>
    <s v="Pakistan"/>
    <m/>
    <s v="Not Required"/>
    <s v="West Shelleyside"/>
  </r>
  <r>
    <s v="#2901"/>
    <d v="2026-08-04T13:57:09"/>
    <d v="2026-08-04T13:57:09"/>
    <s v="Alec Chambers"/>
    <x v="0"/>
    <s v="alec.chambers767@outlook.com"/>
    <s v="Backpack - 25L"/>
    <s v="Accessories"/>
    <s v="ACC-BPK-25L"/>
    <n v="2"/>
    <n v="32.99"/>
    <s v="SAVE20"/>
    <n v="13.2"/>
    <n v="5.99"/>
    <n v="58.77"/>
    <s v="Shopify Payments"/>
    <x v="1"/>
    <s v="fulfilled"/>
    <s v="Canada"/>
    <m/>
    <s v="Not Required"/>
    <s v="Jacksonborough"/>
  </r>
  <r>
    <s v="#2902"/>
    <d v="2026-08-04T13:59:32"/>
    <d v="2026-08-04T13:59:32"/>
    <s v="Arthur Kelley"/>
    <x v="0"/>
    <s v="arthur.kelley558@gmail.com"/>
    <s v="Classic Cotton T-Shirt"/>
    <s v="Apparel"/>
    <s v="TSH-BLK-M"/>
    <n v="1"/>
    <n v="14.99"/>
    <m/>
    <n v="0"/>
    <n v="7.99"/>
    <n v="22.98"/>
    <s v="PayPal"/>
    <x v="3"/>
    <s v="cancelled"/>
    <s v="Australia"/>
    <m/>
    <s v="Not Required"/>
    <s v="North Alexandraborough"/>
  </r>
  <r>
    <s v="#2903"/>
    <d v="2026-08-04T13:55:59"/>
    <d v="2026-08-04T13:55:59"/>
    <s v="Tyler Williams"/>
    <x v="0"/>
    <s v="tyler.williams938@outlook.com"/>
    <s v="Wireless Mouse"/>
    <s v="Electronics"/>
    <s v="ELC-MSE-WL"/>
    <n v="1"/>
    <n v="11.99"/>
    <s v="BFCM25"/>
    <n v="3"/>
    <n v="4.99"/>
    <n v="13.98"/>
    <s v="Google Pay"/>
    <x v="0"/>
    <s v="pending"/>
    <s v="Australia"/>
    <m/>
    <s v="Not Required"/>
    <s v="Jeffreyport"/>
  </r>
  <r>
    <s v="#2904"/>
    <d v="2026-04-08T00:00:00"/>
    <s v="08/04/2026"/>
    <s v="Rose Campos"/>
    <x v="0"/>
    <s v="rose.campos542@gmail.com"/>
    <s v="USB-C Fast Charger 20W"/>
    <s v="Electronics"/>
    <s v="ELC-CHG-20"/>
    <n v="1"/>
    <n v="15.49"/>
    <s v="VIP15"/>
    <n v="2.3199999999999998"/>
    <n v="4.99"/>
    <s v="$18.16"/>
    <s v="PayPal"/>
    <x v="2"/>
    <s v="pending"/>
    <s v="Canada"/>
    <m/>
    <s v="Not Required"/>
    <s v="Grantchester"/>
  </r>
  <r>
    <s v="#2905"/>
    <d v="2026-08-04T14:08:13"/>
    <d v="2026-08-04T14:08:13"/>
    <s v="Jeremy Tucker"/>
    <x v="1"/>
    <m/>
    <s v="Portable Power Bank 10000mAh"/>
    <s v="Electronics"/>
    <s v="ELC-PWB-10K"/>
    <n v="1"/>
    <n v="21.99"/>
    <s v="VIP15"/>
    <n v="3.3"/>
    <n v="4.99"/>
    <n v="23.68"/>
    <s v="Google Pay"/>
    <x v="0"/>
    <s v="fulfilled"/>
    <s v="United States"/>
    <s v="Georgia"/>
    <s v="Valid"/>
    <s v="Prattfurt"/>
  </r>
  <r>
    <s v="#2906"/>
    <d v="2026-08-04T14:01:30"/>
    <d v="2026-08-04T14:01:30"/>
    <s v="Nicholas Jarvis"/>
    <x v="0"/>
    <s v="nicholas.jarvis112@icloud.com"/>
    <s v="Scented Soy Candle - Vanilla"/>
    <s v="Home &amp; Kitchen"/>
    <s v="HK-CND-VAN"/>
    <n v="1"/>
    <n v="9.99"/>
    <s v="WELCOME10"/>
    <n v="1"/>
    <n v="4.99"/>
    <n v="13.98"/>
    <s v="Google Pay"/>
    <x v="2"/>
    <s v="refunded"/>
    <s v="Canada"/>
    <m/>
    <s v="Not Required"/>
    <s v="Jonesshire"/>
  </r>
  <r>
    <s v="#2907"/>
    <d v="2026-08-04T13:55:02"/>
    <d v="2026-08-04T13:55:02"/>
    <s v="Dawn Randolph"/>
    <x v="1"/>
    <m/>
    <s v="Backpack - 25L"/>
    <s v="Accessories"/>
    <s v="ACC-BPK-25L"/>
    <n v="2"/>
    <n v="32.99"/>
    <m/>
    <s v="$0.00"/>
    <n v="4.99"/>
    <n v="70.97"/>
    <s v="PayPal"/>
    <x v="2"/>
    <s v="fulfilled"/>
    <s v="Pakistan"/>
    <m/>
    <s v="Not Required"/>
    <s v="Amyshire"/>
  </r>
  <r>
    <s v="#2908"/>
    <d v="2026-08-04T14:03:45"/>
    <d v="2026-08-04T14:03:45"/>
    <s v="Alexandria Miller"/>
    <x v="0"/>
    <s v="alexandria.miller414@outlook.com"/>
    <s v="Vitamin C Serum 30ml"/>
    <s v="Beauty"/>
    <s v="BTY-SRM-30"/>
    <n v="1"/>
    <n v="24.99"/>
    <s v="VIP15"/>
    <s v="$3.75"/>
    <n v="4.99"/>
    <s v="$26.23"/>
    <s v="Google Pay"/>
    <x v="2"/>
    <s v="fulfilled"/>
    <s v="Australia"/>
    <m/>
    <s v="Not Required"/>
    <s v="Johnmouth"/>
  </r>
  <r>
    <s v="#2909"/>
    <d v="2026-08-04T13:55:03"/>
    <d v="2026-08-04T13:55:03"/>
    <s v="Kristina Cook"/>
    <x v="0"/>
    <s v="kristina.cook392@outlook.com"/>
    <s v="Polarized Sunglasses"/>
    <s v="Accessories"/>
    <s v="ACC-SUN-01"/>
    <n v="1"/>
    <n v="16.989999999999998"/>
    <m/>
    <n v="0"/>
    <n v="4.99"/>
    <n v="21.98"/>
    <s v="Apple Pay"/>
    <x v="3"/>
    <s v="fulfilled"/>
    <s v="United States"/>
    <s v="New York"/>
    <s v="Valid"/>
    <s v="Port Melissa"/>
  </r>
  <r>
    <s v="#2910"/>
    <d v="2026-08-04T13:54:34"/>
    <d v="2026-08-04T13:54:34"/>
    <s v="Sandra Wilson"/>
    <x v="0"/>
    <s v="sandra.wilson554@outlook.com"/>
    <s v="Ceramic Coffee Mug Set (4pc)"/>
    <s v="Home &amp; Kitchen"/>
    <s v="HK-MUG-4PK"/>
    <n v="2"/>
    <n v="18.989999999999998"/>
    <m/>
    <n v="0"/>
    <n v="5.99"/>
    <n v="43.97"/>
    <s v="Apple Pay"/>
    <x v="0"/>
    <s v="fulfilled"/>
    <s v="Canada"/>
    <m/>
    <s v="Not Required"/>
    <s v="Andresburgh"/>
  </r>
  <r>
    <s v="#2911"/>
    <d v="2026-08-04T00:00:00"/>
    <s v="2026-08-04"/>
    <s v="Tracy Kennedy"/>
    <x v="0"/>
    <s v="tracy.kennedy796@outlook.com"/>
    <s v="Wireless Mouse"/>
    <s v="Electronics"/>
    <s v="ELC-MSE-WL"/>
    <n v="2"/>
    <n v="11.99"/>
    <m/>
    <n v="0"/>
    <n v="4.99"/>
    <n v="28.97"/>
    <s v="Credit Card"/>
    <x v="3"/>
    <s v="refunded"/>
    <s v="Pakistan"/>
    <m/>
    <s v="Not Required"/>
    <s v="Grantbury"/>
  </r>
  <r>
    <s v="#2912"/>
    <d v="2026-08-04T14:06:43"/>
    <d v="2026-08-04T14:06:43"/>
    <s v="Andrea Gallegos"/>
    <x v="0"/>
    <s v="andrea.gallegos495@gmail.com"/>
    <s v="Slim Fit Denim Jeans"/>
    <s v="Apparel"/>
    <s v="JNS-BLU-32"/>
    <n v="1"/>
    <n v="39.99"/>
    <m/>
    <n v="0"/>
    <n v="5.99"/>
    <n v="45.98"/>
    <s v="PayPal"/>
    <x v="2"/>
    <s v="refunded"/>
    <s v="Germany"/>
    <m/>
    <s v="Not Required"/>
    <s v="Longstad"/>
  </r>
  <r>
    <s v="#2913"/>
    <d v="2026-08-04T14:00:54"/>
    <d v="2026-08-04T14:00:54"/>
    <s v="JAMES MILLER"/>
    <x v="0"/>
    <s v="james.miller866@yahoo.com"/>
    <s v="Running Shoes - Men's"/>
    <s v="Footwear"/>
    <s v="FTW-RUN-M"/>
    <n v="1"/>
    <n v="54.99"/>
    <s v="BFCM25"/>
    <n v="13.75"/>
    <n v="4.99"/>
    <n v="46.23"/>
    <s v="Credit Card"/>
    <x v="2"/>
    <s v="cancelled"/>
    <s v="Pakistan"/>
    <m/>
    <s v="Not Required"/>
    <s v="Mercadostad"/>
  </r>
  <r>
    <s v="#2914"/>
    <d v="2026-08-04T14:06:51"/>
    <d v="2026-08-04T14:06:51"/>
    <s v="Leon Oliver"/>
    <x v="0"/>
    <s v="leon.oliver578@gmail.com"/>
    <s v="Backpack - 25L"/>
    <s v="Accessories"/>
    <s v="ACC-BPK-25L"/>
    <n v="2"/>
    <n v="32.99"/>
    <s v="FREESHIP"/>
    <n v="0"/>
    <n v="0"/>
    <n v="65.98"/>
    <s v="Credit Card"/>
    <x v="3"/>
    <s v="fulfilled"/>
    <s v="Canada"/>
    <m/>
    <s v="Not Required"/>
    <s v="New Amanda"/>
  </r>
  <r>
    <s v="#2915"/>
    <d v="2026-08-04T14:01:54"/>
    <d v="2026-08-04T14:01:54"/>
    <s v="Philip Stevens"/>
    <x v="0"/>
    <s v="philip.stevens908@outlook.com"/>
    <s v="Non-Stick Frying Pan 10in"/>
    <s v="Home &amp; Kitchen"/>
    <s v="HK-PAN-10"/>
    <n v="1"/>
    <n v="24.99"/>
    <m/>
    <n v="0"/>
    <n v="5.99"/>
    <n v="30.98"/>
    <s v="PayPal"/>
    <x v="3"/>
    <s v="fulfilled"/>
    <s v="United States"/>
    <s v="Georgia"/>
    <s v="Valid"/>
    <s v="Port Courtney"/>
  </r>
  <r>
    <s v="#2916"/>
    <d v="2026-08-04T00:00:00"/>
    <s v="2026-08-04"/>
    <s v="Chad Smith"/>
    <x v="0"/>
    <s v="chad.smith773@icloud.com"/>
    <s v="Stainless Steel Water Bottle"/>
    <s v="Home &amp; Kitchen"/>
    <s v="HK-BTL-750"/>
    <n v="1"/>
    <n v="12.99"/>
    <s v="SAVE20"/>
    <n v="2.6"/>
    <n v="4.99"/>
    <n v="15.38"/>
    <s v="Credit Card"/>
    <x v="0"/>
    <s v="pending"/>
    <s v="Pakistan"/>
    <m/>
    <s v="Not Required"/>
    <s v="Faithhaven"/>
  </r>
  <r>
    <s v="#2918"/>
    <d v="2026-08-04T00:00:00"/>
    <s v="04-08-2026 14:02"/>
    <s v="Dustin Mccoy"/>
    <x v="0"/>
    <s v="dustin.mccoy570@gmail.com"/>
    <s v="Portable Power Bank 10000mAh"/>
    <s v="Electronics"/>
    <s v="ELC-PWB-10K"/>
    <n v="1"/>
    <n v="21.99"/>
    <m/>
    <n v="0"/>
    <n v="5.99"/>
    <n v="27.98"/>
    <s v="Credit Card"/>
    <x v="0"/>
    <s v="fulfilled"/>
    <s v="Canada"/>
    <m/>
    <s v="Not Required"/>
    <s v="New Justin"/>
  </r>
  <r>
    <s v="#2919"/>
    <d v="2026-08-04T13:58:12"/>
    <d v="2026-08-04T13:58:12"/>
    <s v="Anthony Krueger"/>
    <x v="0"/>
    <s v="anthony.krueger812@yahoo.com"/>
    <s v="Yoga Mat - Extra Thick"/>
    <s v="Sports &amp; Outdoors"/>
    <s v="SP-YGM-EX"/>
    <n v="1"/>
    <n v="22.99"/>
    <s v="FREESHIP"/>
    <n v="0"/>
    <n v="0"/>
    <n v="22.99"/>
    <s v="PayPal"/>
    <x v="0"/>
    <s v="fulfilled"/>
    <s v="Pakistan"/>
    <m/>
    <s v="Not Required"/>
    <s v="Hendrixmouth"/>
  </r>
  <r>
    <s v="#2920"/>
    <d v="2026-08-04T13:53:48"/>
    <d v="2026-08-04T13:53:48"/>
    <s v="JENNIFER BURKE"/>
    <x v="0"/>
    <s v="jennifer.burke472@icloud.com"/>
    <s v="Hooded Sweatshirt"/>
    <s v="Apparel"/>
    <s v="APR-HOD-GRY"/>
    <n v="1"/>
    <n v="34.99"/>
    <m/>
    <s v="$0.00"/>
    <n v="4.99"/>
    <s v="$39.98"/>
    <s v="Credit Card"/>
    <x v="0"/>
    <s v="pending"/>
    <s v="Pakistan"/>
    <m/>
    <s v="Not Required"/>
    <s v="Johnnyland"/>
  </r>
  <r>
    <s v="#2921"/>
    <d v="2026-08-04T13:57:35"/>
    <d v="2026-08-04T13:57:35"/>
    <s v="Lori Davis"/>
    <x v="0"/>
    <s v="lori.davis757@yahoo.com"/>
    <s v="USB-C Fast Charger 20W"/>
    <s v="Electronics"/>
    <s v="ELC-CHG-20"/>
    <n v="1"/>
    <n v="15.49"/>
    <m/>
    <n v="0"/>
    <n v="7.99"/>
    <s v="$23.48"/>
    <s v="Apple Pay"/>
    <x v="0"/>
    <s v="fulfilled"/>
    <s v="Germany"/>
    <m/>
    <s v="Not Required"/>
    <s v="Port Ashley"/>
  </r>
  <r>
    <s v="#2922"/>
    <d v="2026-04-08T00:00:00"/>
    <s v="08/04/2026"/>
    <s v="Devin Jones"/>
    <x v="0"/>
    <s v="devin.jones807@yahoo.com"/>
    <s v="Resistance Bands Set"/>
    <s v="Sports &amp; Outdoors"/>
    <s v="SP-RBS-SET"/>
    <n v="1"/>
    <n v="13.99"/>
    <s v="BFCM25"/>
    <n v="3.5"/>
    <n v="4.99"/>
    <n v="15.48"/>
    <s v="Credit Card"/>
    <x v="0"/>
    <s v="fulfilled"/>
    <s v="Pakistan"/>
    <m/>
    <s v="Not Required"/>
    <s v="Shawnbury"/>
  </r>
  <r>
    <s v="#2923"/>
    <d v="2026-08-04T14:04:36"/>
    <d v="2026-08-04T14:04:36"/>
    <s v="Walter Rodriguez"/>
    <x v="0"/>
    <s v="walter.rodriguez829@gmail.com"/>
    <s v="Phone Case - Clear"/>
    <s v="Electronics"/>
    <s v="ELC-CSE-CLR"/>
    <n v="1"/>
    <n v="8.99"/>
    <s v="SAVE20"/>
    <n v="1.8"/>
    <n v="4.99"/>
    <n v="12.18"/>
    <s v="Shopify Payments"/>
    <x v="1"/>
    <s v="pending"/>
    <s v="Australia"/>
    <m/>
    <s v="Not Required"/>
    <s v="Rivasborough"/>
  </r>
  <r>
    <s v="#2924"/>
    <d v="2026-08-04T13:53:50"/>
    <d v="2026-08-04T13:53:50"/>
    <s v="Hannah Lee"/>
    <x v="0"/>
    <s v="hannah.lee589@icloud.com"/>
    <s v="Classic Cotton T-Shirt"/>
    <s v="Apparel"/>
    <s v="TSH-BLK-M"/>
    <n v="3"/>
    <n v="14.99"/>
    <s v="BFCM25"/>
    <n v="11.24"/>
    <n v="5.99"/>
    <n v="39.72"/>
    <s v="Google Pay"/>
    <x v="0"/>
    <s v="cancelled"/>
    <s v="United Kingdom"/>
    <m/>
    <s v="Not Required"/>
    <s v="Port Nina"/>
  </r>
  <r>
    <s v="#2925"/>
    <d v="2026-08-04T14:00:11"/>
    <d v="2026-08-04T14:00:11"/>
    <s v="Eric Golden"/>
    <x v="0"/>
    <s v="eric.golden379@outlook.com"/>
    <s v="Stainless Steel Water Bottle"/>
    <s v="Home &amp; Kitchen"/>
    <s v="HK-BTL-750"/>
    <n v="2"/>
    <n v="12.99"/>
    <s v="VIP15"/>
    <n v="3.9"/>
    <n v="7.99"/>
    <n v="30.07"/>
    <s v="Credit Card"/>
    <x v="0"/>
    <s v="pending"/>
    <s v="United States"/>
    <s v="New York"/>
    <s v="Valid"/>
    <s v="Montoyaside"/>
  </r>
  <r>
    <s v="#2926"/>
    <d v="2026-04-08T00:00:00"/>
    <s v="08/04/2026"/>
    <s v="Test Order"/>
    <x v="0"/>
    <s v="test@test.com"/>
    <s v="Facial Cleanser 200ml"/>
    <s v="Beauty"/>
    <s v="BTY-CLN-200"/>
    <n v="2"/>
    <n v="13.49"/>
    <m/>
    <n v="0"/>
    <n v="5.99"/>
    <n v="0"/>
    <s v="Apple Pay"/>
    <x v="2"/>
    <s v="fulfilled"/>
    <s v="United Kingdom"/>
    <m/>
    <s v="Not Required"/>
    <s v="West Laurie"/>
  </r>
  <r>
    <s v="#2927"/>
    <d v="2026-08-04T13:56:07"/>
    <d v="2026-08-04T13:56:07"/>
    <s v="Dustin Mccoy"/>
    <x v="0"/>
    <s v="dustin.mccoy570@gmail.com"/>
    <s v="Facial Cleanser 200ml"/>
    <s v="Beauty"/>
    <s v="BTY-CLN-200"/>
    <n v="1"/>
    <n v="13.49"/>
    <s v="BFCM25"/>
    <n v="3.37"/>
    <n v="5.99"/>
    <n v="16.11"/>
    <s v="Credit Card"/>
    <x v="0"/>
    <s v="fulfilled"/>
    <s v="Canada"/>
    <m/>
    <s v="Not Required"/>
    <s v="East Heather"/>
  </r>
  <r>
    <s v="#2928"/>
    <d v="2026-08-04T14:06:22"/>
    <d v="2026-08-04T14:06:22"/>
    <s v="Rebecca Watts"/>
    <x v="0"/>
    <s v="rebecca.watts779@gmail.com"/>
    <s v="Non-Stick Frying Pan 10in"/>
    <s v="Home &amp; Kitchen"/>
    <s v="HK-PAN-10"/>
    <n v="2"/>
    <n v="24.99"/>
    <m/>
    <n v="0"/>
    <n v="7.99"/>
    <n v="57.97"/>
    <s v="Apple Pay"/>
    <x v="3"/>
    <s v="fulfilled"/>
    <s v="United States"/>
    <s v="California"/>
    <s v="Valid"/>
    <s v="North Jamesbury"/>
  </r>
  <r>
    <s v="#2929"/>
    <d v="2026-08-04T14:00:30"/>
    <d v="2026-08-04T14:00:30"/>
    <s v="Sandra Potter"/>
    <x v="0"/>
    <s v="sandra.potter166@yahoo.com"/>
    <s v="Wireless Mouse"/>
    <s v="Electronics"/>
    <s v="ELC-MSE-WL"/>
    <n v="1"/>
    <n v="11.99"/>
    <s v="SAVE20"/>
    <s v="$2.40"/>
    <n v="4.99"/>
    <n v="14.58"/>
    <s v="Shopify Payments"/>
    <x v="0"/>
    <s v="fulfilled"/>
    <s v="United States"/>
    <s v="Washington"/>
    <s v="Valid"/>
    <s v="Bakerburgh"/>
  </r>
  <r>
    <s v="#2930"/>
    <d v="2026-08-04T13:57:46"/>
    <d v="2026-08-04T13:57:46"/>
    <s v="Morgan Johnson"/>
    <x v="0"/>
    <s v="morgan.johnson938@outlook.com"/>
    <s v="Leather Wallet - Brown"/>
    <s v="Accessories"/>
    <s v="ACC-WLT-BRN"/>
    <n v="1"/>
    <n v="19.989999999999998"/>
    <s v="SAVE20"/>
    <n v="4"/>
    <n v="7.99"/>
    <n v="23.98"/>
    <s v="Apple Pay"/>
    <x v="0"/>
    <s v="fulfilled"/>
    <s v="Canada"/>
    <m/>
    <s v="Not Required"/>
    <s v="North Tonybury"/>
  </r>
  <r>
    <s v="#2931"/>
    <d v="2026-08-04T13:58:47"/>
    <d v="2026-08-04T13:58:47"/>
    <s v="Lucas Lyons"/>
    <x v="0"/>
    <s v="lucas.lyons594@icloud.com"/>
    <s v="Backpack - 25L"/>
    <s v="Accessories"/>
    <s v="ACC-BPK-25L"/>
    <n v="1"/>
    <n v="32.99"/>
    <m/>
    <n v="0"/>
    <n v="4.99"/>
    <n v="37.979999999999997"/>
    <s v="Shopify Payments"/>
    <x v="3"/>
    <s v="fulfilled"/>
    <s v="Pakistan"/>
    <m/>
    <s v="Not Required"/>
    <s v="South Cassandraton"/>
  </r>
  <r>
    <s v="#2932"/>
    <d v="2026-08-04T14:06:29"/>
    <d v="2026-08-04T14:06:29"/>
    <s v="Chad Pierce"/>
    <x v="0"/>
    <s v="chad.pierce440@outlook.com"/>
    <s v="Non-Stick Frying Pan 10in"/>
    <s v="Home &amp; Kitchen"/>
    <s v="HK-PAN-10"/>
    <n v="1"/>
    <n v="24.99"/>
    <s v="VIP15"/>
    <n v="3.75"/>
    <n v="5.99"/>
    <n v="27.23"/>
    <s v="Apple Pay"/>
    <x v="0"/>
    <s v="fulfilled"/>
    <s v="United States"/>
    <s v="Ohio"/>
    <s v="Valid"/>
    <s v="West Benjamin"/>
  </r>
  <r>
    <s v="#2933"/>
    <d v="2026-08-04T14:06:28"/>
    <d v="2026-08-04T14:06:28"/>
    <s v="Joseph Martin"/>
    <x v="0"/>
    <s v="joseph.martin348@icloud.com"/>
    <s v="Throw Blanket - Fleece"/>
    <s v="Home &amp; Kitchen"/>
    <s v="HK-BLK-FLC"/>
    <n v="2"/>
    <n v="17.989999999999998"/>
    <s v="SAVE20"/>
    <n v="7.2"/>
    <n v="5.99"/>
    <n v="34.770000000000003"/>
    <s v="PayPal"/>
    <x v="0"/>
    <s v="pending"/>
    <s v="United States"/>
    <s v="Ohio"/>
    <s v="Valid"/>
    <s v="East Kimberly"/>
  </r>
  <r>
    <s v="#2934"/>
    <d v="2026-08-04T13:55:01"/>
    <d v="2026-08-04T13:55:01"/>
    <s v="Tracy Adams"/>
    <x v="0"/>
    <s v="tracy.adams712@icloud.com"/>
    <s v="Leather Wallet - Brown"/>
    <s v="Accessories"/>
    <s v="ACC-WLT-BRN"/>
    <n v="1"/>
    <n v="19.989999999999998"/>
    <s v="VIP15"/>
    <n v="3"/>
    <n v="7.99"/>
    <n v="24.98"/>
    <s v="Google Pay"/>
    <x v="0"/>
    <s v="cancelled"/>
    <s v="United States"/>
    <s v="Illinois"/>
    <s v="Valid"/>
    <s v="South Antonio"/>
  </r>
  <r>
    <s v="#2935"/>
    <d v="2026-08-04T14:03:04"/>
    <d v="2026-08-04T14:03:04"/>
    <s v="Jeremy Hicks"/>
    <x v="0"/>
    <s v="jeremy.hicks984@yahoo.com"/>
    <s v="Resistance Bands Set"/>
    <s v="Sports &amp; Outdoors"/>
    <s v="SP-RBS-SET"/>
    <n v="1"/>
    <n v="13.99"/>
    <s v="SAVE20"/>
    <n v="2.8"/>
    <n v="4.99"/>
    <n v="16.18"/>
    <s v="Credit Card"/>
    <x v="0"/>
    <s v="refunded"/>
    <s v="United Kingdom"/>
    <m/>
    <s v="Not Required"/>
    <s v="Christopherside"/>
  </r>
  <r>
    <s v="#2936"/>
    <d v="2026-08-04T14:06:12"/>
    <d v="2026-08-04T14:06:12"/>
    <s v="Karen Bautista"/>
    <x v="0"/>
    <s v="karen.bautista779@icloud.com"/>
    <s v="Polarized Sunglasses"/>
    <s v="Accessories"/>
    <s v="ACC-SUN-01"/>
    <n v="2"/>
    <n v="16.989999999999998"/>
    <s v="WELCOME10"/>
    <n v="3.4"/>
    <n v="5.99"/>
    <n v="36.57"/>
    <s v="Credit Card"/>
    <x v="1"/>
    <s v="pending"/>
    <s v="United States"/>
    <s v="TX"/>
    <s v="Valid"/>
    <s v="Pennymouth"/>
  </r>
  <r>
    <s v="#2937"/>
    <d v="2026-08-04T13:57:48"/>
    <d v="2026-08-04T13:57:48"/>
    <s v="Angel Clark"/>
    <x v="0"/>
    <s v="angel.clark280@yahoo.com"/>
    <s v="Resistance Bands Set"/>
    <s v="Sports &amp; Outdoors"/>
    <s v="SP-RBS-SET"/>
    <n v="2"/>
    <n v="13.99"/>
    <s v=" SAVE20 "/>
    <n v="5.6"/>
    <n v="5.99"/>
    <n v="28.37"/>
    <s v="Google Pay"/>
    <x v="0"/>
    <s v="fulfilled"/>
    <s v="Germany"/>
    <m/>
    <s v="Not Required"/>
    <s v="East Melissa"/>
  </r>
  <r>
    <s v="#2938"/>
    <d v="2026-08-04T14:05:43"/>
    <d v="2026-08-04T14:05:43"/>
    <s v="Barbara Brown"/>
    <x v="0"/>
    <s v="barbara.brown26@gmail.com"/>
    <s v="Portable Power Bank 10000mAh"/>
    <s v="Electronics"/>
    <s v="ELC-PWB-10K"/>
    <n v="1"/>
    <s v="$21.99"/>
    <s v="WELCOME10"/>
    <n v="2.2000000000000002"/>
    <n v="7.99"/>
    <n v="27.78"/>
    <s v="Shopify Payments"/>
    <x v="0"/>
    <s v="fulfilled"/>
    <s v="United States"/>
    <s v="Georgia"/>
    <s v="Valid"/>
    <s v="Rogersborough"/>
  </r>
  <r>
    <s v="#2939"/>
    <d v="2026-08-04T13:54:01"/>
    <d v="2026-08-04T13:54:01"/>
    <s v="Joshua Ayers"/>
    <x v="0"/>
    <s v="joshua.ayers935@yahoo.com"/>
    <s v="Facial Cleanser 200ml"/>
    <s v="Beauty"/>
    <s v="BTY-CLN-200"/>
    <n v="1"/>
    <n v="13.49"/>
    <s v="WELCOME10"/>
    <n v="1.35"/>
    <n v="5.99"/>
    <s v="$18.13"/>
    <s v="Shopify Payments"/>
    <x v="0"/>
    <s v="fulfilled"/>
    <s v="Germany"/>
    <m/>
    <s v="Not Required"/>
    <s v="Williamsstad"/>
  </r>
  <r>
    <s v="#2940"/>
    <d v="2026-08-04T14:02:40"/>
    <d v="2026-08-04T14:02:40"/>
    <s v="Maria Leon"/>
    <x v="0"/>
    <s v="maria.leon163@outlook.com"/>
    <s v="Running Shoes - Men's"/>
    <s v="Footwear"/>
    <s v="FTW-RUN-M"/>
    <n v="2"/>
    <n v="54.99"/>
    <m/>
    <n v="0"/>
    <n v="0"/>
    <n v="109.98"/>
    <s v="Google Pay"/>
    <x v="0"/>
    <s v="cancelled"/>
    <s v="Canada"/>
    <m/>
    <s v="Not Required"/>
    <s v="New Alejandra"/>
  </r>
  <r>
    <s v="#2941"/>
    <d v="2026-08-04T14:04:00"/>
    <d v="2026-08-04T14:04:00"/>
    <s v="JOHN CARSON"/>
    <x v="0"/>
    <s v="john.carson203@yahoo.com"/>
    <s v="Vitamin C Serum 30ml"/>
    <s v="Beauty"/>
    <s v="BTY-SRM-30"/>
    <n v="1"/>
    <n v="24.99"/>
    <m/>
    <n v="0"/>
    <n v="5.99"/>
    <n v="30.98"/>
    <s v="PayPal"/>
    <x v="0"/>
    <s v="fulfilled"/>
    <s v="United States"/>
    <s v="Illinois"/>
    <s v="Valid"/>
    <s v="Martinezville"/>
  </r>
  <r>
    <s v="#2942"/>
    <d v="2026-08-04T13:54:07"/>
    <d v="2026-08-04T13:54:07"/>
    <s v="Amanda Robinson"/>
    <x v="0"/>
    <s v="amanda.robinson263@icloud.com"/>
    <s v="Yoga Mat - Extra Thick"/>
    <s v="Sports &amp; Outdoors"/>
    <s v="SP-YGM-EX"/>
    <n v="1"/>
    <n v="22.99"/>
    <s v="SAVE20"/>
    <s v="$4.60"/>
    <n v="5.99"/>
    <n v="24.38"/>
    <s v="Credit Card"/>
    <x v="3"/>
    <s v="refunded"/>
    <s v="United States"/>
    <s v="Ohio"/>
    <s v="Valid"/>
    <s v="Merrittchester"/>
  </r>
  <r>
    <s v="#2943"/>
    <d v="2026-08-04T14:02:02"/>
    <d v="2026-08-04T14:02:02"/>
    <s v="Dustin Mccoy"/>
    <x v="0"/>
    <s v="dustin.mccoy570@gmail.com"/>
    <s v="Hooded Sweatshirt"/>
    <s v="Apparel"/>
    <s v="APR-HOD-GRY"/>
    <n v="3"/>
    <s v="$34.99"/>
    <s v="FREESHIP"/>
    <n v="0"/>
    <n v="0"/>
    <n v="104.97"/>
    <s v="PayPal"/>
    <x v="0"/>
    <s v="fulfilled"/>
    <s v="Canada"/>
    <m/>
    <s v="Not Required"/>
    <s v="Isaiahport"/>
  </r>
  <r>
    <s v="#2944"/>
    <d v="2026-08-04T00:00:00"/>
    <s v="Aug 04, 2026"/>
    <s v="Sean Frank"/>
    <x v="0"/>
    <s v="sean.frank587@icloud.com"/>
    <s v="Throw Blanket - Fleece"/>
    <s v="Home &amp; Kitchen"/>
    <s v="HK-BLK-FLC"/>
    <n v="2"/>
    <n v="17.989999999999998"/>
    <s v="VIP15"/>
    <n v="5.4"/>
    <n v="5.99"/>
    <n v="36.57"/>
    <s v="Apple Pay"/>
    <x v="0"/>
    <s v="fulfilled"/>
    <s v="Australia"/>
    <m/>
    <s v="Not Required"/>
    <s v="North Melanie"/>
  </r>
  <r>
    <s v="#2945"/>
    <d v="2026-08-04T14:08:00"/>
    <d v="2026-08-04T14:08:00"/>
    <s v="Angela Carr"/>
    <x v="0"/>
    <s v="angela.carr488@yahoo.com"/>
    <s v="Classic Cotton T Shirt"/>
    <s v="Apparel"/>
    <s v="TSH-BLK-M"/>
    <n v="1"/>
    <n v="14.99"/>
    <m/>
    <n v="0"/>
    <n v="4.99"/>
    <n v="19.98"/>
    <s v="Shopify Payments"/>
    <x v="2"/>
    <s v="refunded"/>
    <s v="United States"/>
    <s v="Ohio"/>
    <s v="Valid"/>
    <s v="Tracyton"/>
  </r>
  <r>
    <s v="#2946"/>
    <d v="2026-08-04T14:01:53"/>
    <d v="2026-08-04T14:01:53"/>
    <s v="Nicole Taylor"/>
    <x v="0"/>
    <s v="nicole.taylor607@icloud.com"/>
    <s v="Backpack - 25L"/>
    <s v="Accessories"/>
    <s v="ACC-BPK-25L"/>
    <n v="1"/>
    <n v="32.99"/>
    <s v="WELCOME10"/>
    <n v="3.3"/>
    <n v="7.99"/>
    <n v="37.68"/>
    <s v="Credit Card"/>
    <x v="0"/>
    <s v="fulfilled"/>
    <s v="United States"/>
    <s v="Texas"/>
    <s v="Valid"/>
    <s v="Maystad"/>
  </r>
  <r>
    <s v="#2947"/>
    <d v="2026-08-04T13:53:34"/>
    <d v="2026-08-04T13:53:34"/>
    <s v="Joel Davidson"/>
    <x v="0"/>
    <s v="joel.davidson94@icloud.com"/>
    <s v="Leather Wallet - Brown"/>
    <s v="Accessories"/>
    <s v="ACC-WLT-BRN"/>
    <n v="1"/>
    <n v="19.989999999999998"/>
    <m/>
    <n v="0"/>
    <n v="7.99"/>
    <n v="27.98"/>
    <s v="Apple Pay"/>
    <x v="2"/>
    <s v="fulfilled"/>
    <s v="United States"/>
    <s v="Arizona"/>
    <s v="Valid"/>
    <s v="Martinezfurt"/>
  </r>
  <r>
    <s v="#2948"/>
    <d v="2026-08-04T14:01:19"/>
    <d v="2026-08-04T14:01:19"/>
    <s v="Jacqueline Wiley"/>
    <x v="0"/>
    <s v="jacqueline.wiley718@icloud.com"/>
    <s v="Leather Wallet - Brown"/>
    <s v="Accessories"/>
    <s v="ACC-WLT-BRN"/>
    <n v="3"/>
    <n v="19.989999999999998"/>
    <m/>
    <n v="0"/>
    <n v="5.99"/>
    <n v="65.959999999999994"/>
    <s v="Apple Pay"/>
    <x v="0"/>
    <s v="fulfilled"/>
    <s v="United States"/>
    <s v="Illinois"/>
    <s v="Valid"/>
    <s v="New John"/>
  </r>
  <r>
    <s v="#2949"/>
    <d v="2026-04-08T00:00:00"/>
    <s v="08/04/2026"/>
    <s v="Rodney Lamb"/>
    <x v="0"/>
    <s v="rodney.lamb872@icloud.com"/>
    <s v="Classic Cotton T-Shirt"/>
    <s v="Apparel"/>
    <s v="TSH-BLK-L"/>
    <n v="2"/>
    <n v="14.99"/>
    <s v="VIP15"/>
    <n v="4.5"/>
    <n v="7.99"/>
    <n v="33.47"/>
    <s v="PayPal"/>
    <x v="2"/>
    <s v="fulfilled"/>
    <s v="Australia"/>
    <m/>
    <s v="Not Required"/>
    <s v="Medinabury"/>
  </r>
  <r>
    <s v="#2950"/>
    <d v="2026-08-04T14:00:23"/>
    <d v="2026-08-04T14:00:23"/>
    <s v="Teresa Campbell"/>
    <x v="0"/>
    <s v="teresa.campbell610@icloud.com"/>
    <s v="Slim Fit Denim Jeans"/>
    <s v="Apparel"/>
    <s v="JNS-BLU-32"/>
    <n v="1"/>
    <n v="39.99"/>
    <m/>
    <n v="0"/>
    <n v="4.99"/>
    <n v="44.98"/>
    <s v="Google Pay"/>
    <x v="0"/>
    <s v="pending"/>
    <s v="United Kingdom"/>
    <m/>
    <s v="Not Required"/>
    <s v="Sandyshire"/>
  </r>
  <r>
    <s v="#2951"/>
    <d v="2026-08-04T13:59:14"/>
    <d v="2026-08-04T13:59:14"/>
    <s v="Anthony Marshall"/>
    <x v="0"/>
    <s v="anthony.marshall823@yahoo.com"/>
    <s v="Kids Building Blocks Set"/>
    <s v="Toys"/>
    <s v="TOY-BLK-SET"/>
    <n v="2"/>
    <n v="27.99"/>
    <s v="FREESHIP"/>
    <n v="0"/>
    <n v="0"/>
    <s v="$55.98"/>
    <s v="Apple Pay"/>
    <x v="0"/>
    <s v="fulfilled"/>
    <s v="United States"/>
    <s v="Ohio"/>
    <s v="Valid"/>
    <s v="Brianchester"/>
  </r>
  <r>
    <s v="#2952"/>
    <d v="2026-08-04T13:56:18"/>
    <d v="2026-08-04T13:56:18"/>
    <s v="Tracy Barr"/>
    <x v="0"/>
    <s v="tracy.barr550@icloud.com"/>
    <s v="Running Shoes - Women's"/>
    <s v="Footwear"/>
    <s v="FTW-RUN-W"/>
    <n v="2"/>
    <n v="54.99"/>
    <s v="FREESHIP"/>
    <n v="0"/>
    <n v="0"/>
    <n v="109.98"/>
    <s v="Shopify Payments"/>
    <x v="3"/>
    <s v="fulfilled"/>
    <s v="United States"/>
    <s v="Washington"/>
    <s v="Valid"/>
    <s v="South Drewport"/>
  </r>
  <r>
    <s v="#2953"/>
    <d v="2026-08-04T13:57:13"/>
    <d v="2026-08-04T13:57:13"/>
    <s v="Diane Harper"/>
    <x v="0"/>
    <s v="diane.harper925@gmail.com"/>
    <s v="Classic Cotton T-Shirt"/>
    <s v="Apparel"/>
    <s v="TSH-BLK-L"/>
    <n v="1"/>
    <n v="14.99"/>
    <m/>
    <n v="0"/>
    <n v="7.99"/>
    <n v="22.98"/>
    <s v="Credit Card"/>
    <x v="0"/>
    <s v="fulfilled"/>
    <s v="United States"/>
    <s v="Arizona"/>
    <s v="Valid"/>
    <s v="Stephenschester"/>
  </r>
  <r>
    <s v="#2954"/>
    <d v="2026-08-04T14:07:48"/>
    <d v="2026-08-04T14:07:48"/>
    <s v="Sarah Williams"/>
    <x v="0"/>
    <s v="sarah.williams329@icloud.com"/>
    <s v="Leather Wallet - Brown"/>
    <s v="Accessories"/>
    <s v="ACC-WLT-BRN"/>
    <n v="1"/>
    <n v="19.989999999999998"/>
    <m/>
    <n v="0"/>
    <n v="4.99"/>
    <n v="24.98"/>
    <s v="PayPal"/>
    <x v="0"/>
    <s v="fulfilled"/>
    <s v="Canada"/>
    <m/>
    <s v="Not Required"/>
    <s v="Smithton"/>
  </r>
  <r>
    <s v="#2955"/>
    <d v="2026-08-04T14:05:56"/>
    <d v="2026-08-04T14:05:56"/>
    <s v="Juan Martin"/>
    <x v="0"/>
    <s v="juan.martin929@gmail.com"/>
    <s v="Classic Cotton T-Shirt"/>
    <s v="Apparel"/>
    <s v="TSH-BLK-M"/>
    <n v="1"/>
    <s v="$14.99"/>
    <s v="SAVE20"/>
    <s v="$3.00"/>
    <n v="5.99"/>
    <n v="17.98"/>
    <s v="Shopify Payments"/>
    <x v="3"/>
    <s v="fulfilled"/>
    <s v="United States"/>
    <s v="Washington"/>
    <s v="Valid"/>
    <s v="Port Amy"/>
  </r>
  <r>
    <s v="#2956"/>
    <d v="2026-08-04T14:00:49"/>
    <d v="2026-08-04T14:00:49"/>
    <s v="  Ronald Stanley"/>
    <x v="0"/>
    <s v="ronald.stanley7@yahoo.com"/>
    <s v="Kids Building Blocks Set"/>
    <s v="Toys"/>
    <s v="TOY-BLK-SET"/>
    <n v="1"/>
    <n v="27.99"/>
    <s v="WELCOME10"/>
    <n v="2.8"/>
    <n v="7.99"/>
    <n v="33.18"/>
    <s v="Apple Pay"/>
    <x v="1"/>
    <s v="fulfilled"/>
    <s v="United States"/>
    <s v="AZ"/>
    <s v="Valid"/>
    <s v="New Benjaminfort"/>
  </r>
  <r>
    <s v="#2957"/>
    <d v="2026-08-04T00:00:00"/>
    <s v="2026-08-04"/>
    <s v="Amanda Rodriguez"/>
    <x v="0"/>
    <s v="amanda.rodriguez770@yahoo.com"/>
    <s v="Slim Fit Denim Jeans"/>
    <s v="Apparel"/>
    <s v="JNS-BLU-32"/>
    <n v="1"/>
    <n v="39.99"/>
    <s v="VIP15"/>
    <n v="6"/>
    <n v="4.99"/>
    <n v="38.979999999999997"/>
    <s v="Shopify Payments"/>
    <x v="0"/>
    <s v="cancelled"/>
    <s v="United States"/>
    <s v="New York"/>
    <s v="Valid"/>
    <s v="South Oliviaburgh"/>
  </r>
  <r>
    <s v="#2958"/>
    <d v="2026-08-04T14:06:38"/>
    <d v="2026-08-04T14:06:38"/>
    <s v="Walker, Douglas"/>
    <x v="0"/>
    <s v="douglas.walker28@outlook.com"/>
    <s v="Leather Wallet - Brown"/>
    <s v="Accessories"/>
    <s v="ACC-WLT-BRN"/>
    <n v="1"/>
    <n v="19.989999999999998"/>
    <m/>
    <n v="0"/>
    <n v="7.99"/>
    <n v="27.98"/>
    <s v="Apple Pay"/>
    <x v="0"/>
    <s v="refunded"/>
    <s v="United Kingdom"/>
    <m/>
    <s v="Not Required"/>
    <s v="Hallton"/>
  </r>
  <r>
    <s v="#2959"/>
    <d v="2026-08-04T14:00:40"/>
    <d v="2026-08-04T14:00:40"/>
    <s v="Mary Garcia"/>
    <x v="0"/>
    <s v="mary.garcia899@icloud.com"/>
    <s v="Running Shoes - Men's"/>
    <s v="Footwear"/>
    <s v="FTW-RUN-M"/>
    <n v="2"/>
    <n v="54.99"/>
    <s v="WELCOME10"/>
    <s v="$11.00"/>
    <n v="0"/>
    <n v="98.98"/>
    <s v="PayPal"/>
    <x v="0"/>
    <s v="cancelled"/>
    <s v="Canada"/>
    <m/>
    <s v="Not Required"/>
    <s v="Campbellfurt"/>
  </r>
  <r>
    <s v="#2960"/>
    <d v="2026-08-04T13:58:27"/>
    <d v="2026-08-04T13:58:27"/>
    <s v="Alan Davis"/>
    <x v="0"/>
    <s v="alan.davis483@icloud.com"/>
    <s v="Kids Building Blocks Set"/>
    <s v="Toys"/>
    <s v="TOY-BLK-SET"/>
    <n v="1"/>
    <n v="27.99"/>
    <s v="VIP15"/>
    <n v="4.2"/>
    <n v="5.99"/>
    <n v="29.78"/>
    <s v="Credit Card"/>
    <x v="0"/>
    <s v="pending"/>
    <s v="Canada"/>
    <m/>
    <s v="Not Required"/>
    <s v="Port Mandyville"/>
  </r>
  <r>
    <s v="#2961"/>
    <d v="2026-08-04T14:08:18"/>
    <d v="2026-08-04T14:08:18"/>
    <s v="Erika Maxwell"/>
    <x v="0"/>
    <s v="erika.maxwell281@gmail.com"/>
    <s v="Resistance Bands Set"/>
    <s v="Sports &amp; Outdoors"/>
    <s v="SP-RBS-SET"/>
    <n v="1"/>
    <n v="13.99"/>
    <m/>
    <n v="0"/>
    <n v="4.99"/>
    <s v="$18.98"/>
    <s v="Credit Card"/>
    <x v="1"/>
    <s v="cancelled"/>
    <s v="United States"/>
    <s v="Ohio"/>
    <s v="Valid"/>
    <s v="New Raymond"/>
  </r>
  <r>
    <s v="#2962"/>
    <d v="2026-08-04T14:04:02"/>
    <d v="2026-08-04T14:04:02"/>
    <s v="Ronald Davis"/>
    <x v="0"/>
    <s v="ronald.davis995@yahoo.com"/>
    <s v="Adjustable Dumbbell Set"/>
    <s v="Sports &amp; Outdoors"/>
    <s v="SP-DMB-ADJ"/>
    <n v="2"/>
    <n v="89.99"/>
    <s v="VIP15"/>
    <n v="27"/>
    <n v="0"/>
    <n v="152.97999999999999"/>
    <s v="Credit Card"/>
    <x v="3"/>
    <s v="cancelled"/>
    <s v="Pakistan"/>
    <m/>
    <s v="Not Required"/>
    <s v="West Margaretstad"/>
  </r>
  <r>
    <s v="#2963"/>
    <d v="2026-08-04T13:54:29"/>
    <d v="2026-08-04T13:54:29"/>
    <s v="John Carson"/>
    <x v="0"/>
    <s v="john.carson203@yahoo.com"/>
    <s v="Running Shoes - Men's"/>
    <s v="Footwear"/>
    <s v="FTW-RUN-M"/>
    <n v="1"/>
    <n v="54.99"/>
    <s v="BFCM25"/>
    <n v="13.75"/>
    <n v="5.99"/>
    <n v="47.23"/>
    <s v="Credit Card"/>
    <x v="0"/>
    <s v="cancelled"/>
    <s v="United States"/>
    <s v="North Carolina"/>
    <s v="Valid"/>
    <s v="Keithfort"/>
  </r>
  <r>
    <s v="#2964"/>
    <d v="2026-08-04T13:58:24"/>
    <d v="2026-08-04T13:58:24"/>
    <s v="Joshua Chavez"/>
    <x v="0"/>
    <s v="joshua.chavez332@outlook.com"/>
    <s v="USB-C Fast Charger 20W"/>
    <s v="Electronics"/>
    <s v="ELC-CHG-20"/>
    <n v="1"/>
    <n v="15.49"/>
    <s v="BFCM25"/>
    <n v="3.87"/>
    <n v="7.99"/>
    <n v="19.61"/>
    <s v="Google Pay"/>
    <x v="0"/>
    <s v="fulfilled"/>
    <s v="United States"/>
    <s v="Texas"/>
    <s v="Valid"/>
    <s v="Ashleyberg"/>
  </r>
  <r>
    <s v="#2965"/>
    <d v="2026-08-04T00:00:00"/>
    <s v="Aug 04, 2026"/>
    <s v="HEATHER RIVERS"/>
    <x v="0"/>
    <s v="heather.rivers451@icloud.com"/>
    <s v="Scented Soy Candle - Vanilla"/>
    <s v="Home &amp; Kitchen"/>
    <s v="HK-CND-VAN"/>
    <n v="1"/>
    <n v="9.99"/>
    <s v="VIP15"/>
    <n v="1.5"/>
    <n v="7.99"/>
    <n v="16.48"/>
    <s v="PayPal"/>
    <x v="0"/>
    <s v="fulfilled"/>
    <s v="United States"/>
    <s v="California"/>
    <s v="Valid"/>
    <s v="New Jessicamouth"/>
  </r>
  <r>
    <s v="#2966"/>
    <d v="2026-08-04T14:08:06"/>
    <d v="2026-08-04T14:08:06"/>
    <s v="Lauren Nguyen"/>
    <x v="0"/>
    <s v="lauren.nguyen819@outlook.com"/>
    <s v="Running Shoes - Women's"/>
    <s v="Footwear"/>
    <s v="FTW-RUN-W"/>
    <n v="1"/>
    <s v="$54.99"/>
    <s v="BFCM25"/>
    <n v="13.75"/>
    <n v="4.99"/>
    <n v="46.23"/>
    <s v="PayPal"/>
    <x v="0"/>
    <s v="fulfilled"/>
    <s v="United Kingdom"/>
    <m/>
    <s v="Not Required"/>
    <s v="New Amberbury"/>
  </r>
  <r>
    <s v="#2967"/>
    <d v="2026-08-04T14:07:13"/>
    <d v="2026-08-04T14:07:13"/>
    <s v="Rebecca Watts"/>
    <x v="0"/>
    <s v="rebecca.watts779@gmail.com"/>
    <s v="Portable Power Bank 10000mAh"/>
    <s v="Electronics"/>
    <s v="ELC-PWB-10K"/>
    <n v="1"/>
    <n v="21.99"/>
    <s v="FREESHIP"/>
    <n v="0"/>
    <n v="0"/>
    <n v="21.99"/>
    <s v="Credit Card"/>
    <x v="0"/>
    <s v="pending"/>
    <s v="United States"/>
    <s v="Arizona"/>
    <s v="Valid"/>
    <s v="South Donna"/>
  </r>
  <r>
    <s v="#2968"/>
    <d v="2026-04-08T00:00:00"/>
    <s v="08/04/2026"/>
    <s v="Johnson, Kimberly"/>
    <x v="0"/>
    <s v="kimberly.johnson443@icloud.com"/>
    <s v="Scented Soy Candle - Vanilla"/>
    <s v="Home &amp; Kitchen"/>
    <s v="HK-CND-VAN"/>
    <n v="1"/>
    <n v="9.99"/>
    <s v="BFCM25"/>
    <n v="2.5"/>
    <n v="7.99"/>
    <n v="15.48"/>
    <s v="PayPal"/>
    <x v="0"/>
    <s v="fulfilled"/>
    <s v="Australia"/>
    <m/>
    <s v="Not Required"/>
    <s v="Lake Craigburgh"/>
  </r>
  <r>
    <s v="#2969"/>
    <d v="2026-08-04T14:04:21"/>
    <d v="2026-08-04T14:04:21"/>
    <s v="Sandra Wilson"/>
    <x v="0"/>
    <s v="sandra.wilson554@outlook.com"/>
    <s v="Scented Soy Candle - Vanilla"/>
    <s v="Home &amp; Kitchen"/>
    <s v="HK-CND-VAN"/>
    <n v="1"/>
    <n v="9.99"/>
    <s v="FREESHIP"/>
    <n v="0"/>
    <n v="0"/>
    <n v="9.99"/>
    <s v="PayPal"/>
    <x v="0"/>
    <s v="fulfilled"/>
    <s v="Canada"/>
    <m/>
    <s v="Not Required"/>
    <s v="South Lindsey"/>
  </r>
  <r>
    <s v="#2970"/>
    <d v="2026-04-08T00:00:00"/>
    <s v="08/04/2026"/>
    <s v="Matthew Newman"/>
    <x v="0"/>
    <s v="matthew.newman714@gmail.com"/>
    <s v="Vitamin C Serum 30ml"/>
    <s v="Beauty"/>
    <s v="BTY-SRM-30"/>
    <n v="1"/>
    <n v="24.99"/>
    <s v="SAVE20"/>
    <n v="5"/>
    <n v="4.99"/>
    <n v="24.98"/>
    <s v="PayPal"/>
    <x v="0"/>
    <s v="fulfilled"/>
    <s v="Germany"/>
    <m/>
    <s v="Not Required"/>
    <s v="Carlsonhaven"/>
  </r>
  <r>
    <s v="#2971"/>
    <d v="2026-08-04T13:54:43"/>
    <d v="2026-08-04T13:54:43"/>
    <s v="  Amy Thompson"/>
    <x v="0"/>
    <s v="amy.thompson410@outlook.com"/>
    <s v="Backpack - 25L"/>
    <s v="Accessories"/>
    <s v="ACC-BPK-25L"/>
    <n v="1"/>
    <n v="32.99"/>
    <s v="BFCM25"/>
    <n v="8.25"/>
    <n v="5.99"/>
    <n v="30.73"/>
    <s v="PayPal"/>
    <x v="1"/>
    <s v="fulfilled"/>
    <s v="United States"/>
    <s v="North Carolina"/>
    <s v="Valid"/>
    <s v="Monicafort"/>
  </r>
  <r>
    <s v="#2972"/>
    <d v="2026-04-08T00:00:00"/>
    <s v="08/04/2026"/>
    <s v="Sara Hernandez"/>
    <x v="1"/>
    <m/>
    <s v="Phone Case - Clear"/>
    <s v="Electronics"/>
    <s v="ELC-CSE-CLR"/>
    <n v="1"/>
    <s v="$8.99"/>
    <s v="BFCM25"/>
    <n v="2.25"/>
    <n v="7.99"/>
    <n v="14.73"/>
    <s v="Credit Card"/>
    <x v="0"/>
    <s v="cancelled"/>
    <s v="United States"/>
    <s v="NY"/>
    <s v="Valid"/>
    <s v="Catherinefurt"/>
  </r>
  <r>
    <s v="#2973"/>
    <d v="2026-08-04T00:00:00"/>
    <s v="2026-08-04"/>
    <s v="Rose English"/>
    <x v="0"/>
    <s v="rose.english118@icloud.com"/>
    <s v="Phone Case - Clear"/>
    <s v="Electronics"/>
    <s v="ELC-CSE-CLR"/>
    <n v="1"/>
    <n v="8.99"/>
    <m/>
    <n v="0"/>
    <n v="5.99"/>
    <n v="14.98"/>
    <s v="PayPal"/>
    <x v="2"/>
    <s v="pending"/>
    <s v="Germany"/>
    <m/>
    <s v="Not Required"/>
    <s v="Port Janetville"/>
  </r>
  <r>
    <s v="#2974"/>
    <d v="2026-04-08T00:00:00"/>
    <s v="08/04/2026"/>
    <s v="Dawn Randolph"/>
    <x v="0"/>
    <s v="dawn.randolph179@icloud.com"/>
    <s v="Polarized Sunglasses"/>
    <s v="Accessories"/>
    <s v="ACC-SUN-01"/>
    <n v="2"/>
    <n v="16.989999999999998"/>
    <s v="SAVE20"/>
    <n v="6.8"/>
    <n v="5.99"/>
    <n v="33.17"/>
    <s v="Credit Card"/>
    <x v="3"/>
    <s v="fulfilled"/>
    <s v="Pakistan"/>
    <m/>
    <s v="Not Required"/>
    <s v="Meganhaven"/>
  </r>
  <r>
    <s v="#2975"/>
    <d v="2026-08-04T14:06:14"/>
    <d v="2026-08-04T14:06:14"/>
    <s v="Timothy Hodges"/>
    <x v="0"/>
    <s v="timothy.hodges687@icloud.com"/>
    <s v="Polarized Sunglasses"/>
    <s v="Accessories"/>
    <s v="ACC-SUN-01"/>
    <n v="1"/>
    <n v="16.989999999999998"/>
    <s v="FREESHIP"/>
    <n v="0"/>
    <n v="0"/>
    <n v="16.989999999999998"/>
    <s v="PayPal"/>
    <x v="3"/>
    <s v="fulfilled"/>
    <s v="Australia"/>
    <m/>
    <s v="Not Required"/>
    <s v="Neilburgh"/>
  </r>
  <r>
    <s v="#2976"/>
    <d v="2026-08-04T13:59:04"/>
    <d v="2026-08-04T13:59:04"/>
    <s v="Robert Boyd"/>
    <x v="0"/>
    <s v="robert.boyd184@yahoo.com"/>
    <s v="Slim Fit Denim Jeans"/>
    <s v="Apparel"/>
    <s v="JNS-BLU-32"/>
    <n v="1"/>
    <n v="39.99"/>
    <s v="BFCM25"/>
    <n v="10"/>
    <n v="4.99"/>
    <n v="34.979999999999997"/>
    <s v="Credit Card"/>
    <x v="3"/>
    <s v="refunded"/>
    <s v="Canada"/>
    <m/>
    <s v="Not Required"/>
    <s v="Abigailtown"/>
  </r>
  <r>
    <s v="#2977"/>
    <d v="2026-08-04T14:04:19"/>
    <d v="2026-08-04T14:04:19"/>
    <s v="William Houston"/>
    <x v="0"/>
    <s v="william.houston340@outlook.com"/>
    <s v="Resistance Bands Set"/>
    <s v="Sports &amp; Outdoors"/>
    <s v="SP-RBS-SET"/>
    <n v="1"/>
    <n v="13.99"/>
    <s v="SAVE20"/>
    <n v="2.8"/>
    <n v="7.99"/>
    <n v="19.18"/>
    <s v="Apple Pay"/>
    <x v="0"/>
    <s v="fulfilled"/>
    <s v="United States"/>
    <s v="North Carolina"/>
    <s v="Valid"/>
    <s v="West Brian"/>
  </r>
  <r>
    <s v="#2978"/>
    <d v="2026-08-04T14:00:22"/>
    <d v="2026-08-04T14:00:22"/>
    <s v="Sara Hernandez"/>
    <x v="0"/>
    <s v="sara.hernandez651@icloud.com"/>
    <s v="Scented Soy Candle - Vanilla"/>
    <s v="Home &amp; Kitchen"/>
    <s v="HK-CND-VAN"/>
    <n v="1"/>
    <n v="9.99"/>
    <m/>
    <n v="0"/>
    <n v="7.99"/>
    <s v="$17.98"/>
    <s v="PayPal"/>
    <x v="2"/>
    <s v="fulfilled"/>
    <s v="United States"/>
    <s v="Georgia"/>
    <s v="Valid"/>
    <s v="Dennisshire"/>
  </r>
  <r>
    <s v="#2979"/>
    <d v="2026-04-08T00:00:00"/>
    <s v="08/04/2026"/>
    <s v="Monica Hicks"/>
    <x v="0"/>
    <s v="monica.hicks473@yahoo.com"/>
    <s v="Phone Case - Clear"/>
    <s v="Electronics"/>
    <s v="ELC-CSE-CLR"/>
    <n v="4"/>
    <n v="8.99"/>
    <m/>
    <n v="0"/>
    <n v="7.99"/>
    <n v="43.95"/>
    <s v="Shopify Payments"/>
    <x v="0"/>
    <s v="fulfilled"/>
    <s v="United States"/>
    <s v="North Carolina"/>
    <s v="Valid"/>
    <s v="Joycebury"/>
  </r>
  <r>
    <s v="#2980"/>
    <d v="2026-04-08T00:00:00"/>
    <s v="08/04/2026"/>
    <s v="Darin Alvarez"/>
    <x v="0"/>
    <s v="darin.alvarez843@gmail.com"/>
    <s v="Hooded Sweatshirt"/>
    <s v="Apparel"/>
    <s v="APR-HOD-GRY"/>
    <n v="1"/>
    <n v="34.99"/>
    <s v="SAVE20"/>
    <n v="7"/>
    <n v="4.99"/>
    <n v="32.979999999999997"/>
    <s v="PayPal"/>
    <x v="0"/>
    <s v="fulfilled"/>
    <s v="Canada"/>
    <m/>
    <s v="Not Required"/>
    <s v="Taylorville"/>
  </r>
  <r>
    <s v="#2981"/>
    <d v="2026-08-04T00:00:00"/>
    <s v="04-08-2026 13:55"/>
    <s v="Chad Smith"/>
    <x v="0"/>
    <s v="chad.smith773@icloud.com"/>
    <s v="Hooded Sweatshirt"/>
    <s v="Apparel"/>
    <s v="APR-HOD-GRY"/>
    <n v="1"/>
    <n v="34.99"/>
    <s v="VIP15"/>
    <n v="5.25"/>
    <n v="7.99"/>
    <n v="37.729999999999997"/>
    <s v="PayPal"/>
    <x v="1"/>
    <s v="fulfilled"/>
    <s v="Pakistan"/>
    <m/>
    <s v="Not Required"/>
    <s v="Andreamouth"/>
  </r>
  <r>
    <s v="#2982"/>
    <d v="2026-08-04T13:58:04"/>
    <d v="2026-08-04T13:58:04"/>
    <s v="Bradley Farmer"/>
    <x v="0"/>
    <s v="bradley.farmer290@icloud.com"/>
    <s v="Leather Wallet - Brown"/>
    <s v="Accessories"/>
    <s v="ACC-WLT-BRN"/>
    <n v="1"/>
    <n v="19.989999999999998"/>
    <s v="VIP15"/>
    <s v="$3.00"/>
    <n v="7.99"/>
    <n v="24.98"/>
    <s v="Credit Card"/>
    <x v="2"/>
    <s v="fulfilled"/>
    <s v="United Kingdom"/>
    <m/>
    <s v="Not Required"/>
    <s v="Port Darryl"/>
  </r>
  <r>
    <s v="#2983"/>
    <d v="2026-08-04T14:07:27"/>
    <d v="2026-08-04T14:07:27"/>
    <s v="Sarah Webb"/>
    <x v="0"/>
    <s v="sarah.webb997@outlook.com"/>
    <s v="Running Shoes - Men's"/>
    <s v="Footwear"/>
    <s v="FTW-RUN-M"/>
    <n v="1"/>
    <n v="54.99"/>
    <s v="WELCOME10"/>
    <s v="$5.50"/>
    <n v="7.99"/>
    <n v="57.48"/>
    <s v="Apple Pay"/>
    <x v="1"/>
    <s v="pending"/>
    <s v="Germany"/>
    <m/>
    <s v="Not Required"/>
    <s v="Smithside"/>
  </r>
  <r>
    <s v="#2984"/>
    <d v="2026-08-04T00:00:00"/>
    <s v="04-08-2026 13:56"/>
    <s v="Robert Ramsey"/>
    <x v="0"/>
    <s v="robert.ramsey440@outlook.com"/>
    <s v="Hooded Sweatshirt"/>
    <s v="Apparel"/>
    <s v="APR-HOD-GRY"/>
    <n v="1"/>
    <n v="34.99"/>
    <s v="WELCOME10"/>
    <s v="$3.50"/>
    <n v="4.99"/>
    <n v="36.479999999999997"/>
    <s v="Apple Pay"/>
    <x v="0"/>
    <s v="cancelled"/>
    <s v="Canada"/>
    <m/>
    <s v="Not Required"/>
    <s v="Garrettland"/>
  </r>
  <r>
    <s v="#2985"/>
    <d v="2026-08-04T13:59:10"/>
    <d v="2026-08-04T13:59:10"/>
    <s v="Jose Ingram"/>
    <x v="1"/>
    <m/>
    <s v="Yoga Mat - Extra Thick"/>
    <s v="Sports &amp; Outdoors"/>
    <s v="SP-YGM-EX"/>
    <n v="2"/>
    <n v="22.99"/>
    <m/>
    <n v="0"/>
    <n v="7.99"/>
    <n v="53.97"/>
    <s v="Shopify Payments"/>
    <x v="0"/>
    <s v="fulfilled"/>
    <s v="United States"/>
    <s v="Georgia"/>
    <s v="Valid"/>
    <s v="North Kevin"/>
  </r>
  <r>
    <s v="#2986"/>
    <d v="2026-08-04T00:00:00"/>
    <s v="2026-08-04"/>
    <s v="melissa smith"/>
    <x v="1"/>
    <m/>
    <s v="Non-Stick Frying Pan 10in"/>
    <s v="Home &amp; Kitchen"/>
    <s v="HK-PAN-10"/>
    <n v="2"/>
    <n v="24.99"/>
    <s v="WELCOME10"/>
    <n v="5"/>
    <n v="5.99"/>
    <n v="50.97"/>
    <s v="Credit Card"/>
    <x v="0"/>
    <s v="cancelled"/>
    <s v="Pakistan"/>
    <m/>
    <s v="Not Required"/>
    <s v="Jacobmouth"/>
  </r>
  <r>
    <s v="#2987"/>
    <d v="2026-08-04T14:01:55"/>
    <d v="2026-08-04T14:01:55"/>
    <s v="Melissa Jones"/>
    <x v="0"/>
    <s v="melissa.jones297@yahoo.com"/>
    <s v="Yoga Mat - Extra Thick"/>
    <s v="Sports &amp; Outdoors"/>
    <s v="SP-YGM-EX"/>
    <n v="1"/>
    <n v="22.99"/>
    <m/>
    <n v="0"/>
    <n v="5.99"/>
    <n v="28.98"/>
    <s v="Google Pay"/>
    <x v="0"/>
    <s v="pending"/>
    <s v="United States"/>
    <s v="Ohio"/>
    <s v="Valid"/>
    <s v="Martinezview"/>
  </r>
  <r>
    <s v="#2988"/>
    <d v="2026-08-04T14:01:29"/>
    <d v="2026-08-04T14:01:29"/>
    <s v="Bryan Barnes"/>
    <x v="0"/>
    <s v="bryan.barnes666@yahoo.com"/>
    <s v="Scented Soy Candle - Vanilla"/>
    <s v="Home &amp; Kitchen"/>
    <s v="HK-CND-VAN"/>
    <n v="1"/>
    <n v="9.99"/>
    <s v="SAVE20"/>
    <n v="2"/>
    <n v="5.99"/>
    <n v="13.98"/>
    <s v="Apple Pay"/>
    <x v="2"/>
    <s v="fulfilled"/>
    <s v="United States"/>
    <s v="Illinois"/>
    <s v="Valid"/>
    <s v="North Lindaberg"/>
  </r>
  <r>
    <s v="#2989"/>
    <d v="2026-08-04T14:03:16"/>
    <d v="2026-08-04T14:03:16"/>
    <s v="Jennifer Burke"/>
    <x v="0"/>
    <s v="jennifer.burke472@icloud.com"/>
    <s v="Non-Stick Frying Pan 10in"/>
    <s v="Home &amp; Kitchen"/>
    <s v="HK-PAN-10"/>
    <n v="1"/>
    <n v="24.99"/>
    <s v="SAVE20"/>
    <n v="5"/>
    <n v="7.99"/>
    <n v="27.98"/>
    <s v="Apple Pay"/>
    <x v="0"/>
    <s v="cancelled"/>
    <s v="Pakistan"/>
    <m/>
    <s v="Not Required"/>
    <s v="Ramoshaven"/>
  </r>
  <r>
    <s v="#2990"/>
    <d v="2026-08-04T00:00:00"/>
    <s v="04-08-2026 14:01"/>
    <s v="Mary Meza"/>
    <x v="0"/>
    <s v="mary.meza759@gmail.com"/>
    <s v="Yoga Mat - Extra Thick"/>
    <s v="Sports &amp; Outdoors"/>
    <s v="SP-YGM-EX"/>
    <n v="1"/>
    <n v="22.99"/>
    <m/>
    <n v="0"/>
    <n v="4.99"/>
    <n v="27.98"/>
    <s v="Apple Pay"/>
    <x v="0"/>
    <s v="pending"/>
    <s v="Canada"/>
    <m/>
    <s v="Not Required"/>
    <s v="Port Michaelborough"/>
  </r>
  <r>
    <s v="#2991"/>
    <d v="2026-08-04T14:02:24"/>
    <d v="2026-08-04T14:02:24"/>
    <s v="Amanda Harris"/>
    <x v="0"/>
    <s v="amanda.harris197@gmail.com"/>
    <s v="Running Shoes - Women's"/>
    <s v="Footwear"/>
    <s v="FTW-RUN-W"/>
    <n v="2"/>
    <n v="54.99"/>
    <s v="VIP15"/>
    <n v="16.5"/>
    <n v="0"/>
    <n v="93.48"/>
    <s v="Apple Pay"/>
    <x v="0"/>
    <s v="fulfilled"/>
    <s v="United States"/>
    <s v="Texas"/>
    <s v="Valid"/>
    <s v="East Adamville"/>
  </r>
  <r>
    <s v="#2992"/>
    <d v="2026-08-04T14:06:13"/>
    <d v="2026-08-04T14:06:13"/>
    <s v="Michelle Bell"/>
    <x v="0"/>
    <s v="michelle.bell28@yahoo.com"/>
    <s v="Slim Fit Denim Jeans"/>
    <s v="Apparel"/>
    <s v="JNS-BLU-32"/>
    <n v="3"/>
    <n v="39.99"/>
    <s v="SAVE20"/>
    <n v="23.99"/>
    <n v="0"/>
    <n v="95.98"/>
    <s v="Credit Card"/>
    <x v="2"/>
    <s v="fulfilled"/>
    <s v="United States"/>
    <s v="California"/>
    <s v="Valid"/>
    <s v="Robinsonberg"/>
  </r>
  <r>
    <s v="#2993"/>
    <d v="2026-08-04T13:58:10"/>
    <d v="2026-08-04T13:58:10"/>
    <s v="Rebecca Watts"/>
    <x v="0"/>
    <s v="rebecca.watts779@gmail.com"/>
    <s v="Portable Power Bank 10000mAh"/>
    <s v="Electronics"/>
    <s v="ELC-PWB-10K"/>
    <n v="1"/>
    <n v="21.99"/>
    <m/>
    <n v="0"/>
    <n v="4.99"/>
    <n v="26.98"/>
    <s v="Apple Pay"/>
    <x v="0"/>
    <s v="pending"/>
    <s v="United States"/>
    <s v="FL"/>
    <s v="Valid"/>
    <s v="Smithmouth"/>
  </r>
  <r>
    <s v="#2994"/>
    <d v="2026-08-04T13:58:11"/>
    <d v="2026-08-04T13:58:11"/>
    <s v="Timothy Curry"/>
    <x v="0"/>
    <s v="timothy.curry5@gmail.com"/>
    <s v="Running Shoes - Women's"/>
    <s v="Footwear"/>
    <s v="FTW-RUN-W"/>
    <n v="1"/>
    <n v="54.99"/>
    <s v="FREESHIP"/>
    <n v="0"/>
    <n v="0"/>
    <n v="54.99"/>
    <s v="PayPal"/>
    <x v="0"/>
    <s v="fulfilled"/>
    <s v="United States"/>
    <s v="New York"/>
    <s v="Valid"/>
    <s v="Boydhaven"/>
  </r>
  <r>
    <s v="#2995"/>
    <d v="2026-08-04T13:57:41"/>
    <d v="2026-08-04T13:57:41"/>
    <s v="Jane Gregory"/>
    <x v="0"/>
    <s v="jane.gregory935@icloud.com"/>
    <s v="Vitamin C Serum 30ml"/>
    <s v="Beauty"/>
    <s v="BTY-SRM-30"/>
    <n v="1"/>
    <n v="24.99"/>
    <m/>
    <n v="0"/>
    <n v="5.99"/>
    <n v="30.98"/>
    <s v="Google Pay"/>
    <x v="2"/>
    <s v="fulfilled"/>
    <s v="Germany"/>
    <m/>
    <s v="Not Required"/>
    <s v="Delgadofurt"/>
  </r>
  <r>
    <s v="#2996"/>
    <d v="2026-08-04T14:01:20"/>
    <d v="2026-08-04T14:01:20"/>
    <s v="Jack Bryant"/>
    <x v="0"/>
    <s v="jack.bryant173@gmail.com"/>
    <s v="Leather Wallet - Brown"/>
    <s v="Accessories"/>
    <s v="ACC-WLT-BRN"/>
    <n v="1"/>
    <n v="19.989999999999998"/>
    <s v="BFCM25"/>
    <n v="5"/>
    <n v="7.99"/>
    <s v="$22.98"/>
    <s v="Google Pay"/>
    <x v="0"/>
    <s v="fulfilled"/>
    <s v="Germany"/>
    <m/>
    <s v="Not Required"/>
    <s v="New Denise"/>
  </r>
  <r>
    <s v="#2997"/>
    <d v="2026-08-04T13:53:57"/>
    <d v="2026-08-04T13:53:57"/>
    <s v="Teresa Campbell"/>
    <x v="0"/>
    <s v="teresa.campbell610@icloud.com"/>
    <s v="Running Shoes - Men's"/>
    <s v="Footwear"/>
    <s v="FTW-RUN-M"/>
    <n v="2"/>
    <n v="54.99"/>
    <s v="WELCOME10"/>
    <n v="11"/>
    <n v="0"/>
    <n v="98.98"/>
    <s v="Google Pay"/>
    <x v="0"/>
    <s v="fulfilled"/>
    <s v="United Kingdom"/>
    <m/>
    <s v="Not Required"/>
    <s v="Moorefurt"/>
  </r>
  <r>
    <s v="#2998"/>
    <d v="2026-08-04T14:02:19"/>
    <d v="2026-08-04T14:02:19"/>
    <s v="stephanie mcdonald"/>
    <x v="0"/>
    <s v="stephanie.mcdonald873@icloud.com"/>
    <s v="USB-C Fast Charger 20W"/>
    <s v="Electronics"/>
    <s v="ELC-CHG-20"/>
    <n v="1"/>
    <s v="$15.49"/>
    <s v="WELCOME10"/>
    <n v="1.55"/>
    <n v="4.99"/>
    <n v="18.93"/>
    <s v="Credit Card"/>
    <x v="3"/>
    <s v="fulfilled"/>
    <s v="Australia"/>
    <m/>
    <s v="Not Required"/>
    <s v="Estradafort"/>
  </r>
  <r>
    <s v="#2999"/>
    <d v="2026-04-08T00:00:00"/>
    <s v="08/04/2026"/>
    <s v="Christian Leonard"/>
    <x v="1"/>
    <m/>
    <s v="Ceramic Coffee Mug Set (4pc)"/>
    <s v="Home &amp; Kitchen"/>
    <s v="HK-MUG-4PK"/>
    <n v="1"/>
    <n v="18.989999999999998"/>
    <m/>
    <n v="0"/>
    <n v="7.99"/>
    <n v="26.98"/>
    <s v="Shopify Payments"/>
    <x v="2"/>
    <s v="refunded"/>
    <s v="United States"/>
    <s v="Ohio"/>
    <s v="Valid"/>
    <s v="Christianport"/>
  </r>
  <r>
    <s v="#3000"/>
    <d v="2026-08-04T14:02:45"/>
    <d v="2026-08-04T14:02:45"/>
    <s v="Stacey Johnson"/>
    <x v="0"/>
    <s v="stacey.johnson95@gmail.com"/>
    <s v="Kids Building Blocks Set"/>
    <s v="Toys"/>
    <s v="TOY-BLK-SET"/>
    <n v="1"/>
    <n v="27.99"/>
    <s v="VIP15"/>
    <s v="$4.20"/>
    <n v="7.99"/>
    <s v="$31.78"/>
    <s v="PayPal"/>
    <x v="0"/>
    <s v="fulfilled"/>
    <s v="Germany"/>
    <m/>
    <s v="Not Required"/>
    <s v="Port Am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DCD0D-877C-4D45-B676-8303CEBB84A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8:J14" firstHeaderRow="1" firstDataRow="2" firstDataCol="1"/>
  <pivotFields count="22">
    <pivotField dataField="1" showAll="0"/>
    <pivotField numFmtId="165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6"/>
  </rowFields>
  <rowItems count="5">
    <i>
      <x v="2"/>
    </i>
    <i>
      <x/>
    </i>
    <i>
      <x v="3"/>
    </i>
    <i>
      <x v="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Ord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0D5C45-DA2B-4659-8F66-10CE5D51E2C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4"/>
        <item x="1"/>
        <item x="3"/>
        <item x="0"/>
        <item x="5"/>
        <item x="2"/>
        <item m="1" x="6"/>
        <item t="default"/>
      </items>
    </pivotField>
    <pivotField showAll="0"/>
    <pivotField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2" baseField="16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9999-916E-492B-814B-69229572859A}">
  <dimension ref="A1:F21"/>
  <sheetViews>
    <sheetView workbookViewId="0">
      <selection activeCell="B23" sqref="B23"/>
    </sheetView>
  </sheetViews>
  <sheetFormatPr defaultRowHeight="14.4" x14ac:dyDescent="0.3"/>
  <cols>
    <col min="1" max="1" width="16" customWidth="1"/>
    <col min="2" max="2" width="11" customWidth="1"/>
    <col min="3" max="3" width="13.88671875" customWidth="1"/>
    <col min="5" max="5" width="22.33203125" customWidth="1"/>
  </cols>
  <sheetData>
    <row r="1" spans="1:6" x14ac:dyDescent="0.3">
      <c r="A1" s="22" t="s">
        <v>5238</v>
      </c>
      <c r="B1" s="22"/>
      <c r="C1" s="22"/>
      <c r="D1" s="22"/>
      <c r="E1" s="22"/>
      <c r="F1" s="22"/>
    </row>
    <row r="2" spans="1:6" x14ac:dyDescent="0.3">
      <c r="A2" s="22"/>
      <c r="B2" s="22"/>
      <c r="C2" s="22"/>
      <c r="D2" s="22"/>
      <c r="E2" s="22"/>
      <c r="F2" s="22"/>
    </row>
    <row r="3" spans="1:6" x14ac:dyDescent="0.3">
      <c r="A3" t="s">
        <v>5227</v>
      </c>
      <c r="B3">
        <f>COUNTA(Orders!A2:A251)</f>
        <v>250</v>
      </c>
      <c r="C3" t="s">
        <v>5230</v>
      </c>
      <c r="D3">
        <v>70</v>
      </c>
      <c r="E3" t="s">
        <v>5233</v>
      </c>
      <c r="F3">
        <v>5</v>
      </c>
    </row>
    <row r="4" spans="1:6" x14ac:dyDescent="0.3">
      <c r="A4" s="19" t="s">
        <v>5228</v>
      </c>
      <c r="B4" s="20"/>
      <c r="C4" s="21" t="s">
        <v>5231</v>
      </c>
      <c r="D4" s="20"/>
      <c r="E4" t="s">
        <v>5234</v>
      </c>
      <c r="F4">
        <v>12</v>
      </c>
    </row>
    <row r="5" spans="1:6" x14ac:dyDescent="0.3">
      <c r="A5" s="3" t="s">
        <v>2</v>
      </c>
      <c r="B5" s="4">
        <f>COUNTBLANK(Orders!D2:D2036)</f>
        <v>15</v>
      </c>
      <c r="C5" t="s">
        <v>30</v>
      </c>
      <c r="D5" s="4">
        <v>4</v>
      </c>
      <c r="E5" t="s">
        <v>5235</v>
      </c>
      <c r="F5" t="s">
        <v>5237</v>
      </c>
    </row>
    <row r="6" spans="1:6" x14ac:dyDescent="0.3">
      <c r="A6" s="3" t="s">
        <v>3</v>
      </c>
      <c r="B6" s="4">
        <f>COUNTBLANK(Orders!F2:F2036)</f>
        <v>121</v>
      </c>
      <c r="C6" t="s">
        <v>5232</v>
      </c>
      <c r="D6" s="4">
        <v>4</v>
      </c>
      <c r="E6" t="s">
        <v>5236</v>
      </c>
      <c r="F6" t="s">
        <v>5237</v>
      </c>
    </row>
    <row r="7" spans="1:6" x14ac:dyDescent="0.3">
      <c r="A7" s="3" t="s">
        <v>4</v>
      </c>
      <c r="B7" s="4">
        <f>COUNTBLANK(Orders!G2:G2036)</f>
        <v>0</v>
      </c>
      <c r="C7" t="s">
        <v>228</v>
      </c>
      <c r="D7" s="4">
        <v>2</v>
      </c>
    </row>
    <row r="8" spans="1:6" x14ac:dyDescent="0.3">
      <c r="A8" s="3" t="s">
        <v>5</v>
      </c>
      <c r="B8" s="4">
        <f>COUNTBLANK(Orders!H2:H2036)</f>
        <v>0</v>
      </c>
      <c r="C8" t="s">
        <v>108</v>
      </c>
      <c r="D8" s="4">
        <v>2</v>
      </c>
    </row>
    <row r="9" spans="1:6" x14ac:dyDescent="0.3">
      <c r="A9" s="3" t="s">
        <v>6</v>
      </c>
      <c r="B9" s="4">
        <f>COUNTBLANK(Orders!I2:I2036)</f>
        <v>0</v>
      </c>
      <c r="C9" t="s">
        <v>75</v>
      </c>
      <c r="D9" s="4">
        <v>2</v>
      </c>
    </row>
    <row r="10" spans="1:6" x14ac:dyDescent="0.3">
      <c r="A10" s="3" t="s">
        <v>7</v>
      </c>
      <c r="B10" s="4">
        <f>COUNTBLANK(Orders!J2:J2036)</f>
        <v>0</v>
      </c>
      <c r="C10" s="7" t="s">
        <v>43</v>
      </c>
      <c r="D10" s="6">
        <v>2</v>
      </c>
    </row>
    <row r="11" spans="1:6" x14ac:dyDescent="0.3">
      <c r="A11" s="3" t="s">
        <v>8</v>
      </c>
      <c r="B11" s="4">
        <f>COUNTBLANK(Orders!K2:K2036)</f>
        <v>0</v>
      </c>
    </row>
    <row r="12" spans="1:6" x14ac:dyDescent="0.3">
      <c r="A12" s="3" t="s">
        <v>9</v>
      </c>
      <c r="B12" s="4">
        <f>COUNTBLANK(Orders!L2:L2036)</f>
        <v>910</v>
      </c>
    </row>
    <row r="13" spans="1:6" x14ac:dyDescent="0.3">
      <c r="A13" s="3" t="s">
        <v>10</v>
      </c>
      <c r="B13" s="4">
        <f>COUNTBLANK(Orders!M2:M2036)</f>
        <v>0</v>
      </c>
    </row>
    <row r="14" spans="1:6" x14ac:dyDescent="0.3">
      <c r="A14" s="3" t="s">
        <v>11</v>
      </c>
      <c r="B14" s="4">
        <f>COUNTBLANK(Orders!N2:N2036)</f>
        <v>0</v>
      </c>
    </row>
    <row r="15" spans="1:6" x14ac:dyDescent="0.3">
      <c r="A15" s="3" t="s">
        <v>12</v>
      </c>
      <c r="B15" s="4">
        <f>COUNTBLANK(Orders!O2:O2036)</f>
        <v>0</v>
      </c>
    </row>
    <row r="16" spans="1:6" x14ac:dyDescent="0.3">
      <c r="A16" s="3" t="s">
        <v>13</v>
      </c>
      <c r="B16" s="4">
        <f>COUNTBLANK(Orders!P2:P2036)</f>
        <v>0</v>
      </c>
    </row>
    <row r="17" spans="1:2" x14ac:dyDescent="0.3">
      <c r="A17" s="3" t="s">
        <v>14</v>
      </c>
      <c r="B17" s="4">
        <f>COUNTBLANK(Orders!Q2:Q2036)</f>
        <v>0</v>
      </c>
    </row>
    <row r="18" spans="1:2" x14ac:dyDescent="0.3">
      <c r="A18" s="3" t="s">
        <v>5229</v>
      </c>
      <c r="B18" s="4">
        <f>COUNTBLANK(Orders!R2:R2036)</f>
        <v>0</v>
      </c>
    </row>
    <row r="19" spans="1:2" x14ac:dyDescent="0.3">
      <c r="A19" s="3" t="s">
        <v>16</v>
      </c>
      <c r="B19" s="4" t="e">
        <f>COUNTBLANK(Orders!#REF!)</f>
        <v>#REF!</v>
      </c>
    </row>
    <row r="20" spans="1:2" x14ac:dyDescent="0.3">
      <c r="A20" s="3" t="s">
        <v>17</v>
      </c>
      <c r="B20" s="4">
        <f>COUNTBLANK(Orders!T2:T2036)</f>
        <v>1054</v>
      </c>
    </row>
    <row r="21" spans="1:2" x14ac:dyDescent="0.3">
      <c r="A21" s="5" t="s">
        <v>18</v>
      </c>
      <c r="B21" s="6">
        <f>COUNTBLANK(Orders!V2:V2036)</f>
        <v>0</v>
      </c>
    </row>
  </sheetData>
  <mergeCells count="3">
    <mergeCell ref="A4:B4"/>
    <mergeCell ref="C4:D4"/>
    <mergeCell ref="A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6F5A-35EE-43C2-A02E-6335054FC837}">
  <dimension ref="A2:J14"/>
  <sheetViews>
    <sheetView topLeftCell="B1" workbookViewId="0">
      <selection activeCell="F20" sqref="F20"/>
    </sheetView>
  </sheetViews>
  <sheetFormatPr defaultRowHeight="14.4" x14ac:dyDescent="0.3"/>
  <cols>
    <col min="1" max="1" width="14" bestFit="1" customWidth="1"/>
    <col min="2" max="2" width="12.33203125" bestFit="1" customWidth="1"/>
    <col min="3" max="3" width="8.33203125" customWidth="1"/>
    <col min="4" max="4" width="11.5546875" customWidth="1"/>
    <col min="5" max="5" width="15.109375" customWidth="1"/>
    <col min="7" max="7" width="15.88671875" bestFit="1" customWidth="1"/>
    <col min="8" max="8" width="17.33203125" customWidth="1"/>
    <col min="9" max="9" width="12.33203125" bestFit="1" customWidth="1"/>
    <col min="10" max="10" width="10.77734375" bestFit="1" customWidth="1"/>
  </cols>
  <sheetData>
    <row r="2" spans="1:10" ht="18" x14ac:dyDescent="0.35">
      <c r="A2" s="25" t="s">
        <v>5249</v>
      </c>
      <c r="B2" s="25"/>
      <c r="D2" s="23" t="s">
        <v>5248</v>
      </c>
      <c r="E2" s="24"/>
      <c r="G2" s="27" t="s">
        <v>5259</v>
      </c>
      <c r="H2" s="27"/>
    </row>
    <row r="3" spans="1:10" x14ac:dyDescent="0.3">
      <c r="A3" s="8" t="s">
        <v>5239</v>
      </c>
      <c r="B3" t="s">
        <v>5241</v>
      </c>
      <c r="D3" s="11" t="s">
        <v>5246</v>
      </c>
      <c r="E3" s="11" t="s">
        <v>5247</v>
      </c>
      <c r="G3" s="27"/>
      <c r="H3" s="27"/>
    </row>
    <row r="4" spans="1:10" x14ac:dyDescent="0.3">
      <c r="A4" s="9" t="s">
        <v>108</v>
      </c>
      <c r="B4" s="10">
        <v>1844.3700000000003</v>
      </c>
      <c r="D4" t="s">
        <v>5243</v>
      </c>
      <c r="E4">
        <f>COUNTIF(Orders!U:U,D4)</f>
        <v>981</v>
      </c>
      <c r="G4" s="18" t="s">
        <v>5227</v>
      </c>
      <c r="H4">
        <f>COUNTA(Orders!A2:A2036)</f>
        <v>2035</v>
      </c>
    </row>
    <row r="5" spans="1:10" x14ac:dyDescent="0.3">
      <c r="A5" s="9" t="s">
        <v>75</v>
      </c>
      <c r="B5" s="10">
        <v>1595.4900000000002</v>
      </c>
      <c r="D5" t="s">
        <v>5244</v>
      </c>
      <c r="E5">
        <f>COUNTIF(Orders!U:U,D5)</f>
        <v>0</v>
      </c>
      <c r="G5" t="s">
        <v>5253</v>
      </c>
      <c r="H5">
        <f>COUNTBLANK(Orders!F2:F2036)</f>
        <v>121</v>
      </c>
    </row>
    <row r="6" spans="1:10" x14ac:dyDescent="0.3">
      <c r="A6" s="9" t="s">
        <v>228</v>
      </c>
      <c r="B6" s="10">
        <v>1191.2800000000002</v>
      </c>
      <c r="D6" t="s">
        <v>5245</v>
      </c>
      <c r="E6">
        <f>COUNTIF(Orders!U:U,D6)</f>
        <v>1054</v>
      </c>
      <c r="G6" t="s">
        <v>5252</v>
      </c>
      <c r="H6" s="18">
        <f>COUNTBLANK(Orders!F2:F2036)/COUNTA(Orders!A2:A2036)</f>
        <v>5.9459459459459463E-2</v>
      </c>
    </row>
    <row r="7" spans="1:10" ht="15.6" x14ac:dyDescent="0.3">
      <c r="A7" s="9" t="s">
        <v>43</v>
      </c>
      <c r="B7" s="10">
        <v>1167.8300000000002</v>
      </c>
      <c r="G7" s="28" t="s">
        <v>5260</v>
      </c>
      <c r="H7" s="28"/>
      <c r="I7" s="28"/>
    </row>
    <row r="8" spans="1:10" x14ac:dyDescent="0.3">
      <c r="A8" s="9" t="s">
        <v>337</v>
      </c>
      <c r="B8" s="10">
        <v>1311.68</v>
      </c>
      <c r="G8" s="8" t="s">
        <v>5258</v>
      </c>
      <c r="H8" s="8" t="s">
        <v>5257</v>
      </c>
    </row>
    <row r="9" spans="1:10" x14ac:dyDescent="0.3">
      <c r="A9" s="9" t="s">
        <v>30</v>
      </c>
      <c r="B9" s="10">
        <v>6345.7599999999857</v>
      </c>
      <c r="G9" s="8" t="s">
        <v>5239</v>
      </c>
      <c r="H9" t="s">
        <v>5255</v>
      </c>
      <c r="I9" t="s">
        <v>5256</v>
      </c>
      <c r="J9" t="s">
        <v>5240</v>
      </c>
    </row>
    <row r="10" spans="1:10" x14ac:dyDescent="0.3">
      <c r="A10" s="9" t="s">
        <v>5240</v>
      </c>
      <c r="B10" s="10">
        <v>13456.409999999987</v>
      </c>
      <c r="G10" s="9" t="s">
        <v>28</v>
      </c>
      <c r="H10" s="26">
        <v>928</v>
      </c>
      <c r="I10" s="26">
        <v>65</v>
      </c>
      <c r="J10" s="26">
        <v>993</v>
      </c>
    </row>
    <row r="11" spans="1:10" x14ac:dyDescent="0.3">
      <c r="G11" s="9" t="s">
        <v>41</v>
      </c>
      <c r="H11" s="26">
        <v>332</v>
      </c>
      <c r="I11" s="26">
        <v>24</v>
      </c>
      <c r="J11" s="26">
        <v>356</v>
      </c>
    </row>
    <row r="12" spans="1:10" x14ac:dyDescent="0.3">
      <c r="G12" s="9" t="s">
        <v>114</v>
      </c>
      <c r="H12" s="26">
        <v>309</v>
      </c>
      <c r="I12" s="26">
        <v>20</v>
      </c>
      <c r="J12" s="26">
        <v>329</v>
      </c>
    </row>
    <row r="13" spans="1:10" x14ac:dyDescent="0.3">
      <c r="G13" s="9" t="s">
        <v>90</v>
      </c>
      <c r="H13" s="26">
        <v>345</v>
      </c>
      <c r="I13" s="26">
        <v>12</v>
      </c>
      <c r="J13" s="26">
        <v>357</v>
      </c>
    </row>
    <row r="14" spans="1:10" x14ac:dyDescent="0.3">
      <c r="G14" s="9" t="s">
        <v>5240</v>
      </c>
      <c r="H14" s="26">
        <v>1914</v>
      </c>
      <c r="I14" s="26">
        <v>121</v>
      </c>
      <c r="J14" s="26">
        <v>2035</v>
      </c>
    </row>
  </sheetData>
  <mergeCells count="4">
    <mergeCell ref="D2:E2"/>
    <mergeCell ref="A2:B2"/>
    <mergeCell ref="G2:H3"/>
    <mergeCell ref="G7:I7"/>
  </mergeCells>
  <pageMargins left="0.7" right="0.7" top="0.75" bottom="0.75" header="0.3" footer="0.3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2044"/>
  <sheetViews>
    <sheetView tabSelected="1" workbookViewId="0">
      <pane ySplit="1" topLeftCell="A1922" activePane="bottomLeft" state="frozen"/>
      <selection pane="bottomLeft" activeCell="E2037" sqref="E2037:E2044"/>
    </sheetView>
  </sheetViews>
  <sheetFormatPr defaultRowHeight="14.4" x14ac:dyDescent="0.3"/>
  <cols>
    <col min="1" max="1" width="10" customWidth="1"/>
    <col min="2" max="2" width="21" customWidth="1"/>
    <col min="3" max="3" width="28" style="16" customWidth="1"/>
    <col min="4" max="5" width="24" customWidth="1"/>
    <col min="6" max="6" width="35" customWidth="1"/>
    <col min="7" max="7" width="32" customWidth="1"/>
    <col min="8" max="8" width="19" customWidth="1"/>
    <col min="9" max="9" width="13" customWidth="1"/>
    <col min="10" max="10" width="10" customWidth="1"/>
    <col min="11" max="11" width="12" customWidth="1"/>
    <col min="12" max="12" width="15" customWidth="1"/>
    <col min="13" max="13" width="17" customWidth="1"/>
    <col min="14" max="15" width="10" customWidth="1"/>
    <col min="16" max="16" width="18" customWidth="1"/>
    <col min="17" max="19" width="14" customWidth="1"/>
    <col min="20" max="21" width="16" customWidth="1"/>
    <col min="22" max="22" width="24" customWidth="1"/>
  </cols>
  <sheetData>
    <row r="1" spans="1:22" x14ac:dyDescent="0.3">
      <c r="A1" s="1" t="s">
        <v>0</v>
      </c>
      <c r="B1" s="17" t="s">
        <v>5251</v>
      </c>
      <c r="C1" s="14" t="s">
        <v>1</v>
      </c>
      <c r="D1" s="1" t="s">
        <v>2</v>
      </c>
      <c r="E1" s="1" t="s">
        <v>5254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5242</v>
      </c>
      <c r="V1" s="1" t="s">
        <v>18</v>
      </c>
    </row>
    <row r="2" spans="1:22" hidden="1" x14ac:dyDescent="0.3">
      <c r="A2" s="2" t="s">
        <v>275</v>
      </c>
      <c r="B2" s="12">
        <f>IF(ISNUMBER(C2),C2,DATEVALUE(SUBSTITUTE(TRIM(C2),CHAR(160)," ")))</f>
        <v>46238.580140949067</v>
      </c>
      <c r="C2" s="13">
        <v>46238.580140949067</v>
      </c>
      <c r="D2" s="2" t="s">
        <v>276</v>
      </c>
      <c r="E2" s="2" t="str">
        <f>IF(TRIM(F2)="","Missing Email","Email Available")</f>
        <v>Email Available</v>
      </c>
      <c r="F2" s="2" t="s">
        <v>277</v>
      </c>
      <c r="G2" s="2" t="s">
        <v>87</v>
      </c>
      <c r="H2" s="2" t="s">
        <v>88</v>
      </c>
      <c r="I2" s="2" t="s">
        <v>89</v>
      </c>
      <c r="J2" s="2">
        <v>-1</v>
      </c>
      <c r="K2" s="2">
        <v>54.99</v>
      </c>
      <c r="L2" s="2" t="s">
        <v>208</v>
      </c>
      <c r="M2" s="2">
        <v>8.25</v>
      </c>
      <c r="N2" s="2">
        <v>5.99</v>
      </c>
      <c r="O2" s="2">
        <v>52.73</v>
      </c>
      <c r="P2" s="2" t="s">
        <v>74</v>
      </c>
      <c r="Q2" s="2" t="s">
        <v>28</v>
      </c>
      <c r="R2" s="2" t="s">
        <v>52</v>
      </c>
      <c r="S2" s="2" t="s">
        <v>43</v>
      </c>
      <c r="T2" s="2"/>
      <c r="U2" s="2" t="str">
        <f>IF(AND(S2="United States",T2=""),"Missing state",IF(T2="","Not Required","Valid"))</f>
        <v>Not Required</v>
      </c>
      <c r="V2" s="2" t="s">
        <v>278</v>
      </c>
    </row>
    <row r="3" spans="1:22" hidden="1" x14ac:dyDescent="0.3">
      <c r="A3" s="2" t="s">
        <v>442</v>
      </c>
      <c r="B3" s="12">
        <f t="shared" ref="B3:B66" si="0">IF(ISNUMBER(C3),C3,DATEVALUE(SUBSTITUTE(TRIM(C3),CHAR(160)," ")))</f>
        <v>46238.579809074072</v>
      </c>
      <c r="C3" s="13">
        <v>46238.579809074072</v>
      </c>
      <c r="D3" s="2" t="s">
        <v>443</v>
      </c>
      <c r="E3" s="2" t="str">
        <f t="shared" ref="E3:E66" si="1">IF(TRIM(F3)="","Missing Email","Email Available")</f>
        <v>Email Available</v>
      </c>
      <c r="F3" s="2" t="s">
        <v>444</v>
      </c>
      <c r="G3" s="2" t="s">
        <v>368</v>
      </c>
      <c r="H3" s="2" t="s">
        <v>88</v>
      </c>
      <c r="I3" s="2" t="s">
        <v>369</v>
      </c>
      <c r="J3" s="2">
        <v>-1</v>
      </c>
      <c r="K3" s="2">
        <v>54.99</v>
      </c>
      <c r="L3" s="2" t="s">
        <v>25</v>
      </c>
      <c r="M3" s="2" t="s">
        <v>445</v>
      </c>
      <c r="N3" s="2">
        <v>5.99</v>
      </c>
      <c r="O3" s="2">
        <v>49.98</v>
      </c>
      <c r="P3" s="2" t="s">
        <v>68</v>
      </c>
      <c r="Q3" s="2" t="s">
        <v>28</v>
      </c>
      <c r="R3" s="2" t="s">
        <v>52</v>
      </c>
      <c r="S3" s="2" t="s">
        <v>43</v>
      </c>
      <c r="T3" s="2"/>
      <c r="U3" s="2" t="str">
        <f t="shared" ref="U3:U66" si="2">IF(AND(S3="United States",T3=""),"Missing state",IF(T3="","Not Required","Valid"))</f>
        <v>Not Required</v>
      </c>
      <c r="V3" s="2" t="s">
        <v>446</v>
      </c>
    </row>
    <row r="4" spans="1:22" hidden="1" x14ac:dyDescent="0.3">
      <c r="A4" s="2" t="s">
        <v>1387</v>
      </c>
      <c r="B4" s="12">
        <f t="shared" si="0"/>
        <v>46238.583217962972</v>
      </c>
      <c r="C4" s="13">
        <v>46238.583217962972</v>
      </c>
      <c r="D4" s="2" t="s">
        <v>1388</v>
      </c>
      <c r="E4" s="2" t="str">
        <f t="shared" si="1"/>
        <v>Email Available</v>
      </c>
      <c r="F4" s="2" t="s">
        <v>1389</v>
      </c>
      <c r="G4" s="2" t="s">
        <v>151</v>
      </c>
      <c r="H4" s="2" t="s">
        <v>49</v>
      </c>
      <c r="I4" s="2" t="s">
        <v>152</v>
      </c>
      <c r="J4" s="2">
        <v>-1</v>
      </c>
      <c r="K4" s="2">
        <v>34.99</v>
      </c>
      <c r="L4" s="2"/>
      <c r="M4" s="2">
        <v>0</v>
      </c>
      <c r="N4" s="2">
        <v>4.99</v>
      </c>
      <c r="O4" s="2">
        <v>39.979999999999997</v>
      </c>
      <c r="P4" s="2" t="s">
        <v>74</v>
      </c>
      <c r="Q4" s="2" t="s">
        <v>28</v>
      </c>
      <c r="R4" s="2" t="s">
        <v>99</v>
      </c>
      <c r="S4" s="2" t="s">
        <v>75</v>
      </c>
      <c r="T4" s="2"/>
      <c r="U4" s="2" t="str">
        <f t="shared" si="2"/>
        <v>Not Required</v>
      </c>
      <c r="V4" s="2" t="s">
        <v>1390</v>
      </c>
    </row>
    <row r="5" spans="1:22" hidden="1" x14ac:dyDescent="0.3">
      <c r="A5" s="2" t="s">
        <v>1660</v>
      </c>
      <c r="B5" s="12">
        <f t="shared" si="0"/>
        <v>46238.581160995367</v>
      </c>
      <c r="C5" s="13">
        <v>46238.581160995367</v>
      </c>
      <c r="D5" s="2" t="s">
        <v>1661</v>
      </c>
      <c r="E5" s="2" t="str">
        <f t="shared" si="1"/>
        <v>Email Available</v>
      </c>
      <c r="F5" s="2" t="s">
        <v>699</v>
      </c>
      <c r="G5" s="2" t="s">
        <v>112</v>
      </c>
      <c r="H5" s="2" t="s">
        <v>81</v>
      </c>
      <c r="I5" s="2" t="s">
        <v>113</v>
      </c>
      <c r="J5" s="2">
        <v>-2</v>
      </c>
      <c r="K5" s="2">
        <v>22.99</v>
      </c>
      <c r="L5" s="2"/>
      <c r="M5" s="2" t="s">
        <v>189</v>
      </c>
      <c r="N5" s="2">
        <v>7.99</v>
      </c>
      <c r="O5" s="2">
        <v>53.97</v>
      </c>
      <c r="P5" s="2" t="s">
        <v>68</v>
      </c>
      <c r="Q5" s="2" t="s">
        <v>28</v>
      </c>
      <c r="R5" s="2" t="s">
        <v>52</v>
      </c>
      <c r="S5" s="2" t="s">
        <v>30</v>
      </c>
      <c r="T5" s="2" t="s">
        <v>145</v>
      </c>
      <c r="U5" s="2" t="str">
        <f t="shared" si="2"/>
        <v>Valid</v>
      </c>
      <c r="V5" s="2" t="s">
        <v>1662</v>
      </c>
    </row>
    <row r="6" spans="1:22" hidden="1" x14ac:dyDescent="0.3">
      <c r="A6" s="2" t="s">
        <v>1683</v>
      </c>
      <c r="B6" s="12">
        <f t="shared" si="0"/>
        <v>46120</v>
      </c>
      <c r="C6" s="15" t="s">
        <v>5250</v>
      </c>
      <c r="D6" s="2" t="s">
        <v>1007</v>
      </c>
      <c r="E6" s="2" t="str">
        <f t="shared" si="1"/>
        <v>Email Available</v>
      </c>
      <c r="F6" s="2" t="s">
        <v>1008</v>
      </c>
      <c r="G6" s="2" t="s">
        <v>151</v>
      </c>
      <c r="H6" s="2" t="s">
        <v>49</v>
      </c>
      <c r="I6" s="2" t="s">
        <v>152</v>
      </c>
      <c r="J6" s="2">
        <v>-1</v>
      </c>
      <c r="K6" s="2">
        <v>34.99</v>
      </c>
      <c r="L6" s="2" t="s">
        <v>208</v>
      </c>
      <c r="M6" s="2">
        <v>5.25</v>
      </c>
      <c r="N6" s="2">
        <v>7.99</v>
      </c>
      <c r="O6" s="2">
        <v>37.729999999999997</v>
      </c>
      <c r="P6" s="2" t="s">
        <v>68</v>
      </c>
      <c r="Q6" s="2" t="s">
        <v>114</v>
      </c>
      <c r="R6" s="2" t="s">
        <v>99</v>
      </c>
      <c r="S6" s="2" t="s">
        <v>43</v>
      </c>
      <c r="T6" s="2"/>
      <c r="U6" s="2" t="str">
        <f t="shared" si="2"/>
        <v>Not Required</v>
      </c>
      <c r="V6" s="2" t="s">
        <v>1684</v>
      </c>
    </row>
    <row r="7" spans="1:22" hidden="1" x14ac:dyDescent="0.3">
      <c r="A7" s="2" t="s">
        <v>2117</v>
      </c>
      <c r="B7" s="12">
        <f t="shared" si="0"/>
        <v>46120</v>
      </c>
      <c r="C7" s="13">
        <v>46120</v>
      </c>
      <c r="D7" s="2" t="s">
        <v>2118</v>
      </c>
      <c r="E7" s="2" t="str">
        <f t="shared" si="1"/>
        <v>Email Available</v>
      </c>
      <c r="F7" s="2" t="s">
        <v>2119</v>
      </c>
      <c r="G7" s="2" t="s">
        <v>171</v>
      </c>
      <c r="H7" s="2" t="s">
        <v>106</v>
      </c>
      <c r="I7" s="2" t="s">
        <v>172</v>
      </c>
      <c r="J7" s="2">
        <v>-3</v>
      </c>
      <c r="K7" s="2">
        <v>32.99</v>
      </c>
      <c r="L7" s="2" t="s">
        <v>67</v>
      </c>
      <c r="M7" s="2">
        <v>9.9</v>
      </c>
      <c r="N7" s="2">
        <v>0</v>
      </c>
      <c r="O7" s="2">
        <v>89.07</v>
      </c>
      <c r="P7" s="2" t="s">
        <v>68</v>
      </c>
      <c r="Q7" s="2" t="s">
        <v>28</v>
      </c>
      <c r="R7" s="2" t="s">
        <v>52</v>
      </c>
      <c r="S7" s="2" t="s">
        <v>30</v>
      </c>
      <c r="T7" s="2" t="s">
        <v>347</v>
      </c>
      <c r="U7" s="2" t="str">
        <f t="shared" si="2"/>
        <v>Valid</v>
      </c>
      <c r="V7" s="2" t="s">
        <v>2120</v>
      </c>
    </row>
    <row r="8" spans="1:22" hidden="1" x14ac:dyDescent="0.3">
      <c r="A8" s="2" t="s">
        <v>2619</v>
      </c>
      <c r="B8" s="12">
        <f t="shared" si="0"/>
        <v>46238.585776423613</v>
      </c>
      <c r="C8" s="13">
        <v>46238.585776423613</v>
      </c>
      <c r="D8" s="2" t="s">
        <v>2013</v>
      </c>
      <c r="E8" s="2" t="str">
        <f t="shared" si="1"/>
        <v>Email Available</v>
      </c>
      <c r="F8" s="2" t="s">
        <v>2014</v>
      </c>
      <c r="G8" s="2" t="s">
        <v>187</v>
      </c>
      <c r="H8" s="2" t="s">
        <v>37</v>
      </c>
      <c r="I8" s="2" t="s">
        <v>188</v>
      </c>
      <c r="J8" s="2">
        <v>-2</v>
      </c>
      <c r="K8" s="2">
        <v>11.99</v>
      </c>
      <c r="L8" s="2"/>
      <c r="M8" s="2">
        <v>0</v>
      </c>
      <c r="N8" s="2">
        <v>4.99</v>
      </c>
      <c r="O8" s="2">
        <v>28.97</v>
      </c>
      <c r="P8" s="2" t="s">
        <v>51</v>
      </c>
      <c r="Q8" s="2" t="s">
        <v>41</v>
      </c>
      <c r="R8" s="2" t="s">
        <v>52</v>
      </c>
      <c r="S8" s="2" t="s">
        <v>228</v>
      </c>
      <c r="T8" s="2"/>
      <c r="U8" s="2" t="str">
        <f t="shared" si="2"/>
        <v>Not Required</v>
      </c>
      <c r="V8" s="2" t="s">
        <v>2620</v>
      </c>
    </row>
    <row r="9" spans="1:22" hidden="1" x14ac:dyDescent="0.3">
      <c r="A9" s="2" t="s">
        <v>3031</v>
      </c>
      <c r="B9" s="12">
        <f t="shared" si="0"/>
        <v>46238.588931527767</v>
      </c>
      <c r="C9" s="13">
        <v>46238.588931527767</v>
      </c>
      <c r="D9" s="2" t="s">
        <v>2904</v>
      </c>
      <c r="E9" s="2" t="str">
        <f t="shared" si="1"/>
        <v>Email Available</v>
      </c>
      <c r="F9" s="2" t="s">
        <v>2905</v>
      </c>
      <c r="G9" s="2" t="s">
        <v>65</v>
      </c>
      <c r="H9" s="2" t="s">
        <v>49</v>
      </c>
      <c r="I9" s="2" t="s">
        <v>453</v>
      </c>
      <c r="J9" s="2">
        <v>-2</v>
      </c>
      <c r="K9" s="2">
        <v>14.99</v>
      </c>
      <c r="L9" s="2"/>
      <c r="M9" s="2">
        <v>0</v>
      </c>
      <c r="N9" s="2">
        <v>4.99</v>
      </c>
      <c r="O9" s="2">
        <v>34.97</v>
      </c>
      <c r="P9" s="2" t="s">
        <v>40</v>
      </c>
      <c r="Q9" s="2" t="s">
        <v>28</v>
      </c>
      <c r="R9" s="2" t="s">
        <v>52</v>
      </c>
      <c r="S9" s="2" t="s">
        <v>30</v>
      </c>
      <c r="T9" s="2" t="s">
        <v>53</v>
      </c>
      <c r="U9" s="2" t="str">
        <f t="shared" si="2"/>
        <v>Valid</v>
      </c>
      <c r="V9" s="2" t="s">
        <v>3032</v>
      </c>
    </row>
    <row r="10" spans="1:22" hidden="1" x14ac:dyDescent="0.3">
      <c r="A10" s="2" t="s">
        <v>4112</v>
      </c>
      <c r="B10" s="12">
        <f t="shared" si="0"/>
        <v>46238.587032361109</v>
      </c>
      <c r="C10" s="13">
        <v>46238.587032361109</v>
      </c>
      <c r="D10" s="2" t="s">
        <v>540</v>
      </c>
      <c r="E10" s="2" t="str">
        <f t="shared" si="1"/>
        <v>Email Available</v>
      </c>
      <c r="F10" s="2" t="s">
        <v>541</v>
      </c>
      <c r="G10" s="2" t="s">
        <v>87</v>
      </c>
      <c r="H10" s="2" t="s">
        <v>88</v>
      </c>
      <c r="I10" s="2" t="s">
        <v>89</v>
      </c>
      <c r="J10" s="2">
        <v>-1</v>
      </c>
      <c r="K10" s="2" t="s">
        <v>370</v>
      </c>
      <c r="L10" s="2"/>
      <c r="M10" s="2">
        <v>0</v>
      </c>
      <c r="N10" s="2">
        <v>7.99</v>
      </c>
      <c r="O10" s="2">
        <v>62.98</v>
      </c>
      <c r="P10" s="2" t="s">
        <v>27</v>
      </c>
      <c r="Q10" s="2" t="s">
        <v>28</v>
      </c>
      <c r="R10" s="2" t="s">
        <v>52</v>
      </c>
      <c r="S10" s="2" t="s">
        <v>75</v>
      </c>
      <c r="T10" s="2"/>
      <c r="U10" s="2" t="str">
        <f t="shared" si="2"/>
        <v>Not Required</v>
      </c>
      <c r="V10" s="2" t="s">
        <v>4113</v>
      </c>
    </row>
    <row r="11" spans="1:22" hidden="1" x14ac:dyDescent="0.3">
      <c r="A11" s="2" t="s">
        <v>4552</v>
      </c>
      <c r="B11" s="12">
        <f t="shared" si="0"/>
        <v>46238.582995532408</v>
      </c>
      <c r="C11" s="13">
        <v>46238.582995532408</v>
      </c>
      <c r="D11" s="2" t="s">
        <v>993</v>
      </c>
      <c r="E11" s="2" t="str">
        <f t="shared" si="1"/>
        <v>Email Available</v>
      </c>
      <c r="F11" s="2" t="s">
        <v>678</v>
      </c>
      <c r="G11" s="2" t="s">
        <v>206</v>
      </c>
      <c r="H11" s="2" t="s">
        <v>196</v>
      </c>
      <c r="I11" s="2" t="s">
        <v>207</v>
      </c>
      <c r="J11" s="2">
        <v>-1</v>
      </c>
      <c r="K11" s="2">
        <v>24.99</v>
      </c>
      <c r="L11" s="2"/>
      <c r="M11" s="2">
        <v>0</v>
      </c>
      <c r="N11" s="2">
        <v>5.99</v>
      </c>
      <c r="O11" s="2">
        <v>30.98</v>
      </c>
      <c r="P11" s="2" t="s">
        <v>68</v>
      </c>
      <c r="Q11" s="2" t="s">
        <v>28</v>
      </c>
      <c r="R11" s="2" t="s">
        <v>52</v>
      </c>
      <c r="S11" s="2" t="s">
        <v>30</v>
      </c>
      <c r="T11" s="2" t="s">
        <v>248</v>
      </c>
      <c r="U11" s="2" t="str">
        <f t="shared" si="2"/>
        <v>Valid</v>
      </c>
      <c r="V11" s="2" t="s">
        <v>4553</v>
      </c>
    </row>
    <row r="12" spans="1:22" hidden="1" x14ac:dyDescent="0.3">
      <c r="A12" s="2" t="s">
        <v>4928</v>
      </c>
      <c r="B12" s="12">
        <f t="shared" si="0"/>
        <v>46238</v>
      </c>
      <c r="C12" s="13" t="s">
        <v>148</v>
      </c>
      <c r="D12" s="2" t="s">
        <v>280</v>
      </c>
      <c r="E12" s="2" t="str">
        <f t="shared" si="1"/>
        <v>Email Available</v>
      </c>
      <c r="F12" s="2" t="s">
        <v>281</v>
      </c>
      <c r="G12" s="2" t="s">
        <v>206</v>
      </c>
      <c r="H12" s="2" t="s">
        <v>196</v>
      </c>
      <c r="I12" s="2" t="s">
        <v>207</v>
      </c>
      <c r="J12" s="2">
        <v>-1</v>
      </c>
      <c r="K12" s="2">
        <v>24.99</v>
      </c>
      <c r="L12" s="2"/>
      <c r="M12" s="2">
        <v>0</v>
      </c>
      <c r="N12" s="2">
        <v>4.99</v>
      </c>
      <c r="O12" s="2">
        <v>29.98</v>
      </c>
      <c r="P12" s="2" t="s">
        <v>27</v>
      </c>
      <c r="Q12" s="2" t="s">
        <v>41</v>
      </c>
      <c r="R12" s="2" t="s">
        <v>52</v>
      </c>
      <c r="S12" s="2" t="s">
        <v>75</v>
      </c>
      <c r="T12" s="2"/>
      <c r="U12" s="2" t="str">
        <f t="shared" si="2"/>
        <v>Not Required</v>
      </c>
      <c r="V12" s="2" t="s">
        <v>4929</v>
      </c>
    </row>
    <row r="13" spans="1:22" hidden="1" x14ac:dyDescent="0.3">
      <c r="A13" s="2" t="s">
        <v>4988</v>
      </c>
      <c r="B13" s="12">
        <f t="shared" si="0"/>
        <v>46238.583205509261</v>
      </c>
      <c r="C13" s="13">
        <v>46238.583205509261</v>
      </c>
      <c r="D13" s="2" t="s">
        <v>131</v>
      </c>
      <c r="E13" s="2" t="str">
        <f t="shared" si="1"/>
        <v>Email Available</v>
      </c>
      <c r="F13" s="2" t="s">
        <v>132</v>
      </c>
      <c r="G13" s="2" t="s">
        <v>105</v>
      </c>
      <c r="H13" s="2" t="s">
        <v>106</v>
      </c>
      <c r="I13" s="2" t="s">
        <v>107</v>
      </c>
      <c r="J13" s="2">
        <v>-2</v>
      </c>
      <c r="K13" s="2">
        <v>19.989999999999998</v>
      </c>
      <c r="L13" s="2"/>
      <c r="M13" s="2">
        <v>0</v>
      </c>
      <c r="N13" s="2">
        <v>7.99</v>
      </c>
      <c r="O13" s="2">
        <v>47.97</v>
      </c>
      <c r="P13" s="2" t="s">
        <v>27</v>
      </c>
      <c r="Q13" s="2" t="s">
        <v>28</v>
      </c>
      <c r="R13" s="2" t="s">
        <v>29</v>
      </c>
      <c r="S13" s="2" t="s">
        <v>30</v>
      </c>
      <c r="T13" s="2" t="s">
        <v>454</v>
      </c>
      <c r="U13" s="2" t="str">
        <f t="shared" si="2"/>
        <v>Valid</v>
      </c>
      <c r="V13" s="2" t="s">
        <v>4989</v>
      </c>
    </row>
    <row r="14" spans="1:22" hidden="1" x14ac:dyDescent="0.3">
      <c r="A14" s="2" t="s">
        <v>45</v>
      </c>
      <c r="B14" s="12">
        <f t="shared" si="0"/>
        <v>46238.580276250002</v>
      </c>
      <c r="C14" s="13">
        <v>46238.580276250002</v>
      </c>
      <c r="D14" s="2" t="s">
        <v>46</v>
      </c>
      <c r="E14" s="2" t="str">
        <f t="shared" si="1"/>
        <v>Email Available</v>
      </c>
      <c r="F14" s="2" t="s">
        <v>47</v>
      </c>
      <c r="G14" s="2" t="s">
        <v>48</v>
      </c>
      <c r="H14" s="2" t="s">
        <v>49</v>
      </c>
      <c r="I14" s="2" t="s">
        <v>50</v>
      </c>
      <c r="J14" s="2">
        <v>1</v>
      </c>
      <c r="K14" s="2">
        <v>39.99</v>
      </c>
      <c r="L14" s="2"/>
      <c r="M14" s="2">
        <v>0</v>
      </c>
      <c r="N14" s="2">
        <v>5.99</v>
      </c>
      <c r="O14" s="2">
        <v>45.98</v>
      </c>
      <c r="P14" s="2" t="s">
        <v>51</v>
      </c>
      <c r="Q14" s="2" t="s">
        <v>28</v>
      </c>
      <c r="R14" s="2" t="s">
        <v>52</v>
      </c>
      <c r="S14" s="2" t="s">
        <v>30</v>
      </c>
      <c r="T14" s="2" t="s">
        <v>53</v>
      </c>
      <c r="U14" s="2" t="str">
        <f t="shared" si="2"/>
        <v>Valid</v>
      </c>
      <c r="V14" s="2" t="s">
        <v>54</v>
      </c>
    </row>
    <row r="15" spans="1:22" hidden="1" x14ac:dyDescent="0.3">
      <c r="A15" s="2" t="s">
        <v>203</v>
      </c>
      <c r="B15" s="12">
        <f t="shared" si="0"/>
        <v>46238.582524097219</v>
      </c>
      <c r="C15" s="13">
        <v>46238.582524097219</v>
      </c>
      <c r="D15" s="2" t="s">
        <v>204</v>
      </c>
      <c r="E15" s="2" t="str">
        <f t="shared" si="1"/>
        <v>Email Available</v>
      </c>
      <c r="F15" s="2" t="s">
        <v>205</v>
      </c>
      <c r="G15" s="2" t="s">
        <v>206</v>
      </c>
      <c r="H15" s="2" t="s">
        <v>196</v>
      </c>
      <c r="I15" s="2" t="s">
        <v>207</v>
      </c>
      <c r="J15" s="2">
        <v>1</v>
      </c>
      <c r="K15" s="2">
        <v>24.99</v>
      </c>
      <c r="L15" s="2" t="s">
        <v>208</v>
      </c>
      <c r="M15" s="2">
        <v>3.75</v>
      </c>
      <c r="N15" s="2">
        <v>7.99</v>
      </c>
      <c r="O15" s="2">
        <v>29.23</v>
      </c>
      <c r="P15" s="2" t="s">
        <v>68</v>
      </c>
      <c r="Q15" s="2" t="s">
        <v>28</v>
      </c>
      <c r="R15" s="2" t="s">
        <v>29</v>
      </c>
      <c r="S15" s="2" t="s">
        <v>75</v>
      </c>
      <c r="T15" s="2"/>
      <c r="U15" s="2" t="str">
        <f t="shared" si="2"/>
        <v>Not Required</v>
      </c>
      <c r="V15" s="2" t="s">
        <v>209</v>
      </c>
    </row>
    <row r="16" spans="1:22" hidden="1" x14ac:dyDescent="0.3">
      <c r="A16" s="2" t="s">
        <v>774</v>
      </c>
      <c r="B16" s="12">
        <f t="shared" si="0"/>
        <v>46238.584027766206</v>
      </c>
      <c r="C16" s="13">
        <v>46238.584027766206</v>
      </c>
      <c r="D16" s="2" t="s">
        <v>775</v>
      </c>
      <c r="E16" s="2" t="str">
        <f t="shared" si="1"/>
        <v>Email Available</v>
      </c>
      <c r="F16" s="2" t="s">
        <v>310</v>
      </c>
      <c r="G16" s="2" t="s">
        <v>105</v>
      </c>
      <c r="H16" s="2" t="s">
        <v>106</v>
      </c>
      <c r="I16" s="2" t="s">
        <v>107</v>
      </c>
      <c r="J16" s="2">
        <v>1</v>
      </c>
      <c r="K16" s="2">
        <v>19.989999999999998</v>
      </c>
      <c r="L16" s="2"/>
      <c r="M16" s="2">
        <v>0</v>
      </c>
      <c r="N16" s="2">
        <v>5.99</v>
      </c>
      <c r="O16" s="2">
        <v>25.98</v>
      </c>
      <c r="P16" s="2" t="s">
        <v>51</v>
      </c>
      <c r="Q16" s="2" t="s">
        <v>28</v>
      </c>
      <c r="R16" s="2" t="s">
        <v>52</v>
      </c>
      <c r="S16" s="2" t="s">
        <v>30</v>
      </c>
      <c r="T16" s="2" t="s">
        <v>248</v>
      </c>
      <c r="U16" s="2" t="str">
        <f t="shared" si="2"/>
        <v>Valid</v>
      </c>
      <c r="V16" s="2" t="s">
        <v>776</v>
      </c>
    </row>
    <row r="17" spans="1:22" hidden="1" x14ac:dyDescent="0.3">
      <c r="A17" s="2" t="s">
        <v>1048</v>
      </c>
      <c r="B17" s="12">
        <f t="shared" si="0"/>
        <v>46238.586086655087</v>
      </c>
      <c r="C17" s="13">
        <v>46238.586086655087</v>
      </c>
      <c r="D17" s="2" t="s">
        <v>1049</v>
      </c>
      <c r="E17" s="2" t="str">
        <f t="shared" si="1"/>
        <v>Email Available</v>
      </c>
      <c r="F17" s="2" t="s">
        <v>1050</v>
      </c>
      <c r="G17" s="2" t="s">
        <v>157</v>
      </c>
      <c r="H17" s="2" t="s">
        <v>37</v>
      </c>
      <c r="I17" s="2" t="s">
        <v>158</v>
      </c>
      <c r="J17" s="2">
        <v>1</v>
      </c>
      <c r="K17" s="2">
        <v>29.99</v>
      </c>
      <c r="L17" s="2" t="s">
        <v>39</v>
      </c>
      <c r="M17" s="2">
        <v>0</v>
      </c>
      <c r="N17" s="2">
        <v>0</v>
      </c>
      <c r="O17" s="2">
        <v>29.99</v>
      </c>
      <c r="P17" s="2" t="s">
        <v>68</v>
      </c>
      <c r="Q17" s="2" t="s">
        <v>28</v>
      </c>
      <c r="R17" s="2" t="s">
        <v>29</v>
      </c>
      <c r="S17" s="2" t="s">
        <v>30</v>
      </c>
      <c r="T17" s="2" t="s">
        <v>91</v>
      </c>
      <c r="U17" s="2" t="str">
        <f t="shared" si="2"/>
        <v>Valid</v>
      </c>
      <c r="V17" s="2" t="s">
        <v>1051</v>
      </c>
    </row>
    <row r="18" spans="1:22" hidden="1" x14ac:dyDescent="0.3">
      <c r="A18" s="2" t="s">
        <v>1054</v>
      </c>
      <c r="B18" s="12">
        <f t="shared" si="0"/>
        <v>46238.586203495368</v>
      </c>
      <c r="C18" s="13">
        <v>46238.586203495368</v>
      </c>
      <c r="D18" s="2" t="s">
        <v>1055</v>
      </c>
      <c r="E18" s="2" t="str">
        <f t="shared" si="1"/>
        <v>Email Available</v>
      </c>
      <c r="F18" s="2" t="s">
        <v>1056</v>
      </c>
      <c r="G18" s="2" t="s">
        <v>195</v>
      </c>
      <c r="H18" s="2" t="s">
        <v>196</v>
      </c>
      <c r="I18" s="2" t="s">
        <v>197</v>
      </c>
      <c r="J18" s="2">
        <v>1</v>
      </c>
      <c r="K18" s="2">
        <v>13.49</v>
      </c>
      <c r="L18" s="2"/>
      <c r="M18" s="2">
        <v>0</v>
      </c>
      <c r="N18" s="2">
        <v>7.99</v>
      </c>
      <c r="O18" s="2">
        <v>21.48</v>
      </c>
      <c r="P18" s="2" t="s">
        <v>68</v>
      </c>
      <c r="Q18" s="2" t="s">
        <v>41</v>
      </c>
      <c r="R18" s="2" t="s">
        <v>29</v>
      </c>
      <c r="S18" s="2" t="s">
        <v>30</v>
      </c>
      <c r="T18" s="2" t="s">
        <v>248</v>
      </c>
      <c r="U18" s="2" t="str">
        <f t="shared" si="2"/>
        <v>Valid</v>
      </c>
      <c r="V18" s="2" t="s">
        <v>1057</v>
      </c>
    </row>
    <row r="19" spans="1:22" hidden="1" x14ac:dyDescent="0.3">
      <c r="A19" s="2" t="s">
        <v>1188</v>
      </c>
      <c r="B19" s="12">
        <f t="shared" si="0"/>
        <v>46238.586282314813</v>
      </c>
      <c r="C19" s="13">
        <v>46238.586282314813</v>
      </c>
      <c r="D19" s="2" t="s">
        <v>1189</v>
      </c>
      <c r="E19" s="2" t="str">
        <f t="shared" si="1"/>
        <v>Email Available</v>
      </c>
      <c r="F19" s="2" t="s">
        <v>1190</v>
      </c>
      <c r="G19" s="2" t="s">
        <v>133</v>
      </c>
      <c r="H19" s="2" t="s">
        <v>106</v>
      </c>
      <c r="I19" s="2" t="s">
        <v>134</v>
      </c>
      <c r="J19" s="2">
        <v>1</v>
      </c>
      <c r="K19" s="2">
        <v>16.989999999999998</v>
      </c>
      <c r="L19" s="2"/>
      <c r="M19" s="2">
        <v>0</v>
      </c>
      <c r="N19" s="2">
        <v>5.99</v>
      </c>
      <c r="O19" s="2">
        <v>22.98</v>
      </c>
      <c r="P19" s="2" t="s">
        <v>74</v>
      </c>
      <c r="Q19" s="2" t="s">
        <v>28</v>
      </c>
      <c r="R19" s="2" t="s">
        <v>52</v>
      </c>
      <c r="S19" s="2" t="s">
        <v>43</v>
      </c>
      <c r="T19" s="2"/>
      <c r="U19" s="2" t="str">
        <f t="shared" si="2"/>
        <v>Not Required</v>
      </c>
      <c r="V19" s="2" t="s">
        <v>1191</v>
      </c>
    </row>
    <row r="20" spans="1:22" hidden="1" x14ac:dyDescent="0.3">
      <c r="A20" s="2" t="s">
        <v>2170</v>
      </c>
      <c r="B20" s="12">
        <f t="shared" si="0"/>
        <v>46238.584845717603</v>
      </c>
      <c r="C20" s="13">
        <v>46238.584845717603</v>
      </c>
      <c r="D20" s="2" t="s">
        <v>733</v>
      </c>
      <c r="E20" s="2" t="str">
        <f t="shared" si="1"/>
        <v>Email Available</v>
      </c>
      <c r="F20" s="2" t="s">
        <v>734</v>
      </c>
      <c r="G20" s="2" t="s">
        <v>241</v>
      </c>
      <c r="H20" s="2" t="s">
        <v>242</v>
      </c>
      <c r="I20" s="2" t="s">
        <v>243</v>
      </c>
      <c r="J20" s="2">
        <v>2</v>
      </c>
      <c r="K20" s="2">
        <v>27.99</v>
      </c>
      <c r="L20" s="2" t="s">
        <v>67</v>
      </c>
      <c r="M20" s="2">
        <v>5.6</v>
      </c>
      <c r="N20" s="2">
        <v>7.99</v>
      </c>
      <c r="O20" s="2" t="s">
        <v>2171</v>
      </c>
      <c r="P20" s="2" t="s">
        <v>51</v>
      </c>
      <c r="Q20" s="2" t="s">
        <v>41</v>
      </c>
      <c r="R20" s="2" t="s">
        <v>52</v>
      </c>
      <c r="S20" s="2" t="s">
        <v>108</v>
      </c>
      <c r="T20" s="2"/>
      <c r="U20" s="2" t="str">
        <f t="shared" si="2"/>
        <v>Not Required</v>
      </c>
      <c r="V20" s="2" t="s">
        <v>2172</v>
      </c>
    </row>
    <row r="21" spans="1:22" hidden="1" x14ac:dyDescent="0.3">
      <c r="A21" s="2" t="s">
        <v>2338</v>
      </c>
      <c r="B21" s="12">
        <f t="shared" si="0"/>
        <v>46238.588968622687</v>
      </c>
      <c r="C21" s="13">
        <v>46238.588968622687</v>
      </c>
      <c r="D21" s="2" t="s">
        <v>2339</v>
      </c>
      <c r="E21" s="2" t="str">
        <f t="shared" si="1"/>
        <v>Email Available</v>
      </c>
      <c r="F21" s="2" t="s">
        <v>2340</v>
      </c>
      <c r="G21" s="2" t="s">
        <v>187</v>
      </c>
      <c r="H21" s="2" t="s">
        <v>37</v>
      </c>
      <c r="I21" s="2" t="s">
        <v>188</v>
      </c>
      <c r="J21" s="2">
        <v>2</v>
      </c>
      <c r="K21" s="2">
        <v>11.99</v>
      </c>
      <c r="L21" s="2"/>
      <c r="M21" s="2">
        <v>0</v>
      </c>
      <c r="N21" s="2">
        <v>7.99</v>
      </c>
      <c r="O21" s="2">
        <v>31.97</v>
      </c>
      <c r="P21" s="2" t="s">
        <v>68</v>
      </c>
      <c r="Q21" s="2" t="s">
        <v>41</v>
      </c>
      <c r="R21" s="2" t="s">
        <v>99</v>
      </c>
      <c r="S21" s="2" t="s">
        <v>337</v>
      </c>
      <c r="T21" s="2"/>
      <c r="U21" s="2" t="str">
        <f t="shared" si="2"/>
        <v>Not Required</v>
      </c>
      <c r="V21" s="2" t="s">
        <v>2341</v>
      </c>
    </row>
    <row r="22" spans="1:22" x14ac:dyDescent="0.3">
      <c r="A22" s="2" t="s">
        <v>2489</v>
      </c>
      <c r="B22" s="12">
        <f>DATE(VALUE(RIGHT(C22,4)),MATCH(LEFT(C22,3),{"Jan","Feb","Mar","Apr","May","Jun","Jul","Aug","Sep","Oct","Nov","Dec"},0),VALUE(MID(C22,5,2)))</f>
        <v>46238</v>
      </c>
      <c r="C22" s="13" t="s">
        <v>176</v>
      </c>
      <c r="D22" s="2" t="s">
        <v>63</v>
      </c>
      <c r="E22" s="2" t="str">
        <f t="shared" si="1"/>
        <v>Missing Email</v>
      </c>
      <c r="F22" s="2"/>
      <c r="G22" s="2" t="s">
        <v>368</v>
      </c>
      <c r="H22" s="2" t="s">
        <v>88</v>
      </c>
      <c r="I22" s="2" t="s">
        <v>369</v>
      </c>
      <c r="J22" s="2">
        <v>1</v>
      </c>
      <c r="K22" s="2">
        <v>54.99</v>
      </c>
      <c r="L22" s="2"/>
      <c r="M22" s="2">
        <v>0</v>
      </c>
      <c r="N22" s="2">
        <v>4.99</v>
      </c>
      <c r="O22" s="2">
        <v>59.98</v>
      </c>
      <c r="P22" s="2" t="s">
        <v>40</v>
      </c>
      <c r="Q22" s="2" t="s">
        <v>114</v>
      </c>
      <c r="R22" s="2" t="s">
        <v>52</v>
      </c>
      <c r="S22" s="2" t="s">
        <v>30</v>
      </c>
      <c r="T22" s="2" t="s">
        <v>347</v>
      </c>
      <c r="U22" s="2" t="str">
        <f t="shared" si="2"/>
        <v>Valid</v>
      </c>
      <c r="V22" s="2" t="s">
        <v>2490</v>
      </c>
    </row>
    <row r="23" spans="1:22" hidden="1" x14ac:dyDescent="0.3">
      <c r="A23" s="2" t="s">
        <v>2527</v>
      </c>
      <c r="B23" s="12">
        <f>IF(ISNUMBER(C23),C23,DATEVALUE(SUBSTITUTE(TRIM(C23),CHAR(160)," ")))</f>
        <v>46238.581676631948</v>
      </c>
      <c r="C23" s="13">
        <v>46238.581676631948</v>
      </c>
      <c r="D23" s="2" t="s">
        <v>309</v>
      </c>
      <c r="E23" s="2" t="str">
        <f t="shared" si="1"/>
        <v>Email Available</v>
      </c>
      <c r="F23" s="2" t="s">
        <v>310</v>
      </c>
      <c r="G23" s="2" t="s">
        <v>80</v>
      </c>
      <c r="H23" s="2" t="s">
        <v>81</v>
      </c>
      <c r="I23" s="2" t="s">
        <v>82</v>
      </c>
      <c r="J23" s="2">
        <v>2</v>
      </c>
      <c r="K23" s="2">
        <v>89.99</v>
      </c>
      <c r="L23" s="2"/>
      <c r="M23" s="2">
        <v>0</v>
      </c>
      <c r="N23" s="2">
        <v>0</v>
      </c>
      <c r="O23" s="2">
        <v>179.98</v>
      </c>
      <c r="P23" s="2" t="s">
        <v>27</v>
      </c>
      <c r="Q23" s="2" t="s">
        <v>114</v>
      </c>
      <c r="R23" s="2" t="s">
        <v>29</v>
      </c>
      <c r="S23" s="2" t="s">
        <v>30</v>
      </c>
      <c r="T23" s="2" t="s">
        <v>31</v>
      </c>
      <c r="U23" s="2" t="str">
        <f t="shared" si="2"/>
        <v>Valid</v>
      </c>
      <c r="V23" s="2" t="s">
        <v>2528</v>
      </c>
    </row>
    <row r="24" spans="1:22" hidden="1" x14ac:dyDescent="0.3">
      <c r="A24" s="2" t="s">
        <v>2574</v>
      </c>
      <c r="B24" s="12">
        <f t="shared" si="0"/>
        <v>46120</v>
      </c>
      <c r="C24" s="13" t="s">
        <v>142</v>
      </c>
      <c r="D24" s="2" t="s">
        <v>345</v>
      </c>
      <c r="E24" s="2" t="str">
        <f t="shared" si="1"/>
        <v>Email Available</v>
      </c>
      <c r="F24" s="2" t="s">
        <v>452</v>
      </c>
      <c r="G24" s="2" t="s">
        <v>2575</v>
      </c>
      <c r="H24" s="2" t="s">
        <v>37</v>
      </c>
      <c r="I24" s="2" t="s">
        <v>267</v>
      </c>
      <c r="J24" s="2">
        <v>1</v>
      </c>
      <c r="K24" s="2">
        <v>15.49</v>
      </c>
      <c r="L24" s="2"/>
      <c r="M24" s="2">
        <v>0</v>
      </c>
      <c r="N24" s="2">
        <v>5.99</v>
      </c>
      <c r="O24" s="2">
        <v>21.48</v>
      </c>
      <c r="P24" s="2" t="s">
        <v>27</v>
      </c>
      <c r="Q24" s="2" t="s">
        <v>90</v>
      </c>
      <c r="R24" s="2" t="s">
        <v>29</v>
      </c>
      <c r="S24" s="2" t="s">
        <v>30</v>
      </c>
      <c r="T24" s="2" t="s">
        <v>248</v>
      </c>
      <c r="U24" s="2" t="str">
        <f t="shared" si="2"/>
        <v>Valid</v>
      </c>
      <c r="V24" s="2" t="s">
        <v>2576</v>
      </c>
    </row>
    <row r="25" spans="1:22" hidden="1" x14ac:dyDescent="0.3">
      <c r="A25" s="2" t="s">
        <v>2673</v>
      </c>
      <c r="B25" s="12">
        <f t="shared" si="0"/>
        <v>46238.580134328702</v>
      </c>
      <c r="C25" s="13">
        <v>46238.580134328702</v>
      </c>
      <c r="D25" s="2" t="s">
        <v>1233</v>
      </c>
      <c r="E25" s="2" t="str">
        <f t="shared" si="1"/>
        <v>Email Available</v>
      </c>
      <c r="F25" s="2" t="s">
        <v>1234</v>
      </c>
      <c r="G25" s="2" t="s">
        <v>80</v>
      </c>
      <c r="H25" s="2" t="s">
        <v>81</v>
      </c>
      <c r="I25" s="2" t="s">
        <v>82</v>
      </c>
      <c r="J25" s="2">
        <v>3</v>
      </c>
      <c r="K25" s="2">
        <v>89.99</v>
      </c>
      <c r="L25" s="2" t="s">
        <v>208</v>
      </c>
      <c r="M25" s="2">
        <v>40.5</v>
      </c>
      <c r="N25" s="2">
        <v>0</v>
      </c>
      <c r="O25" s="2">
        <v>229.47</v>
      </c>
      <c r="P25" s="2" t="s">
        <v>74</v>
      </c>
      <c r="Q25" s="2" t="s">
        <v>41</v>
      </c>
      <c r="R25" s="2" t="s">
        <v>52</v>
      </c>
      <c r="S25" s="2" t="s">
        <v>228</v>
      </c>
      <c r="T25" s="2"/>
      <c r="U25" s="2" t="str">
        <f t="shared" si="2"/>
        <v>Not Required</v>
      </c>
      <c r="V25" s="2" t="s">
        <v>2674</v>
      </c>
    </row>
    <row r="26" spans="1:22" x14ac:dyDescent="0.3">
      <c r="A26" s="2" t="s">
        <v>2688</v>
      </c>
      <c r="B26" s="12">
        <f t="shared" si="0"/>
        <v>46238.579465891213</v>
      </c>
      <c r="C26" s="13">
        <v>46238.579465891213</v>
      </c>
      <c r="D26" s="2" t="s">
        <v>2689</v>
      </c>
      <c r="E26" s="2" t="str">
        <f t="shared" si="1"/>
        <v>Missing Email</v>
      </c>
      <c r="F26" s="2"/>
      <c r="G26" s="2" t="s">
        <v>272</v>
      </c>
      <c r="H26" s="2" t="s">
        <v>23</v>
      </c>
      <c r="I26" s="2" t="s">
        <v>273</v>
      </c>
      <c r="J26" s="2">
        <v>1</v>
      </c>
      <c r="K26" s="2">
        <v>18.989999999999998</v>
      </c>
      <c r="L26" s="2" t="s">
        <v>39</v>
      </c>
      <c r="M26" s="2">
        <v>0</v>
      </c>
      <c r="N26" s="2">
        <v>0</v>
      </c>
      <c r="O26" s="2">
        <v>18.989999999999998</v>
      </c>
      <c r="P26" s="2" t="s">
        <v>51</v>
      </c>
      <c r="Q26" s="2" t="s">
        <v>28</v>
      </c>
      <c r="R26" s="2" t="s">
        <v>29</v>
      </c>
      <c r="S26" s="2" t="s">
        <v>30</v>
      </c>
      <c r="T26" s="2" t="s">
        <v>91</v>
      </c>
      <c r="U26" s="2" t="str">
        <f t="shared" si="2"/>
        <v>Valid</v>
      </c>
      <c r="V26" s="2" t="s">
        <v>2690</v>
      </c>
    </row>
    <row r="27" spans="1:22" hidden="1" x14ac:dyDescent="0.3">
      <c r="A27" s="2" t="s">
        <v>2887</v>
      </c>
      <c r="B27" s="12">
        <f t="shared" si="0"/>
        <v>46238.581509918979</v>
      </c>
      <c r="C27" s="13">
        <v>46238.581509918979</v>
      </c>
      <c r="D27" s="2" t="s">
        <v>536</v>
      </c>
      <c r="E27" s="2" t="str">
        <f t="shared" si="1"/>
        <v>Email Available</v>
      </c>
      <c r="F27" s="2" t="s">
        <v>537</v>
      </c>
      <c r="G27" s="2" t="s">
        <v>187</v>
      </c>
      <c r="H27" s="2" t="s">
        <v>37</v>
      </c>
      <c r="I27" s="2" t="s">
        <v>188</v>
      </c>
      <c r="J27" s="2">
        <v>1</v>
      </c>
      <c r="K27" s="2">
        <v>11.99</v>
      </c>
      <c r="L27" s="2" t="s">
        <v>208</v>
      </c>
      <c r="M27" s="2">
        <v>1.8</v>
      </c>
      <c r="N27" s="2">
        <v>5.99</v>
      </c>
      <c r="O27" s="2">
        <v>16.18</v>
      </c>
      <c r="P27" s="2" t="s">
        <v>74</v>
      </c>
      <c r="Q27" s="2" t="s">
        <v>28</v>
      </c>
      <c r="R27" s="2" t="s">
        <v>52</v>
      </c>
      <c r="S27" s="2" t="s">
        <v>30</v>
      </c>
      <c r="T27" s="2" t="s">
        <v>69</v>
      </c>
      <c r="U27" s="2" t="str">
        <f t="shared" si="2"/>
        <v>Valid</v>
      </c>
      <c r="V27" s="2" t="s">
        <v>2888</v>
      </c>
    </row>
    <row r="28" spans="1:22" hidden="1" x14ac:dyDescent="0.3">
      <c r="A28" s="2" t="s">
        <v>2920</v>
      </c>
      <c r="B28" s="12">
        <f t="shared" si="0"/>
        <v>46238</v>
      </c>
      <c r="C28" s="13" t="s">
        <v>255</v>
      </c>
      <c r="D28" s="2" t="s">
        <v>2921</v>
      </c>
      <c r="E28" s="2" t="str">
        <f t="shared" si="1"/>
        <v>Email Available</v>
      </c>
      <c r="F28" s="2" t="s">
        <v>734</v>
      </c>
      <c r="G28" s="2" t="s">
        <v>112</v>
      </c>
      <c r="H28" s="2" t="s">
        <v>81</v>
      </c>
      <c r="I28" s="2" t="s">
        <v>113</v>
      </c>
      <c r="J28" s="2">
        <v>1</v>
      </c>
      <c r="K28" s="2">
        <v>22.99</v>
      </c>
      <c r="L28" s="2" t="s">
        <v>208</v>
      </c>
      <c r="M28" s="2">
        <v>3.45</v>
      </c>
      <c r="N28" s="2">
        <v>7.99</v>
      </c>
      <c r="O28" s="2">
        <v>27.53</v>
      </c>
      <c r="P28" s="2" t="s">
        <v>51</v>
      </c>
      <c r="Q28" s="2" t="s">
        <v>28</v>
      </c>
      <c r="R28" s="2" t="s">
        <v>52</v>
      </c>
      <c r="S28" s="2" t="s">
        <v>108</v>
      </c>
      <c r="T28" s="2"/>
      <c r="U28" s="2" t="str">
        <f t="shared" si="2"/>
        <v>Not Required</v>
      </c>
      <c r="V28" s="2" t="s">
        <v>2922</v>
      </c>
    </row>
    <row r="29" spans="1:22" hidden="1" x14ac:dyDescent="0.3">
      <c r="A29" s="2" t="s">
        <v>3108</v>
      </c>
      <c r="B29" s="12">
        <f t="shared" si="0"/>
        <v>46238.579189293981</v>
      </c>
      <c r="C29" s="13">
        <v>46238.579189293981</v>
      </c>
      <c r="D29" s="2" t="s">
        <v>733</v>
      </c>
      <c r="E29" s="2" t="str">
        <f t="shared" si="1"/>
        <v>Email Available</v>
      </c>
      <c r="F29" s="2" t="s">
        <v>734</v>
      </c>
      <c r="G29" s="2" t="s">
        <v>120</v>
      </c>
      <c r="H29" s="2" t="s">
        <v>23</v>
      </c>
      <c r="I29" s="2" t="s">
        <v>24</v>
      </c>
      <c r="J29" s="2">
        <v>1</v>
      </c>
      <c r="K29" s="2">
        <v>12.99</v>
      </c>
      <c r="L29" s="2" t="s">
        <v>208</v>
      </c>
      <c r="M29" s="2">
        <v>1.95</v>
      </c>
      <c r="N29" s="2">
        <v>7.99</v>
      </c>
      <c r="O29" s="2">
        <v>19.03</v>
      </c>
      <c r="P29" s="2" t="s">
        <v>74</v>
      </c>
      <c r="Q29" s="2" t="s">
        <v>41</v>
      </c>
      <c r="R29" s="2" t="s">
        <v>52</v>
      </c>
      <c r="S29" s="2" t="s">
        <v>108</v>
      </c>
      <c r="T29" s="2"/>
      <c r="U29" s="2" t="str">
        <f t="shared" si="2"/>
        <v>Not Required</v>
      </c>
      <c r="V29" s="2" t="s">
        <v>3109</v>
      </c>
    </row>
    <row r="30" spans="1:22" hidden="1" x14ac:dyDescent="0.3">
      <c r="A30" s="2" t="s">
        <v>3309</v>
      </c>
      <c r="B30" s="12">
        <f t="shared" si="0"/>
        <v>46238.586122719913</v>
      </c>
      <c r="C30" s="13">
        <v>46238.586122719913</v>
      </c>
      <c r="D30" s="2" t="s">
        <v>1059</v>
      </c>
      <c r="E30" s="2" t="str">
        <f t="shared" si="1"/>
        <v>Email Available</v>
      </c>
      <c r="F30" s="2" t="s">
        <v>1060</v>
      </c>
      <c r="G30" s="2" t="s">
        <v>315</v>
      </c>
      <c r="H30" s="2" t="s">
        <v>37</v>
      </c>
      <c r="I30" s="2" t="s">
        <v>316</v>
      </c>
      <c r="J30" s="2">
        <v>1</v>
      </c>
      <c r="K30" s="2">
        <v>8.99</v>
      </c>
      <c r="L30" s="2"/>
      <c r="M30" s="2">
        <v>0</v>
      </c>
      <c r="N30" s="2">
        <v>5.99</v>
      </c>
      <c r="O30" s="2">
        <v>14.98</v>
      </c>
      <c r="P30" s="2" t="s">
        <v>40</v>
      </c>
      <c r="Q30" s="2" t="s">
        <v>114</v>
      </c>
      <c r="R30" s="2" t="s">
        <v>42</v>
      </c>
      <c r="S30" s="2" t="s">
        <v>108</v>
      </c>
      <c r="T30" s="2"/>
      <c r="U30" s="2" t="str">
        <f t="shared" si="2"/>
        <v>Not Required</v>
      </c>
      <c r="V30" s="2" t="s">
        <v>3310</v>
      </c>
    </row>
    <row r="31" spans="1:22" hidden="1" x14ac:dyDescent="0.3">
      <c r="A31" s="2" t="s">
        <v>3485</v>
      </c>
      <c r="B31" s="12">
        <f t="shared" si="0"/>
        <v>46120</v>
      </c>
      <c r="C31" s="13" t="s">
        <v>142</v>
      </c>
      <c r="D31" s="2" t="s">
        <v>2657</v>
      </c>
      <c r="E31" s="2" t="str">
        <f t="shared" si="1"/>
        <v>Email Available</v>
      </c>
      <c r="F31" s="2" t="s">
        <v>2658</v>
      </c>
      <c r="G31" s="2" t="s">
        <v>3486</v>
      </c>
      <c r="H31" s="2" t="s">
        <v>81</v>
      </c>
      <c r="I31" s="2" t="s">
        <v>113</v>
      </c>
      <c r="J31" s="2">
        <v>1</v>
      </c>
      <c r="K31" s="2">
        <v>22.99</v>
      </c>
      <c r="L31" s="2" t="s">
        <v>208</v>
      </c>
      <c r="M31" s="2">
        <v>3.45</v>
      </c>
      <c r="N31" s="2">
        <v>5.99</v>
      </c>
      <c r="O31" s="2">
        <v>25.53</v>
      </c>
      <c r="P31" s="2" t="s">
        <v>51</v>
      </c>
      <c r="Q31" s="2" t="s">
        <v>90</v>
      </c>
      <c r="R31" s="2" t="s">
        <v>99</v>
      </c>
      <c r="S31" s="2" t="s">
        <v>30</v>
      </c>
      <c r="T31" s="2" t="s">
        <v>145</v>
      </c>
      <c r="U31" s="2" t="str">
        <f t="shared" si="2"/>
        <v>Valid</v>
      </c>
      <c r="V31" s="2" t="s">
        <v>3487</v>
      </c>
    </row>
    <row r="32" spans="1:22" hidden="1" x14ac:dyDescent="0.3">
      <c r="A32" s="2" t="s">
        <v>3503</v>
      </c>
      <c r="B32" s="12">
        <f t="shared" si="0"/>
        <v>46238.58457240741</v>
      </c>
      <c r="C32" s="13">
        <v>46238.58457240741</v>
      </c>
      <c r="D32" s="2" t="s">
        <v>3504</v>
      </c>
      <c r="E32" s="2" t="str">
        <f t="shared" si="1"/>
        <v>Email Available</v>
      </c>
      <c r="F32" s="2" t="s">
        <v>126</v>
      </c>
      <c r="G32" s="2" t="s">
        <v>58</v>
      </c>
      <c r="H32" s="2" t="s">
        <v>23</v>
      </c>
      <c r="I32" s="2" t="s">
        <v>59</v>
      </c>
      <c r="J32" s="2">
        <v>1</v>
      </c>
      <c r="K32" s="2">
        <v>9.99</v>
      </c>
      <c r="L32" s="2" t="s">
        <v>121</v>
      </c>
      <c r="M32" s="2">
        <v>2.5</v>
      </c>
      <c r="N32" s="2">
        <v>4.99</v>
      </c>
      <c r="O32" s="2">
        <v>12.48</v>
      </c>
      <c r="P32" s="2" t="s">
        <v>40</v>
      </c>
      <c r="Q32" s="2" t="s">
        <v>90</v>
      </c>
      <c r="R32" s="2" t="s">
        <v>42</v>
      </c>
      <c r="S32" s="2" t="s">
        <v>43</v>
      </c>
      <c r="T32" s="2"/>
      <c r="U32" s="2" t="str">
        <f t="shared" si="2"/>
        <v>Not Required</v>
      </c>
      <c r="V32" s="2" t="s">
        <v>1438</v>
      </c>
    </row>
    <row r="33" spans="1:22" hidden="1" x14ac:dyDescent="0.3">
      <c r="A33" s="2" t="s">
        <v>3764</v>
      </c>
      <c r="B33" s="12">
        <f t="shared" si="0"/>
        <v>46238</v>
      </c>
      <c r="C33" s="13" t="s">
        <v>1037</v>
      </c>
      <c r="D33" s="2" t="s">
        <v>2059</v>
      </c>
      <c r="E33" s="2" t="str">
        <f t="shared" si="1"/>
        <v>Email Available</v>
      </c>
      <c r="F33" s="2" t="s">
        <v>2179</v>
      </c>
      <c r="G33" s="2" t="s">
        <v>58</v>
      </c>
      <c r="H33" s="2" t="s">
        <v>23</v>
      </c>
      <c r="I33" s="2" t="s">
        <v>59</v>
      </c>
      <c r="J33" s="2">
        <v>2</v>
      </c>
      <c r="K33" s="2" t="s">
        <v>213</v>
      </c>
      <c r="L33" s="2" t="s">
        <v>381</v>
      </c>
      <c r="M33" s="2">
        <v>0</v>
      </c>
      <c r="N33" s="2">
        <v>0</v>
      </c>
      <c r="O33" s="2">
        <v>19.98</v>
      </c>
      <c r="P33" s="2" t="s">
        <v>74</v>
      </c>
      <c r="Q33" s="2" t="s">
        <v>28</v>
      </c>
      <c r="R33" s="2" t="s">
        <v>52</v>
      </c>
      <c r="S33" s="2" t="s">
        <v>30</v>
      </c>
      <c r="T33" s="2" t="s">
        <v>91</v>
      </c>
      <c r="U33" s="2" t="str">
        <f t="shared" si="2"/>
        <v>Valid</v>
      </c>
      <c r="V33" s="2" t="s">
        <v>3765</v>
      </c>
    </row>
    <row r="34" spans="1:22" hidden="1" x14ac:dyDescent="0.3">
      <c r="A34" s="2" t="s">
        <v>3930</v>
      </c>
      <c r="B34" s="12">
        <f t="shared" si="0"/>
        <v>46238.587116296287</v>
      </c>
      <c r="C34" s="13">
        <v>46238.587116296287</v>
      </c>
      <c r="D34" s="2" t="s">
        <v>825</v>
      </c>
      <c r="E34" s="2" t="str">
        <f t="shared" si="1"/>
        <v>Email Available</v>
      </c>
      <c r="F34" s="2" t="s">
        <v>826</v>
      </c>
      <c r="G34" s="2" t="s">
        <v>368</v>
      </c>
      <c r="H34" s="2" t="s">
        <v>88</v>
      </c>
      <c r="I34" s="2" t="s">
        <v>369</v>
      </c>
      <c r="J34" s="2">
        <v>1</v>
      </c>
      <c r="K34" s="2">
        <v>54.99</v>
      </c>
      <c r="L34" s="2"/>
      <c r="M34" s="2">
        <v>0</v>
      </c>
      <c r="N34" s="2">
        <v>5.99</v>
      </c>
      <c r="O34" s="2">
        <v>60.98</v>
      </c>
      <c r="P34" s="2" t="s">
        <v>74</v>
      </c>
      <c r="Q34" s="2" t="s">
        <v>28</v>
      </c>
      <c r="R34" s="2" t="s">
        <v>52</v>
      </c>
      <c r="S34" s="2" t="s">
        <v>75</v>
      </c>
      <c r="T34" s="2"/>
      <c r="U34" s="2" t="str">
        <f t="shared" si="2"/>
        <v>Not Required</v>
      </c>
      <c r="V34" s="2" t="s">
        <v>3931</v>
      </c>
    </row>
    <row r="35" spans="1:22" hidden="1" x14ac:dyDescent="0.3">
      <c r="A35" s="2" t="s">
        <v>3957</v>
      </c>
      <c r="B35" s="12">
        <f t="shared" si="0"/>
        <v>46238.579977743058</v>
      </c>
      <c r="C35" s="13">
        <v>46238.579977743058</v>
      </c>
      <c r="D35" s="2" t="s">
        <v>1098</v>
      </c>
      <c r="E35" s="2" t="str">
        <f t="shared" si="1"/>
        <v>Email Available</v>
      </c>
      <c r="F35" s="2" t="s">
        <v>1099</v>
      </c>
      <c r="G35" s="2" t="s">
        <v>58</v>
      </c>
      <c r="H35" s="2" t="s">
        <v>23</v>
      </c>
      <c r="I35" s="2" t="s">
        <v>59</v>
      </c>
      <c r="J35" s="2">
        <v>2</v>
      </c>
      <c r="K35" s="2">
        <v>9.99</v>
      </c>
      <c r="L35" s="2" t="s">
        <v>39</v>
      </c>
      <c r="M35" s="2">
        <v>0</v>
      </c>
      <c r="N35" s="2">
        <v>0</v>
      </c>
      <c r="O35" s="2">
        <v>19.98</v>
      </c>
      <c r="P35" s="2" t="s">
        <v>74</v>
      </c>
      <c r="Q35" s="2" t="s">
        <v>28</v>
      </c>
      <c r="R35" s="2" t="s">
        <v>29</v>
      </c>
      <c r="S35" s="2" t="s">
        <v>30</v>
      </c>
      <c r="T35" s="2" t="s">
        <v>145</v>
      </c>
      <c r="U35" s="2" t="str">
        <f t="shared" si="2"/>
        <v>Valid</v>
      </c>
      <c r="V35" s="2" t="s">
        <v>3958</v>
      </c>
    </row>
    <row r="36" spans="1:22" hidden="1" x14ac:dyDescent="0.3">
      <c r="A36" s="2" t="s">
        <v>4000</v>
      </c>
      <c r="B36" s="12">
        <f t="shared" si="0"/>
        <v>46238.582898564811</v>
      </c>
      <c r="C36" s="13">
        <v>46238.582898564811</v>
      </c>
      <c r="D36" s="2" t="s">
        <v>4001</v>
      </c>
      <c r="E36" s="2" t="str">
        <f t="shared" si="1"/>
        <v>Email Available</v>
      </c>
      <c r="F36" s="2" t="s">
        <v>4002</v>
      </c>
      <c r="G36" s="2" t="s">
        <v>266</v>
      </c>
      <c r="H36" s="2" t="s">
        <v>37</v>
      </c>
      <c r="I36" s="2" t="s">
        <v>267</v>
      </c>
      <c r="J36" s="2">
        <v>1</v>
      </c>
      <c r="K36" s="2">
        <v>15.49</v>
      </c>
      <c r="L36" s="2"/>
      <c r="M36" s="2">
        <v>0</v>
      </c>
      <c r="N36" s="2">
        <v>4.99</v>
      </c>
      <c r="O36" s="2">
        <v>20.48</v>
      </c>
      <c r="P36" s="2" t="s">
        <v>74</v>
      </c>
      <c r="Q36" s="2" t="s">
        <v>90</v>
      </c>
      <c r="R36" s="2" t="s">
        <v>52</v>
      </c>
      <c r="S36" s="2" t="s">
        <v>108</v>
      </c>
      <c r="T36" s="2"/>
      <c r="U36" s="2" t="str">
        <f t="shared" si="2"/>
        <v>Not Required</v>
      </c>
      <c r="V36" s="2" t="s">
        <v>4003</v>
      </c>
    </row>
    <row r="37" spans="1:22" hidden="1" x14ac:dyDescent="0.3">
      <c r="A37" s="2" t="s">
        <v>4151</v>
      </c>
      <c r="B37" s="12">
        <f t="shared" si="0"/>
        <v>46238</v>
      </c>
      <c r="C37" s="13" t="s">
        <v>2780</v>
      </c>
      <c r="D37" s="2" t="s">
        <v>1089</v>
      </c>
      <c r="E37" s="2" t="str">
        <f t="shared" si="1"/>
        <v>Email Available</v>
      </c>
      <c r="F37" s="2" t="s">
        <v>595</v>
      </c>
      <c r="G37" s="2" t="s">
        <v>48</v>
      </c>
      <c r="H37" s="2" t="s">
        <v>49</v>
      </c>
      <c r="I37" s="2" t="s">
        <v>50</v>
      </c>
      <c r="J37" s="2">
        <v>1</v>
      </c>
      <c r="K37" s="2">
        <v>39.99</v>
      </c>
      <c r="L37" s="2" t="s">
        <v>208</v>
      </c>
      <c r="M37" s="2">
        <v>6</v>
      </c>
      <c r="N37" s="2">
        <v>7.99</v>
      </c>
      <c r="O37" s="2">
        <v>41.98</v>
      </c>
      <c r="P37" s="2" t="s">
        <v>27</v>
      </c>
      <c r="Q37" s="2" t="s">
        <v>90</v>
      </c>
      <c r="R37" s="2" t="s">
        <v>42</v>
      </c>
      <c r="S37" s="2" t="s">
        <v>30</v>
      </c>
      <c r="T37" s="2" t="s">
        <v>454</v>
      </c>
      <c r="U37" s="2" t="str">
        <f t="shared" si="2"/>
        <v>Valid</v>
      </c>
      <c r="V37" s="2" t="s">
        <v>4152</v>
      </c>
    </row>
    <row r="38" spans="1:22" hidden="1" x14ac:dyDescent="0.3">
      <c r="A38" s="2" t="s">
        <v>4246</v>
      </c>
      <c r="B38" s="12">
        <f t="shared" si="0"/>
        <v>46238.586556284718</v>
      </c>
      <c r="C38" s="13">
        <v>46238.586556284718</v>
      </c>
      <c r="D38" s="2" t="s">
        <v>3407</v>
      </c>
      <c r="E38" s="2" t="str">
        <f t="shared" si="1"/>
        <v>Email Available</v>
      </c>
      <c r="F38" s="2" t="s">
        <v>3408</v>
      </c>
      <c r="G38" s="2" t="s">
        <v>272</v>
      </c>
      <c r="H38" s="2" t="s">
        <v>23</v>
      </c>
      <c r="I38" s="2" t="s">
        <v>273</v>
      </c>
      <c r="J38" s="2">
        <v>1</v>
      </c>
      <c r="K38" s="2">
        <v>18.989999999999998</v>
      </c>
      <c r="L38" s="2" t="s">
        <v>39</v>
      </c>
      <c r="M38" s="2">
        <v>0</v>
      </c>
      <c r="N38" s="2">
        <v>0</v>
      </c>
      <c r="O38" s="2">
        <v>18.989999999999998</v>
      </c>
      <c r="P38" s="2" t="s">
        <v>27</v>
      </c>
      <c r="Q38" s="2" t="s">
        <v>90</v>
      </c>
      <c r="R38" s="2" t="s">
        <v>52</v>
      </c>
      <c r="S38" s="2" t="s">
        <v>337</v>
      </c>
      <c r="T38" s="2"/>
      <c r="U38" s="2" t="str">
        <f t="shared" si="2"/>
        <v>Not Required</v>
      </c>
      <c r="V38" s="2" t="s">
        <v>4247</v>
      </c>
    </row>
    <row r="39" spans="1:22" hidden="1" x14ac:dyDescent="0.3">
      <c r="A39" s="2" t="s">
        <v>4323</v>
      </c>
      <c r="B39" s="12">
        <f t="shared" si="0"/>
        <v>46238.586487581022</v>
      </c>
      <c r="C39" s="13">
        <v>46238.586487581022</v>
      </c>
      <c r="D39" s="2" t="s">
        <v>797</v>
      </c>
      <c r="E39" s="2" t="str">
        <f t="shared" si="1"/>
        <v>Email Available</v>
      </c>
      <c r="F39" s="2" t="s">
        <v>798</v>
      </c>
      <c r="G39" s="2" t="s">
        <v>105</v>
      </c>
      <c r="H39" s="2" t="s">
        <v>106</v>
      </c>
      <c r="I39" s="2" t="s">
        <v>107</v>
      </c>
      <c r="J39" s="2">
        <v>1</v>
      </c>
      <c r="K39" s="2">
        <v>19.989999999999998</v>
      </c>
      <c r="L39" s="2"/>
      <c r="M39" s="2">
        <v>0</v>
      </c>
      <c r="N39" s="2">
        <v>4.99</v>
      </c>
      <c r="O39" s="2">
        <v>24.98</v>
      </c>
      <c r="P39" s="2" t="s">
        <v>27</v>
      </c>
      <c r="Q39" s="2" t="s">
        <v>28</v>
      </c>
      <c r="R39" s="2" t="s">
        <v>42</v>
      </c>
      <c r="S39" s="2" t="s">
        <v>337</v>
      </c>
      <c r="T39" s="2"/>
      <c r="U39" s="2" t="str">
        <f t="shared" si="2"/>
        <v>Not Required</v>
      </c>
      <c r="V39" s="2" t="s">
        <v>4324</v>
      </c>
    </row>
    <row r="40" spans="1:22" x14ac:dyDescent="0.3">
      <c r="A40" s="2" t="s">
        <v>4372</v>
      </c>
      <c r="B40" s="12">
        <f t="shared" si="0"/>
        <v>46120</v>
      </c>
      <c r="C40" s="13" t="s">
        <v>142</v>
      </c>
      <c r="D40" s="2" t="s">
        <v>345</v>
      </c>
      <c r="E40" s="2" t="str">
        <f t="shared" si="1"/>
        <v>Missing Email</v>
      </c>
      <c r="F40" s="2"/>
      <c r="G40" s="2" t="s">
        <v>133</v>
      </c>
      <c r="H40" s="2" t="s">
        <v>106</v>
      </c>
      <c r="I40" s="2" t="s">
        <v>134</v>
      </c>
      <c r="J40" s="2">
        <v>1</v>
      </c>
      <c r="K40" s="2">
        <v>16.989999999999998</v>
      </c>
      <c r="L40" s="2"/>
      <c r="M40" s="2">
        <v>0</v>
      </c>
      <c r="N40" s="2">
        <v>7.99</v>
      </c>
      <c r="O40" s="2">
        <v>24.98</v>
      </c>
      <c r="P40" s="2" t="s">
        <v>68</v>
      </c>
      <c r="Q40" s="2" t="s">
        <v>114</v>
      </c>
      <c r="R40" s="2" t="s">
        <v>99</v>
      </c>
      <c r="S40" s="2" t="s">
        <v>30</v>
      </c>
      <c r="T40" s="2" t="s">
        <v>60</v>
      </c>
      <c r="U40" s="2" t="str">
        <f t="shared" si="2"/>
        <v>Valid</v>
      </c>
      <c r="V40" s="2" t="s">
        <v>3751</v>
      </c>
    </row>
    <row r="41" spans="1:22" hidden="1" x14ac:dyDescent="0.3">
      <c r="A41" s="2" t="s">
        <v>4536</v>
      </c>
      <c r="B41" s="12">
        <f>DATE(VALUE(RIGHT(C41,4)),MATCH(LEFT(C41,3),{"Jan","Feb","Mar","Apr","May","Jun","Jul","Aug","Sep","Oct","Nov","Dec"},0),VALUE(MID(C41,5,2)))</f>
        <v>46238</v>
      </c>
      <c r="C41" s="13" t="s">
        <v>176</v>
      </c>
      <c r="D41" s="2" t="s">
        <v>4537</v>
      </c>
      <c r="E41" s="2" t="str">
        <f t="shared" si="1"/>
        <v>Email Available</v>
      </c>
      <c r="F41" s="2" t="s">
        <v>4538</v>
      </c>
      <c r="G41" s="2" t="s">
        <v>368</v>
      </c>
      <c r="H41" s="2" t="s">
        <v>88</v>
      </c>
      <c r="I41" s="2" t="s">
        <v>369</v>
      </c>
      <c r="J41" s="2">
        <v>1</v>
      </c>
      <c r="K41" s="2">
        <v>54.99</v>
      </c>
      <c r="L41" s="2"/>
      <c r="M41" s="2">
        <v>0</v>
      </c>
      <c r="N41" s="2">
        <v>7.99</v>
      </c>
      <c r="O41" s="2">
        <v>62.98</v>
      </c>
      <c r="P41" s="2" t="s">
        <v>74</v>
      </c>
      <c r="Q41" s="2" t="s">
        <v>90</v>
      </c>
      <c r="R41" s="2" t="s">
        <v>52</v>
      </c>
      <c r="S41" s="2" t="s">
        <v>337</v>
      </c>
      <c r="T41" s="2"/>
      <c r="U41" s="2" t="str">
        <f t="shared" si="2"/>
        <v>Not Required</v>
      </c>
      <c r="V41" s="2" t="s">
        <v>4539</v>
      </c>
    </row>
    <row r="42" spans="1:22" hidden="1" x14ac:dyDescent="0.3">
      <c r="A42" s="2" t="s">
        <v>4587</v>
      </c>
      <c r="B42" s="12">
        <f t="shared" si="0"/>
        <v>46120</v>
      </c>
      <c r="C42" s="13" t="s">
        <v>142</v>
      </c>
      <c r="D42" s="2" t="s">
        <v>401</v>
      </c>
      <c r="E42" s="2" t="str">
        <f t="shared" si="1"/>
        <v>Email Available</v>
      </c>
      <c r="F42" s="2" t="s">
        <v>402</v>
      </c>
      <c r="G42" s="2" t="s">
        <v>65</v>
      </c>
      <c r="H42" s="2" t="s">
        <v>49</v>
      </c>
      <c r="I42" s="2" t="s">
        <v>453</v>
      </c>
      <c r="J42" s="2">
        <v>1</v>
      </c>
      <c r="K42" s="2">
        <v>14.99</v>
      </c>
      <c r="L42" s="2" t="s">
        <v>208</v>
      </c>
      <c r="M42" s="2">
        <v>2.25</v>
      </c>
      <c r="N42" s="2">
        <v>5.99</v>
      </c>
      <c r="O42" s="2">
        <v>18.73</v>
      </c>
      <c r="P42" s="2" t="s">
        <v>27</v>
      </c>
      <c r="Q42" s="2" t="s">
        <v>28</v>
      </c>
      <c r="R42" s="2" t="s">
        <v>52</v>
      </c>
      <c r="S42" s="2" t="s">
        <v>75</v>
      </c>
      <c r="T42" s="2"/>
      <c r="U42" s="2" t="str">
        <f t="shared" si="2"/>
        <v>Not Required</v>
      </c>
      <c r="V42" s="2" t="s">
        <v>4588</v>
      </c>
    </row>
    <row r="43" spans="1:22" hidden="1" x14ac:dyDescent="0.3">
      <c r="A43" s="2" t="s">
        <v>4662</v>
      </c>
      <c r="B43" s="12">
        <f t="shared" si="0"/>
        <v>46238.588057523149</v>
      </c>
      <c r="C43" s="13">
        <v>46238.588057523149</v>
      </c>
      <c r="D43" s="2" t="s">
        <v>3566</v>
      </c>
      <c r="E43" s="2" t="str">
        <f t="shared" si="1"/>
        <v>Email Available</v>
      </c>
      <c r="F43" s="2" t="s">
        <v>2292</v>
      </c>
      <c r="G43" s="2" t="s">
        <v>157</v>
      </c>
      <c r="H43" s="2" t="s">
        <v>37</v>
      </c>
      <c r="I43" s="2" t="s">
        <v>158</v>
      </c>
      <c r="J43" s="2">
        <v>1</v>
      </c>
      <c r="K43" s="2">
        <v>29.99</v>
      </c>
      <c r="L43" s="2"/>
      <c r="M43" s="2">
        <v>0</v>
      </c>
      <c r="N43" s="2">
        <v>5.99</v>
      </c>
      <c r="O43" s="2" t="s">
        <v>792</v>
      </c>
      <c r="P43" s="2" t="s">
        <v>68</v>
      </c>
      <c r="Q43" s="2" t="s">
        <v>114</v>
      </c>
      <c r="R43" s="2" t="s">
        <v>52</v>
      </c>
      <c r="S43" s="2" t="s">
        <v>228</v>
      </c>
      <c r="T43" s="2"/>
      <c r="U43" s="2" t="str">
        <f t="shared" si="2"/>
        <v>Not Required</v>
      </c>
      <c r="V43" s="2" t="s">
        <v>4663</v>
      </c>
    </row>
    <row r="44" spans="1:22" hidden="1" x14ac:dyDescent="0.3">
      <c r="A44" s="2" t="s">
        <v>4693</v>
      </c>
      <c r="B44" s="12">
        <f t="shared" si="0"/>
        <v>46238.583656817129</v>
      </c>
      <c r="C44" s="13">
        <v>46238.583656817129</v>
      </c>
      <c r="D44" s="2" t="s">
        <v>345</v>
      </c>
      <c r="E44" s="2" t="str">
        <f t="shared" si="1"/>
        <v>Email Available</v>
      </c>
      <c r="F44" s="2" t="s">
        <v>452</v>
      </c>
      <c r="G44" s="2" t="s">
        <v>206</v>
      </c>
      <c r="H44" s="2" t="s">
        <v>196</v>
      </c>
      <c r="I44" s="2" t="s">
        <v>207</v>
      </c>
      <c r="J44" s="2">
        <v>1</v>
      </c>
      <c r="K44" s="2">
        <v>24.99</v>
      </c>
      <c r="L44" s="2"/>
      <c r="M44" s="2">
        <v>0</v>
      </c>
      <c r="N44" s="2">
        <v>4.99</v>
      </c>
      <c r="O44" s="2">
        <v>29.98</v>
      </c>
      <c r="P44" s="2" t="s">
        <v>51</v>
      </c>
      <c r="Q44" s="2" t="s">
        <v>41</v>
      </c>
      <c r="R44" s="2" t="s">
        <v>52</v>
      </c>
      <c r="S44" s="2" t="s">
        <v>30</v>
      </c>
      <c r="T44" s="2" t="s">
        <v>139</v>
      </c>
      <c r="U44" s="2" t="str">
        <f t="shared" si="2"/>
        <v>Valid</v>
      </c>
      <c r="V44" s="2" t="s">
        <v>4694</v>
      </c>
    </row>
    <row r="45" spans="1:22" hidden="1" x14ac:dyDescent="0.3">
      <c r="A45" s="2" t="s">
        <v>4781</v>
      </c>
      <c r="B45" s="12">
        <f t="shared" si="0"/>
        <v>46238.581677106478</v>
      </c>
      <c r="C45" s="13">
        <v>46238.581677106478</v>
      </c>
      <c r="D45" s="2" t="s">
        <v>681</v>
      </c>
      <c r="E45" s="2" t="str">
        <f t="shared" si="1"/>
        <v>Email Available</v>
      </c>
      <c r="F45" s="2" t="s">
        <v>682</v>
      </c>
      <c r="G45" s="2" t="s">
        <v>65</v>
      </c>
      <c r="H45" s="2" t="s">
        <v>49</v>
      </c>
      <c r="I45" s="2" t="s">
        <v>453</v>
      </c>
      <c r="J45" s="2">
        <v>1</v>
      </c>
      <c r="K45" s="2">
        <v>14.99</v>
      </c>
      <c r="L45" s="2" t="s">
        <v>121</v>
      </c>
      <c r="M45" s="2">
        <v>3.75</v>
      </c>
      <c r="N45" s="2">
        <v>7.99</v>
      </c>
      <c r="O45" s="2">
        <v>19.23</v>
      </c>
      <c r="P45" s="2" t="s">
        <v>40</v>
      </c>
      <c r="Q45" s="2" t="s">
        <v>114</v>
      </c>
      <c r="R45" s="2" t="s">
        <v>29</v>
      </c>
      <c r="S45" s="2" t="s">
        <v>75</v>
      </c>
      <c r="T45" s="2"/>
      <c r="U45" s="2" t="str">
        <f t="shared" si="2"/>
        <v>Not Required</v>
      </c>
      <c r="V45" s="2" t="s">
        <v>4782</v>
      </c>
    </row>
    <row r="46" spans="1:22" hidden="1" x14ac:dyDescent="0.3">
      <c r="A46" s="2" t="s">
        <v>4903</v>
      </c>
      <c r="B46" s="12">
        <f t="shared" si="0"/>
        <v>46238</v>
      </c>
      <c r="C46" s="13" t="s">
        <v>148</v>
      </c>
      <c r="D46" s="2" t="s">
        <v>4904</v>
      </c>
      <c r="E46" s="2" t="str">
        <f t="shared" si="1"/>
        <v>Email Available</v>
      </c>
      <c r="F46" s="2" t="s">
        <v>350</v>
      </c>
      <c r="G46" s="2" t="s">
        <v>195</v>
      </c>
      <c r="H46" s="2" t="s">
        <v>196</v>
      </c>
      <c r="I46" s="2" t="s">
        <v>197</v>
      </c>
      <c r="J46" s="2">
        <v>1</v>
      </c>
      <c r="K46" s="2" t="s">
        <v>957</v>
      </c>
      <c r="L46" s="2"/>
      <c r="M46" s="2">
        <v>0</v>
      </c>
      <c r="N46" s="2">
        <v>5.99</v>
      </c>
      <c r="O46" s="2">
        <v>19.48</v>
      </c>
      <c r="P46" s="2" t="s">
        <v>68</v>
      </c>
      <c r="Q46" s="2" t="s">
        <v>41</v>
      </c>
      <c r="R46" s="2" t="s">
        <v>52</v>
      </c>
      <c r="S46" s="2" t="s">
        <v>30</v>
      </c>
      <c r="T46" s="2" t="s">
        <v>115</v>
      </c>
      <c r="U46" s="2" t="str">
        <f t="shared" si="2"/>
        <v>Valid</v>
      </c>
      <c r="V46" s="2" t="s">
        <v>4905</v>
      </c>
    </row>
    <row r="47" spans="1:22" hidden="1" x14ac:dyDescent="0.3">
      <c r="A47" s="2" t="s">
        <v>4997</v>
      </c>
      <c r="B47" s="12">
        <f t="shared" si="0"/>
        <v>46238.581379120369</v>
      </c>
      <c r="C47" s="13">
        <v>46238.581379120369</v>
      </c>
      <c r="D47" s="2" t="s">
        <v>1220</v>
      </c>
      <c r="E47" s="2" t="str">
        <f t="shared" si="1"/>
        <v>Email Available</v>
      </c>
      <c r="F47" s="2" t="s">
        <v>1221</v>
      </c>
      <c r="G47" s="2" t="s">
        <v>65</v>
      </c>
      <c r="H47" s="2" t="s">
        <v>49</v>
      </c>
      <c r="I47" s="2" t="s">
        <v>453</v>
      </c>
      <c r="J47" s="2">
        <v>4</v>
      </c>
      <c r="K47" s="2">
        <v>14.99</v>
      </c>
      <c r="L47" s="2" t="s">
        <v>25</v>
      </c>
      <c r="M47" s="2">
        <v>11.99</v>
      </c>
      <c r="N47" s="2">
        <v>7.99</v>
      </c>
      <c r="O47" s="2">
        <v>55.96</v>
      </c>
      <c r="P47" s="2" t="s">
        <v>74</v>
      </c>
      <c r="Q47" s="2" t="s">
        <v>28</v>
      </c>
      <c r="R47" s="2" t="s">
        <v>99</v>
      </c>
      <c r="S47" s="2" t="s">
        <v>75</v>
      </c>
      <c r="T47" s="2"/>
      <c r="U47" s="2" t="str">
        <f t="shared" si="2"/>
        <v>Not Required</v>
      </c>
      <c r="V47" s="2" t="s">
        <v>4998</v>
      </c>
    </row>
    <row r="48" spans="1:22" hidden="1" x14ac:dyDescent="0.3">
      <c r="A48" s="2" t="s">
        <v>5045</v>
      </c>
      <c r="B48" s="12">
        <f t="shared" si="0"/>
        <v>46238.586878587957</v>
      </c>
      <c r="C48" s="13">
        <v>46238.586878587957</v>
      </c>
      <c r="D48" s="2" t="s">
        <v>948</v>
      </c>
      <c r="E48" s="2" t="str">
        <f t="shared" si="1"/>
        <v>Email Available</v>
      </c>
      <c r="F48" s="2" t="s">
        <v>949</v>
      </c>
      <c r="G48" s="2" t="s">
        <v>5046</v>
      </c>
      <c r="H48" s="2" t="s">
        <v>23</v>
      </c>
      <c r="I48" s="2" t="s">
        <v>59</v>
      </c>
      <c r="J48" s="2">
        <v>2</v>
      </c>
      <c r="K48" s="2">
        <v>9.99</v>
      </c>
      <c r="L48" s="2" t="s">
        <v>208</v>
      </c>
      <c r="M48" s="2">
        <v>3</v>
      </c>
      <c r="N48" s="2">
        <v>7.99</v>
      </c>
      <c r="O48" s="2">
        <v>24.97</v>
      </c>
      <c r="P48" s="2" t="s">
        <v>27</v>
      </c>
      <c r="Q48" s="2" t="s">
        <v>28</v>
      </c>
      <c r="R48" s="2" t="s">
        <v>99</v>
      </c>
      <c r="S48" s="2" t="s">
        <v>30</v>
      </c>
      <c r="T48" s="2" t="s">
        <v>347</v>
      </c>
      <c r="U48" s="2" t="str">
        <f t="shared" si="2"/>
        <v>Valid</v>
      </c>
      <c r="V48" s="2" t="s">
        <v>5047</v>
      </c>
    </row>
    <row r="49" spans="1:22" hidden="1" x14ac:dyDescent="0.3">
      <c r="A49" s="2" t="s">
        <v>3957</v>
      </c>
      <c r="B49" s="12">
        <f t="shared" si="0"/>
        <v>46238.579977743058</v>
      </c>
      <c r="C49" s="13">
        <v>46238.579977743058</v>
      </c>
      <c r="D49" s="2" t="s">
        <v>1098</v>
      </c>
      <c r="E49" s="2" t="str">
        <f t="shared" si="1"/>
        <v>Email Available</v>
      </c>
      <c r="F49" s="2" t="s">
        <v>1099</v>
      </c>
      <c r="G49" s="2" t="s">
        <v>58</v>
      </c>
      <c r="H49" s="2" t="s">
        <v>23</v>
      </c>
      <c r="I49" s="2" t="s">
        <v>59</v>
      </c>
      <c r="J49" s="2">
        <v>2</v>
      </c>
      <c r="K49" s="2" t="s">
        <v>213</v>
      </c>
      <c r="L49" s="2" t="s">
        <v>39</v>
      </c>
      <c r="M49" s="2">
        <v>0</v>
      </c>
      <c r="N49" s="2">
        <v>0</v>
      </c>
      <c r="O49" s="2">
        <v>19.98</v>
      </c>
      <c r="P49" s="2" t="s">
        <v>74</v>
      </c>
      <c r="Q49" s="2" t="s">
        <v>28</v>
      </c>
      <c r="R49" s="2" t="s">
        <v>29</v>
      </c>
      <c r="S49" s="2" t="s">
        <v>30</v>
      </c>
      <c r="T49" s="2" t="s">
        <v>145</v>
      </c>
      <c r="U49" s="2" t="str">
        <f t="shared" si="2"/>
        <v>Valid</v>
      </c>
      <c r="V49" s="2" t="s">
        <v>3958</v>
      </c>
    </row>
    <row r="50" spans="1:22" x14ac:dyDescent="0.3">
      <c r="A50" s="2" t="s">
        <v>4693</v>
      </c>
      <c r="B50" s="12">
        <f t="shared" si="0"/>
        <v>46238</v>
      </c>
      <c r="C50" s="13" t="s">
        <v>148</v>
      </c>
      <c r="D50" s="2" t="s">
        <v>345</v>
      </c>
      <c r="E50" s="2" t="str">
        <f t="shared" si="1"/>
        <v>Missing Email</v>
      </c>
      <c r="F50" s="2"/>
      <c r="G50" s="2" t="s">
        <v>206</v>
      </c>
      <c r="H50" s="2" t="s">
        <v>196</v>
      </c>
      <c r="I50" s="2" t="s">
        <v>207</v>
      </c>
      <c r="J50" s="2">
        <v>1</v>
      </c>
      <c r="K50" s="2" t="s">
        <v>1229</v>
      </c>
      <c r="L50" s="2"/>
      <c r="M50" s="2">
        <v>0</v>
      </c>
      <c r="N50" s="2">
        <v>4.99</v>
      </c>
      <c r="O50" s="2">
        <v>29.98</v>
      </c>
      <c r="P50" s="2" t="s">
        <v>51</v>
      </c>
      <c r="Q50" s="2" t="s">
        <v>41</v>
      </c>
      <c r="R50" s="2" t="s">
        <v>52</v>
      </c>
      <c r="S50" s="2" t="s">
        <v>30</v>
      </c>
      <c r="T50" s="2" t="s">
        <v>347</v>
      </c>
      <c r="U50" s="2" t="str">
        <f t="shared" si="2"/>
        <v>Valid</v>
      </c>
      <c r="V50" s="2" t="s">
        <v>4694</v>
      </c>
    </row>
    <row r="51" spans="1:22" hidden="1" x14ac:dyDescent="0.3">
      <c r="A51" s="2" t="s">
        <v>2338</v>
      </c>
      <c r="B51" s="12">
        <f t="shared" si="0"/>
        <v>46120</v>
      </c>
      <c r="C51" s="13" t="s">
        <v>142</v>
      </c>
      <c r="D51" s="2" t="s">
        <v>5222</v>
      </c>
      <c r="E51" s="2" t="str">
        <f t="shared" si="1"/>
        <v>Email Available</v>
      </c>
      <c r="F51" s="2" t="s">
        <v>2340</v>
      </c>
      <c r="G51" s="2" t="s">
        <v>187</v>
      </c>
      <c r="H51" s="2" t="s">
        <v>37</v>
      </c>
      <c r="I51" s="2" t="s">
        <v>188</v>
      </c>
      <c r="J51" s="2">
        <v>2</v>
      </c>
      <c r="K51" s="2">
        <v>11.99</v>
      </c>
      <c r="L51" s="2"/>
      <c r="M51" s="2">
        <v>0</v>
      </c>
      <c r="N51" s="2">
        <v>7.99</v>
      </c>
      <c r="O51" s="2">
        <v>31.97</v>
      </c>
      <c r="P51" s="2" t="s">
        <v>68</v>
      </c>
      <c r="Q51" s="2" t="s">
        <v>41</v>
      </c>
      <c r="R51" s="2" t="s">
        <v>99</v>
      </c>
      <c r="S51" s="2" t="s">
        <v>337</v>
      </c>
      <c r="T51" s="2"/>
      <c r="U51" s="2" t="str">
        <f t="shared" si="2"/>
        <v>Not Required</v>
      </c>
      <c r="V51" s="2" t="s">
        <v>2341</v>
      </c>
    </row>
    <row r="52" spans="1:22" hidden="1" x14ac:dyDescent="0.3">
      <c r="A52" s="2" t="s">
        <v>3485</v>
      </c>
      <c r="B52" s="12">
        <f>DATE(VALUE(RIGHT(C52,4)),MATCH(LEFT(C52,3),{"Jan","Feb","Mar","Apr","May","Jun","Jul","Aug","Sep","Oct","Nov","Dec"},0),VALUE(MID(C52,5,2)))</f>
        <v>46238</v>
      </c>
      <c r="C52" s="13" t="s">
        <v>176</v>
      </c>
      <c r="D52" s="2" t="s">
        <v>2657</v>
      </c>
      <c r="E52" s="2" t="str">
        <f t="shared" si="1"/>
        <v>Email Available</v>
      </c>
      <c r="F52" s="2" t="s">
        <v>2658</v>
      </c>
      <c r="G52" s="2" t="s">
        <v>112</v>
      </c>
      <c r="H52" s="2" t="s">
        <v>81</v>
      </c>
      <c r="I52" s="2" t="s">
        <v>113</v>
      </c>
      <c r="J52" s="2">
        <v>1</v>
      </c>
      <c r="K52" s="2">
        <v>22.99</v>
      </c>
      <c r="L52" s="2" t="s">
        <v>208</v>
      </c>
      <c r="M52" s="2">
        <v>3.45</v>
      </c>
      <c r="N52" s="2">
        <v>5.99</v>
      </c>
      <c r="O52" s="2">
        <v>25.53</v>
      </c>
      <c r="P52" s="2" t="s">
        <v>51</v>
      </c>
      <c r="Q52" s="2" t="s">
        <v>90</v>
      </c>
      <c r="R52" s="2" t="s">
        <v>99</v>
      </c>
      <c r="S52" s="2" t="s">
        <v>30</v>
      </c>
      <c r="T52" s="2" t="s">
        <v>145</v>
      </c>
      <c r="U52" s="2" t="str">
        <f t="shared" si="2"/>
        <v>Valid</v>
      </c>
      <c r="V52" s="2" t="s">
        <v>3487</v>
      </c>
    </row>
    <row r="53" spans="1:22" hidden="1" x14ac:dyDescent="0.3">
      <c r="A53" s="2" t="s">
        <v>1188</v>
      </c>
      <c r="B53" s="12">
        <f t="shared" si="0"/>
        <v>46238.586282314813</v>
      </c>
      <c r="C53" s="13">
        <v>46238.586282314813</v>
      </c>
      <c r="D53" s="2" t="s">
        <v>1189</v>
      </c>
      <c r="E53" s="2" t="str">
        <f t="shared" si="1"/>
        <v>Email Available</v>
      </c>
      <c r="F53" s="2" t="s">
        <v>1190</v>
      </c>
      <c r="G53" s="2" t="s">
        <v>133</v>
      </c>
      <c r="H53" s="2" t="s">
        <v>106</v>
      </c>
      <c r="I53" s="2" t="s">
        <v>134</v>
      </c>
      <c r="J53" s="2">
        <v>1</v>
      </c>
      <c r="K53" s="2">
        <v>16.989999999999998</v>
      </c>
      <c r="L53" s="2"/>
      <c r="M53" s="2">
        <v>0</v>
      </c>
      <c r="N53" s="2">
        <v>5.99</v>
      </c>
      <c r="O53" s="2">
        <v>22.98</v>
      </c>
      <c r="P53" s="2" t="s">
        <v>74</v>
      </c>
      <c r="Q53" s="2" t="s">
        <v>28</v>
      </c>
      <c r="R53" s="2" t="s">
        <v>52</v>
      </c>
      <c r="S53" s="2" t="s">
        <v>43</v>
      </c>
      <c r="T53" s="2"/>
      <c r="U53" s="2" t="str">
        <f t="shared" si="2"/>
        <v>Not Required</v>
      </c>
      <c r="V53" s="2" t="s">
        <v>1191</v>
      </c>
    </row>
    <row r="54" spans="1:22" hidden="1" x14ac:dyDescent="0.3">
      <c r="A54" s="2" t="s">
        <v>2489</v>
      </c>
      <c r="B54" s="12">
        <f t="shared" si="0"/>
        <v>46238.579959166673</v>
      </c>
      <c r="C54" s="13">
        <v>46238.579959166673</v>
      </c>
      <c r="D54" s="2" t="s">
        <v>5223</v>
      </c>
      <c r="E54" s="2" t="str">
        <f t="shared" si="1"/>
        <v>Email Available</v>
      </c>
      <c r="F54" s="2" t="s">
        <v>64</v>
      </c>
      <c r="G54" s="2" t="s">
        <v>368</v>
      </c>
      <c r="H54" s="2" t="s">
        <v>88</v>
      </c>
      <c r="I54" s="2" t="s">
        <v>369</v>
      </c>
      <c r="J54" s="2">
        <v>1</v>
      </c>
      <c r="K54" s="2">
        <v>54.99</v>
      </c>
      <c r="L54" s="2"/>
      <c r="M54" s="2">
        <v>0</v>
      </c>
      <c r="N54" s="2">
        <v>4.99</v>
      </c>
      <c r="O54" s="2">
        <v>59.98</v>
      </c>
      <c r="P54" s="2" t="s">
        <v>40</v>
      </c>
      <c r="Q54" s="2" t="s">
        <v>114</v>
      </c>
      <c r="R54" s="2" t="s">
        <v>52</v>
      </c>
      <c r="S54" s="2" t="s">
        <v>30</v>
      </c>
      <c r="T54" s="2" t="s">
        <v>347</v>
      </c>
      <c r="U54" s="2" t="str">
        <f t="shared" si="2"/>
        <v>Valid</v>
      </c>
      <c r="V54" s="2" t="s">
        <v>2490</v>
      </c>
    </row>
    <row r="55" spans="1:22" hidden="1" x14ac:dyDescent="0.3">
      <c r="A55" s="2" t="s">
        <v>3309</v>
      </c>
      <c r="B55" s="12">
        <f t="shared" si="0"/>
        <v>46120</v>
      </c>
      <c r="C55" s="13" t="s">
        <v>142</v>
      </c>
      <c r="D55" s="2" t="s">
        <v>5224</v>
      </c>
      <c r="E55" s="2" t="str">
        <f t="shared" si="1"/>
        <v>Email Available</v>
      </c>
      <c r="F55" s="2" t="s">
        <v>1060</v>
      </c>
      <c r="G55" s="2" t="s">
        <v>315</v>
      </c>
      <c r="H55" s="2" t="s">
        <v>37</v>
      </c>
      <c r="I55" s="2" t="s">
        <v>316</v>
      </c>
      <c r="J55" s="2">
        <v>1</v>
      </c>
      <c r="K55" s="2">
        <v>8.99</v>
      </c>
      <c r="L55" s="2"/>
      <c r="M55" s="2">
        <v>0</v>
      </c>
      <c r="N55" s="2">
        <v>5.99</v>
      </c>
      <c r="O55" s="2">
        <v>749</v>
      </c>
      <c r="P55" s="2" t="s">
        <v>40</v>
      </c>
      <c r="Q55" s="2" t="s">
        <v>114</v>
      </c>
      <c r="R55" s="2" t="s">
        <v>42</v>
      </c>
      <c r="S55" s="2" t="s">
        <v>108</v>
      </c>
      <c r="T55" s="2"/>
      <c r="U55" s="2" t="str">
        <f t="shared" si="2"/>
        <v>Not Required</v>
      </c>
      <c r="V55" s="2" t="s">
        <v>3310</v>
      </c>
    </row>
    <row r="56" spans="1:22" hidden="1" x14ac:dyDescent="0.3">
      <c r="A56" s="2" t="s">
        <v>2688</v>
      </c>
      <c r="B56" s="12">
        <f t="shared" si="0"/>
        <v>46238.579465891213</v>
      </c>
      <c r="C56" s="13">
        <v>46238.579465891213</v>
      </c>
      <c r="D56" s="2" t="s">
        <v>2689</v>
      </c>
      <c r="E56" s="2" t="str">
        <f t="shared" si="1"/>
        <v>Email Available</v>
      </c>
      <c r="F56" s="2" t="s">
        <v>3519</v>
      </c>
      <c r="G56" s="2" t="s">
        <v>272</v>
      </c>
      <c r="H56" s="2" t="s">
        <v>23</v>
      </c>
      <c r="I56" s="2" t="s">
        <v>273</v>
      </c>
      <c r="J56" s="2">
        <v>1</v>
      </c>
      <c r="K56" s="2">
        <v>18.989999999999998</v>
      </c>
      <c r="L56" s="2" t="s">
        <v>39</v>
      </c>
      <c r="M56" s="2">
        <v>0</v>
      </c>
      <c r="N56" s="2">
        <v>0</v>
      </c>
      <c r="O56" s="2">
        <v>949.5</v>
      </c>
      <c r="P56" s="2" t="s">
        <v>51</v>
      </c>
      <c r="Q56" s="2" t="s">
        <v>28</v>
      </c>
      <c r="R56" s="2" t="s">
        <v>29</v>
      </c>
      <c r="S56" s="2" t="s">
        <v>30</v>
      </c>
      <c r="T56" s="2" t="s">
        <v>91</v>
      </c>
      <c r="U56" s="2" t="str">
        <f t="shared" si="2"/>
        <v>Valid</v>
      </c>
      <c r="V56" s="2" t="s">
        <v>2690</v>
      </c>
    </row>
    <row r="57" spans="1:22" hidden="1" x14ac:dyDescent="0.3">
      <c r="A57" s="2" t="s">
        <v>2673</v>
      </c>
      <c r="B57" s="12">
        <f t="shared" si="0"/>
        <v>46238.580134328702</v>
      </c>
      <c r="C57" s="13">
        <v>46238.580134328702</v>
      </c>
      <c r="D57" s="2" t="s">
        <v>1233</v>
      </c>
      <c r="E57" s="2" t="str">
        <f t="shared" si="1"/>
        <v>Email Available</v>
      </c>
      <c r="F57" s="2" t="s">
        <v>1234</v>
      </c>
      <c r="G57" s="2" t="s">
        <v>80</v>
      </c>
      <c r="H57" s="2" t="s">
        <v>81</v>
      </c>
      <c r="I57" s="2" t="s">
        <v>82</v>
      </c>
      <c r="J57" s="2">
        <v>3</v>
      </c>
      <c r="K57" s="2">
        <v>89.99</v>
      </c>
      <c r="L57" s="2" t="s">
        <v>208</v>
      </c>
      <c r="M57" s="2">
        <v>40.5</v>
      </c>
      <c r="N57" s="2">
        <v>0</v>
      </c>
      <c r="O57" s="2">
        <v>229.47</v>
      </c>
      <c r="P57" s="2" t="s">
        <v>74</v>
      </c>
      <c r="Q57" s="2" t="s">
        <v>41</v>
      </c>
      <c r="R57" s="2" t="s">
        <v>52</v>
      </c>
      <c r="S57" s="2" t="s">
        <v>228</v>
      </c>
      <c r="T57" s="2"/>
      <c r="U57" s="2" t="str">
        <f t="shared" si="2"/>
        <v>Not Required</v>
      </c>
      <c r="V57" s="2" t="s">
        <v>2674</v>
      </c>
    </row>
    <row r="58" spans="1:22" hidden="1" x14ac:dyDescent="0.3">
      <c r="A58" s="2" t="s">
        <v>4246</v>
      </c>
      <c r="B58" s="12">
        <f t="shared" si="0"/>
        <v>46238.586556284718</v>
      </c>
      <c r="C58" s="13">
        <v>46238.586556284718</v>
      </c>
      <c r="D58" s="2" t="s">
        <v>3407</v>
      </c>
      <c r="E58" s="2" t="str">
        <f t="shared" si="1"/>
        <v>Email Available</v>
      </c>
      <c r="F58" s="2" t="s">
        <v>3408</v>
      </c>
      <c r="G58" s="2" t="s">
        <v>272</v>
      </c>
      <c r="H58" s="2" t="s">
        <v>23</v>
      </c>
      <c r="I58" s="2" t="s">
        <v>273</v>
      </c>
      <c r="J58" s="2">
        <v>1</v>
      </c>
      <c r="K58" s="2">
        <v>18.989999999999998</v>
      </c>
      <c r="L58" s="2" t="s">
        <v>39</v>
      </c>
      <c r="M58" s="2">
        <v>0</v>
      </c>
      <c r="N58" s="2">
        <v>0</v>
      </c>
      <c r="O58" s="2">
        <v>18.989999999999998</v>
      </c>
      <c r="P58" s="2" t="s">
        <v>27</v>
      </c>
      <c r="Q58" s="2" t="s">
        <v>90</v>
      </c>
      <c r="R58" s="2" t="s">
        <v>52</v>
      </c>
      <c r="S58" s="2" t="s">
        <v>337</v>
      </c>
      <c r="T58" s="2"/>
      <c r="U58" s="2" t="str">
        <f t="shared" si="2"/>
        <v>Not Required</v>
      </c>
      <c r="V58" s="2" t="s">
        <v>4247</v>
      </c>
    </row>
    <row r="59" spans="1:22" hidden="1" x14ac:dyDescent="0.3">
      <c r="A59" s="2" t="s">
        <v>5045</v>
      </c>
      <c r="B59" s="12">
        <f t="shared" si="0"/>
        <v>46120</v>
      </c>
      <c r="C59" s="13" t="s">
        <v>142</v>
      </c>
      <c r="D59" s="2" t="s">
        <v>948</v>
      </c>
      <c r="E59" s="2" t="str">
        <f t="shared" si="1"/>
        <v>Email Available</v>
      </c>
      <c r="F59" s="2" t="s">
        <v>949</v>
      </c>
      <c r="G59" s="2" t="s">
        <v>58</v>
      </c>
      <c r="H59" s="2" t="s">
        <v>23</v>
      </c>
      <c r="I59" s="2" t="s">
        <v>59</v>
      </c>
      <c r="J59" s="2">
        <v>2</v>
      </c>
      <c r="K59" s="2">
        <v>9.99</v>
      </c>
      <c r="L59" s="2" t="s">
        <v>208</v>
      </c>
      <c r="M59" s="2">
        <v>3</v>
      </c>
      <c r="N59" s="2">
        <v>7.99</v>
      </c>
      <c r="O59" s="2">
        <v>24.97</v>
      </c>
      <c r="P59" s="2" t="s">
        <v>27</v>
      </c>
      <c r="Q59" s="2" t="s">
        <v>28</v>
      </c>
      <c r="R59" s="2" t="s">
        <v>99</v>
      </c>
      <c r="S59" s="2" t="s">
        <v>30</v>
      </c>
      <c r="T59" s="2" t="s">
        <v>347</v>
      </c>
      <c r="U59" s="2" t="str">
        <f t="shared" si="2"/>
        <v>Valid</v>
      </c>
      <c r="V59" s="2" t="s">
        <v>5047</v>
      </c>
    </row>
    <row r="60" spans="1:22" hidden="1" x14ac:dyDescent="0.3">
      <c r="A60" s="2" t="s">
        <v>2574</v>
      </c>
      <c r="B60" s="12">
        <f t="shared" si="0"/>
        <v>46238.583265428242</v>
      </c>
      <c r="C60" s="13">
        <v>46238.583265428242</v>
      </c>
      <c r="D60" s="2" t="s">
        <v>345</v>
      </c>
      <c r="E60" s="2" t="str">
        <f t="shared" si="1"/>
        <v>Email Available</v>
      </c>
      <c r="F60" s="2" t="s">
        <v>452</v>
      </c>
      <c r="G60" s="2" t="s">
        <v>266</v>
      </c>
      <c r="H60" s="2" t="s">
        <v>37</v>
      </c>
      <c r="I60" s="2" t="s">
        <v>267</v>
      </c>
      <c r="J60" s="2">
        <v>1</v>
      </c>
      <c r="K60" s="2">
        <v>15.49</v>
      </c>
      <c r="L60" s="2"/>
      <c r="M60" s="2">
        <v>0</v>
      </c>
      <c r="N60" s="2">
        <v>5.99</v>
      </c>
      <c r="O60" s="2" t="s">
        <v>5225</v>
      </c>
      <c r="P60" s="2" t="s">
        <v>27</v>
      </c>
      <c r="Q60" s="2" t="s">
        <v>90</v>
      </c>
      <c r="R60" s="2" t="s">
        <v>29</v>
      </c>
      <c r="S60" s="2" t="s">
        <v>30</v>
      </c>
      <c r="T60" s="2" t="s">
        <v>248</v>
      </c>
      <c r="U60" s="2" t="str">
        <f t="shared" si="2"/>
        <v>Valid</v>
      </c>
      <c r="V60" s="2" t="s">
        <v>2576</v>
      </c>
    </row>
    <row r="61" spans="1:22" hidden="1" x14ac:dyDescent="0.3">
      <c r="A61" s="2" t="s">
        <v>2887</v>
      </c>
      <c r="B61" s="12">
        <f t="shared" si="0"/>
        <v>46238.581509918979</v>
      </c>
      <c r="C61" s="13">
        <v>46238.581509918979</v>
      </c>
      <c r="D61" s="2" t="s">
        <v>536</v>
      </c>
      <c r="E61" s="2" t="str">
        <f t="shared" si="1"/>
        <v>Email Available</v>
      </c>
      <c r="F61" s="2" t="s">
        <v>537</v>
      </c>
      <c r="G61" s="2" t="s">
        <v>187</v>
      </c>
      <c r="H61" s="2" t="s">
        <v>37</v>
      </c>
      <c r="I61" s="2" t="s">
        <v>188</v>
      </c>
      <c r="J61" s="2">
        <v>1</v>
      </c>
      <c r="K61" s="2" t="s">
        <v>409</v>
      </c>
      <c r="L61" s="2" t="s">
        <v>208</v>
      </c>
      <c r="M61" s="2">
        <v>1.8</v>
      </c>
      <c r="N61" s="2">
        <v>5.99</v>
      </c>
      <c r="O61" s="2">
        <v>16.18</v>
      </c>
      <c r="P61" s="2" t="s">
        <v>74</v>
      </c>
      <c r="Q61" s="2" t="s">
        <v>28</v>
      </c>
      <c r="R61" s="2" t="s">
        <v>52</v>
      </c>
      <c r="S61" s="2" t="s">
        <v>30</v>
      </c>
      <c r="T61" s="2" t="s">
        <v>69</v>
      </c>
      <c r="U61" s="2" t="str">
        <f t="shared" si="2"/>
        <v>Valid</v>
      </c>
      <c r="V61" s="2" t="s">
        <v>2888</v>
      </c>
    </row>
    <row r="62" spans="1:22" hidden="1" x14ac:dyDescent="0.3">
      <c r="A62" s="2" t="s">
        <v>4587</v>
      </c>
      <c r="B62" s="12">
        <f t="shared" si="0"/>
        <v>46238.587981053242</v>
      </c>
      <c r="C62" s="13">
        <v>46238.587981053242</v>
      </c>
      <c r="D62" s="2" t="s">
        <v>401</v>
      </c>
      <c r="E62" s="2" t="str">
        <f t="shared" si="1"/>
        <v>Email Available</v>
      </c>
      <c r="F62" s="2" t="s">
        <v>402</v>
      </c>
      <c r="G62" s="2" t="s">
        <v>65</v>
      </c>
      <c r="H62" s="2" t="s">
        <v>49</v>
      </c>
      <c r="I62" s="2" t="s">
        <v>453</v>
      </c>
      <c r="J62" s="2">
        <v>1</v>
      </c>
      <c r="K62" s="2">
        <v>14.99</v>
      </c>
      <c r="L62" s="2" t="s">
        <v>4955</v>
      </c>
      <c r="M62" s="2">
        <v>2.25</v>
      </c>
      <c r="N62" s="2">
        <v>5.99</v>
      </c>
      <c r="O62" s="2">
        <v>18.73</v>
      </c>
      <c r="P62" s="2" t="s">
        <v>27</v>
      </c>
      <c r="Q62" s="2" t="s">
        <v>28</v>
      </c>
      <c r="R62" s="2" t="s">
        <v>52</v>
      </c>
      <c r="S62" s="2" t="s">
        <v>75</v>
      </c>
      <c r="T62" s="2"/>
      <c r="U62" s="2" t="str">
        <f t="shared" si="2"/>
        <v>Not Required</v>
      </c>
      <c r="V62" s="2" t="s">
        <v>4588</v>
      </c>
    </row>
    <row r="63" spans="1:22" hidden="1" x14ac:dyDescent="0.3">
      <c r="A63" s="2" t="s">
        <v>3108</v>
      </c>
      <c r="B63" s="12">
        <f t="shared" si="0"/>
        <v>46238.579189293981</v>
      </c>
      <c r="C63" s="13">
        <v>46238.579189293981</v>
      </c>
      <c r="D63" s="2" t="s">
        <v>733</v>
      </c>
      <c r="E63" s="2" t="str">
        <f t="shared" si="1"/>
        <v>Email Available</v>
      </c>
      <c r="F63" s="2" t="s">
        <v>734</v>
      </c>
      <c r="G63" s="2" t="s">
        <v>120</v>
      </c>
      <c r="H63" s="2" t="s">
        <v>23</v>
      </c>
      <c r="I63" s="2" t="s">
        <v>24</v>
      </c>
      <c r="J63" s="2">
        <v>1</v>
      </c>
      <c r="K63" s="2">
        <v>12.99</v>
      </c>
      <c r="L63" s="2" t="s">
        <v>208</v>
      </c>
      <c r="M63" s="2">
        <v>1.95</v>
      </c>
      <c r="N63" s="2">
        <v>7.99</v>
      </c>
      <c r="O63" s="2">
        <v>19.03</v>
      </c>
      <c r="P63" s="2" t="s">
        <v>74</v>
      </c>
      <c r="Q63" s="2" t="s">
        <v>41</v>
      </c>
      <c r="R63" s="2" t="s">
        <v>52</v>
      </c>
      <c r="S63" s="2" t="s">
        <v>108</v>
      </c>
      <c r="T63" s="2"/>
      <c r="U63" s="2" t="str">
        <f t="shared" si="2"/>
        <v>Not Required</v>
      </c>
      <c r="V63" s="2" t="s">
        <v>3109</v>
      </c>
    </row>
    <row r="64" spans="1:22" hidden="1" x14ac:dyDescent="0.3">
      <c r="A64" s="2" t="s">
        <v>3930</v>
      </c>
      <c r="B64" s="12">
        <f t="shared" si="0"/>
        <v>46238.587116296287</v>
      </c>
      <c r="C64" s="13">
        <v>46238.587116296287</v>
      </c>
      <c r="D64" s="2" t="s">
        <v>825</v>
      </c>
      <c r="E64" s="2" t="str">
        <f t="shared" si="1"/>
        <v>Email Available</v>
      </c>
      <c r="F64" s="2" t="s">
        <v>826</v>
      </c>
      <c r="G64" s="2" t="s">
        <v>368</v>
      </c>
      <c r="H64" s="2" t="s">
        <v>88</v>
      </c>
      <c r="I64" s="2" t="s">
        <v>369</v>
      </c>
      <c r="J64" s="2">
        <v>1</v>
      </c>
      <c r="K64" s="2">
        <v>54.99</v>
      </c>
      <c r="L64" s="2"/>
      <c r="M64" s="2">
        <v>0</v>
      </c>
      <c r="N64" s="2">
        <v>5.99</v>
      </c>
      <c r="O64" s="2">
        <v>60.98</v>
      </c>
      <c r="P64" s="2" t="s">
        <v>74</v>
      </c>
      <c r="Q64" s="2" t="s">
        <v>28</v>
      </c>
      <c r="R64" s="2" t="s">
        <v>52</v>
      </c>
      <c r="S64" s="2" t="s">
        <v>75</v>
      </c>
      <c r="T64" s="2"/>
      <c r="U64" s="2" t="str">
        <f t="shared" si="2"/>
        <v>Not Required</v>
      </c>
      <c r="V64" s="2" t="s">
        <v>3931</v>
      </c>
    </row>
    <row r="65" spans="1:22" hidden="1" x14ac:dyDescent="0.3">
      <c r="A65" s="2" t="s">
        <v>4536</v>
      </c>
      <c r="B65" s="12">
        <f t="shared" si="0"/>
        <v>46238.583171226863</v>
      </c>
      <c r="C65" s="13">
        <v>46238.583171226863</v>
      </c>
      <c r="D65" s="2" t="s">
        <v>5183</v>
      </c>
      <c r="E65" s="2" t="str">
        <f t="shared" si="1"/>
        <v>Email Available</v>
      </c>
      <c r="F65" s="2" t="s">
        <v>4538</v>
      </c>
      <c r="G65" s="2" t="s">
        <v>368</v>
      </c>
      <c r="H65" s="2" t="s">
        <v>88</v>
      </c>
      <c r="I65" s="2" t="s">
        <v>369</v>
      </c>
      <c r="J65" s="2">
        <v>1</v>
      </c>
      <c r="K65" s="2">
        <v>54.99</v>
      </c>
      <c r="L65" s="2"/>
      <c r="M65" s="2">
        <v>0</v>
      </c>
      <c r="N65" s="2">
        <v>7.99</v>
      </c>
      <c r="O65" s="2">
        <v>62.98</v>
      </c>
      <c r="P65" s="2" t="s">
        <v>74</v>
      </c>
      <c r="Q65" s="2" t="s">
        <v>90</v>
      </c>
      <c r="R65" s="2" t="s">
        <v>52</v>
      </c>
      <c r="S65" s="2" t="s">
        <v>337</v>
      </c>
      <c r="T65" s="2"/>
      <c r="U65" s="2" t="str">
        <f t="shared" si="2"/>
        <v>Not Required</v>
      </c>
      <c r="V65" s="2" t="s">
        <v>4539</v>
      </c>
    </row>
    <row r="66" spans="1:22" hidden="1" x14ac:dyDescent="0.3">
      <c r="A66" s="2" t="s">
        <v>4151</v>
      </c>
      <c r="B66" s="12">
        <f t="shared" si="0"/>
        <v>46238.581812627323</v>
      </c>
      <c r="C66" s="13">
        <v>46238.581812627323</v>
      </c>
      <c r="D66" s="2" t="s">
        <v>1089</v>
      </c>
      <c r="E66" s="2" t="str">
        <f t="shared" si="1"/>
        <v>Email Available</v>
      </c>
      <c r="F66" s="2" t="s">
        <v>595</v>
      </c>
      <c r="G66" s="2" t="s">
        <v>48</v>
      </c>
      <c r="H66" s="2" t="s">
        <v>49</v>
      </c>
      <c r="I66" s="2" t="s">
        <v>50</v>
      </c>
      <c r="J66" s="2">
        <v>1</v>
      </c>
      <c r="K66" s="2">
        <v>39.99</v>
      </c>
      <c r="L66" s="2" t="s">
        <v>208</v>
      </c>
      <c r="M66" s="2">
        <v>6</v>
      </c>
      <c r="N66" s="2">
        <v>7.99</v>
      </c>
      <c r="O66" s="2">
        <v>41.98</v>
      </c>
      <c r="P66" s="2" t="s">
        <v>27</v>
      </c>
      <c r="Q66" s="2" t="s">
        <v>90</v>
      </c>
      <c r="R66" s="2" t="s">
        <v>42</v>
      </c>
      <c r="S66" s="2" t="s">
        <v>30</v>
      </c>
      <c r="T66" s="2" t="s">
        <v>454</v>
      </c>
      <c r="U66" s="2" t="str">
        <f t="shared" si="2"/>
        <v>Valid</v>
      </c>
      <c r="V66" s="2" t="s">
        <v>4152</v>
      </c>
    </row>
    <row r="67" spans="1:22" hidden="1" x14ac:dyDescent="0.3">
      <c r="A67" s="2" t="s">
        <v>4000</v>
      </c>
      <c r="B67" s="12">
        <f t="shared" ref="B67:B130" si="3">IF(ISNUMBER(C67),C67,DATEVALUE(SUBSTITUTE(TRIM(C67),CHAR(160)," ")))</f>
        <v>46238.582898564811</v>
      </c>
      <c r="C67" s="13">
        <v>46238.582898564811</v>
      </c>
      <c r="D67" s="2" t="s">
        <v>4001</v>
      </c>
      <c r="E67" s="2" t="str">
        <f t="shared" ref="E67:E130" si="4">IF(TRIM(F67)="","Missing Email","Email Available")</f>
        <v>Email Available</v>
      </c>
      <c r="F67" s="2" t="s">
        <v>4002</v>
      </c>
      <c r="G67" s="2" t="s">
        <v>266</v>
      </c>
      <c r="H67" s="2" t="s">
        <v>37</v>
      </c>
      <c r="I67" s="2" t="s">
        <v>267</v>
      </c>
      <c r="J67" s="2">
        <v>1</v>
      </c>
      <c r="K67" s="2">
        <v>15.49</v>
      </c>
      <c r="L67" s="2"/>
      <c r="M67" s="2">
        <v>0</v>
      </c>
      <c r="N67" s="2">
        <v>4.99</v>
      </c>
      <c r="O67" s="2">
        <v>20.48</v>
      </c>
      <c r="P67" s="2" t="s">
        <v>74</v>
      </c>
      <c r="Q67" s="2" t="s">
        <v>90</v>
      </c>
      <c r="R67" s="2" t="s">
        <v>52</v>
      </c>
      <c r="S67" s="2" t="s">
        <v>108</v>
      </c>
      <c r="T67" s="2"/>
      <c r="U67" s="2" t="str">
        <f t="shared" ref="U67:U130" si="5">IF(AND(S67="United States",T67=""),"Missing state",IF(T67="","Not Required","Valid"))</f>
        <v>Not Required</v>
      </c>
      <c r="V67" s="2" t="s">
        <v>4003</v>
      </c>
    </row>
    <row r="68" spans="1:22" hidden="1" x14ac:dyDescent="0.3">
      <c r="A68" s="2" t="s">
        <v>1054</v>
      </c>
      <c r="B68" s="12">
        <f t="shared" si="3"/>
        <v>46238.586203495368</v>
      </c>
      <c r="C68" s="13">
        <v>46238.586203495368</v>
      </c>
      <c r="D68" s="2" t="s">
        <v>1055</v>
      </c>
      <c r="E68" s="2" t="str">
        <f t="shared" si="4"/>
        <v>Email Available</v>
      </c>
      <c r="F68" s="2" t="s">
        <v>1056</v>
      </c>
      <c r="G68" s="2" t="s">
        <v>195</v>
      </c>
      <c r="H68" s="2" t="s">
        <v>196</v>
      </c>
      <c r="I68" s="2" t="s">
        <v>197</v>
      </c>
      <c r="J68" s="2">
        <v>1</v>
      </c>
      <c r="K68" s="2">
        <v>13.49</v>
      </c>
      <c r="L68" s="2"/>
      <c r="M68" s="2" t="s">
        <v>189</v>
      </c>
      <c r="N68" s="2">
        <v>7.99</v>
      </c>
      <c r="O68" s="2">
        <v>21.48</v>
      </c>
      <c r="P68" s="2" t="s">
        <v>68</v>
      </c>
      <c r="Q68" s="2" t="s">
        <v>41</v>
      </c>
      <c r="R68" s="2" t="s">
        <v>29</v>
      </c>
      <c r="S68" s="2" t="s">
        <v>30</v>
      </c>
      <c r="T68" s="2" t="s">
        <v>248</v>
      </c>
      <c r="U68" s="2" t="str">
        <f t="shared" si="5"/>
        <v>Valid</v>
      </c>
      <c r="V68" s="2" t="s">
        <v>1057</v>
      </c>
    </row>
    <row r="69" spans="1:22" hidden="1" x14ac:dyDescent="0.3">
      <c r="A69" s="2" t="s">
        <v>4781</v>
      </c>
      <c r="B69" s="12">
        <f t="shared" si="3"/>
        <v>46120</v>
      </c>
      <c r="C69" s="13" t="s">
        <v>142</v>
      </c>
      <c r="D69" s="2" t="s">
        <v>681</v>
      </c>
      <c r="E69" s="2" t="str">
        <f t="shared" si="4"/>
        <v>Email Available</v>
      </c>
      <c r="F69" s="2" t="s">
        <v>682</v>
      </c>
      <c r="G69" s="2" t="s">
        <v>65</v>
      </c>
      <c r="H69" s="2" t="s">
        <v>49</v>
      </c>
      <c r="I69" s="2" t="s">
        <v>453</v>
      </c>
      <c r="J69" s="2">
        <v>1</v>
      </c>
      <c r="K69" s="2">
        <v>14.99</v>
      </c>
      <c r="L69" s="2" t="s">
        <v>121</v>
      </c>
      <c r="M69" s="2">
        <v>3.75</v>
      </c>
      <c r="N69" s="2">
        <v>7.99</v>
      </c>
      <c r="O69" s="2">
        <v>19.23</v>
      </c>
      <c r="P69" s="2" t="s">
        <v>40</v>
      </c>
      <c r="Q69" s="2" t="s">
        <v>114</v>
      </c>
      <c r="R69" s="2" t="s">
        <v>29</v>
      </c>
      <c r="S69" s="2" t="s">
        <v>75</v>
      </c>
      <c r="T69" s="2"/>
      <c r="U69" s="2" t="str">
        <f t="shared" si="5"/>
        <v>Not Required</v>
      </c>
      <c r="V69" s="2" t="s">
        <v>4782</v>
      </c>
    </row>
    <row r="70" spans="1:22" hidden="1" x14ac:dyDescent="0.3">
      <c r="A70" s="2" t="s">
        <v>4997</v>
      </c>
      <c r="B70" s="12">
        <f t="shared" si="3"/>
        <v>46238.581379120369</v>
      </c>
      <c r="C70" s="13">
        <v>46238.581379120369</v>
      </c>
      <c r="D70" s="2" t="s">
        <v>1220</v>
      </c>
      <c r="E70" s="2" t="str">
        <f t="shared" si="4"/>
        <v>Email Available</v>
      </c>
      <c r="F70" s="2" t="s">
        <v>1221</v>
      </c>
      <c r="G70" s="2" t="s">
        <v>65</v>
      </c>
      <c r="H70" s="2" t="s">
        <v>49</v>
      </c>
      <c r="I70" s="2" t="s">
        <v>453</v>
      </c>
      <c r="J70" s="2">
        <v>4</v>
      </c>
      <c r="K70" s="2">
        <v>14.99</v>
      </c>
      <c r="L70" s="2" t="s">
        <v>25</v>
      </c>
      <c r="M70" s="2">
        <v>11.99</v>
      </c>
      <c r="N70" s="2">
        <v>7.99</v>
      </c>
      <c r="O70" s="2">
        <v>55.96</v>
      </c>
      <c r="P70" s="2" t="s">
        <v>74</v>
      </c>
      <c r="Q70" s="2" t="s">
        <v>28</v>
      </c>
      <c r="R70" s="2" t="s">
        <v>99</v>
      </c>
      <c r="S70" s="2" t="s">
        <v>75</v>
      </c>
      <c r="T70" s="2"/>
      <c r="U70" s="2" t="str">
        <f t="shared" si="5"/>
        <v>Not Required</v>
      </c>
      <c r="V70" s="2" t="s">
        <v>4998</v>
      </c>
    </row>
    <row r="71" spans="1:22" x14ac:dyDescent="0.3">
      <c r="A71" s="2" t="s">
        <v>203</v>
      </c>
      <c r="B71" s="12">
        <f t="shared" si="3"/>
        <v>46238.582524097219</v>
      </c>
      <c r="C71" s="13">
        <v>46238.582524097219</v>
      </c>
      <c r="D71" s="2" t="s">
        <v>204</v>
      </c>
      <c r="E71" s="2" t="str">
        <f t="shared" si="4"/>
        <v>Missing Email</v>
      </c>
      <c r="F71" s="2"/>
      <c r="G71" s="2" t="s">
        <v>206</v>
      </c>
      <c r="H71" s="2" t="s">
        <v>196</v>
      </c>
      <c r="I71" s="2" t="s">
        <v>207</v>
      </c>
      <c r="J71" s="2">
        <v>1</v>
      </c>
      <c r="K71" s="2">
        <v>24.99</v>
      </c>
      <c r="L71" s="2" t="s">
        <v>208</v>
      </c>
      <c r="M71" s="2">
        <v>3.75</v>
      </c>
      <c r="N71" s="2">
        <v>7.99</v>
      </c>
      <c r="O71" s="2">
        <v>29.23</v>
      </c>
      <c r="P71" s="2" t="s">
        <v>68</v>
      </c>
      <c r="Q71" s="2" t="s">
        <v>28</v>
      </c>
      <c r="R71" s="2" t="s">
        <v>29</v>
      </c>
      <c r="S71" s="2" t="s">
        <v>75</v>
      </c>
      <c r="T71" s="2"/>
      <c r="U71" s="2" t="str">
        <f t="shared" si="5"/>
        <v>Not Required</v>
      </c>
      <c r="V71" s="2" t="s">
        <v>209</v>
      </c>
    </row>
    <row r="72" spans="1:22" hidden="1" x14ac:dyDescent="0.3">
      <c r="A72" s="2" t="s">
        <v>4323</v>
      </c>
      <c r="B72" s="12">
        <f t="shared" si="3"/>
        <v>46238.586487581022</v>
      </c>
      <c r="C72" s="13">
        <v>46238.586487581022</v>
      </c>
      <c r="D72" s="2" t="s">
        <v>797</v>
      </c>
      <c r="E72" s="2" t="str">
        <f t="shared" si="4"/>
        <v>Email Available</v>
      </c>
      <c r="F72" s="2" t="s">
        <v>798</v>
      </c>
      <c r="G72" s="2" t="s">
        <v>105</v>
      </c>
      <c r="H72" s="2" t="s">
        <v>106</v>
      </c>
      <c r="I72" s="2" t="s">
        <v>107</v>
      </c>
      <c r="J72" s="2">
        <v>1</v>
      </c>
      <c r="K72" s="2">
        <v>19.989999999999998</v>
      </c>
      <c r="L72" s="2"/>
      <c r="M72" s="2">
        <v>0</v>
      </c>
      <c r="N72" s="2">
        <v>4.99</v>
      </c>
      <c r="O72" s="2">
        <v>24.98</v>
      </c>
      <c r="P72" s="2" t="s">
        <v>27</v>
      </c>
      <c r="Q72" s="2" t="s">
        <v>28</v>
      </c>
      <c r="R72" s="2" t="s">
        <v>42</v>
      </c>
      <c r="S72" s="2" t="s">
        <v>337</v>
      </c>
      <c r="T72" s="2"/>
      <c r="U72" s="2" t="str">
        <f t="shared" si="5"/>
        <v>Not Required</v>
      </c>
      <c r="V72" s="2" t="s">
        <v>4324</v>
      </c>
    </row>
    <row r="73" spans="1:22" hidden="1" x14ac:dyDescent="0.3">
      <c r="A73" s="2" t="s">
        <v>2170</v>
      </c>
      <c r="B73" s="12">
        <f t="shared" si="3"/>
        <v>46238.584845717603</v>
      </c>
      <c r="C73" s="13">
        <v>46238.584845717603</v>
      </c>
      <c r="D73" s="2" t="s">
        <v>733</v>
      </c>
      <c r="E73" s="2" t="str">
        <f t="shared" si="4"/>
        <v>Email Available</v>
      </c>
      <c r="F73" s="2" t="s">
        <v>734</v>
      </c>
      <c r="G73" s="2" t="s">
        <v>241</v>
      </c>
      <c r="H73" s="2" t="s">
        <v>242</v>
      </c>
      <c r="I73" s="2" t="s">
        <v>243</v>
      </c>
      <c r="J73" s="2">
        <v>2</v>
      </c>
      <c r="K73" s="2">
        <v>27.99</v>
      </c>
      <c r="L73" s="2" t="s">
        <v>67</v>
      </c>
      <c r="M73" s="2">
        <v>5.6</v>
      </c>
      <c r="N73" s="2">
        <v>7.99</v>
      </c>
      <c r="O73" s="2">
        <v>58.37</v>
      </c>
      <c r="P73" s="2" t="s">
        <v>51</v>
      </c>
      <c r="Q73" s="2" t="s">
        <v>41</v>
      </c>
      <c r="R73" s="2" t="s">
        <v>52</v>
      </c>
      <c r="S73" s="2" t="s">
        <v>108</v>
      </c>
      <c r="T73" s="2"/>
      <c r="U73" s="2" t="str">
        <f t="shared" si="5"/>
        <v>Not Required</v>
      </c>
      <c r="V73" s="2" t="s">
        <v>2172</v>
      </c>
    </row>
    <row r="74" spans="1:22" hidden="1" x14ac:dyDescent="0.3">
      <c r="A74" s="2" t="s">
        <v>4372</v>
      </c>
      <c r="B74" s="12">
        <f t="shared" si="3"/>
        <v>46238.584693530087</v>
      </c>
      <c r="C74" s="13">
        <v>46238.584693530087</v>
      </c>
      <c r="D74" s="2" t="s">
        <v>345</v>
      </c>
      <c r="E74" s="2" t="str">
        <f t="shared" si="4"/>
        <v>Email Available</v>
      </c>
      <c r="F74" s="2" t="s">
        <v>452</v>
      </c>
      <c r="G74" s="2" t="s">
        <v>133</v>
      </c>
      <c r="H74" s="2" t="s">
        <v>106</v>
      </c>
      <c r="I74" s="2" t="s">
        <v>134</v>
      </c>
      <c r="J74" s="2">
        <v>1</v>
      </c>
      <c r="K74" s="2">
        <v>16.989999999999998</v>
      </c>
      <c r="L74" s="2"/>
      <c r="M74" s="2">
        <v>0</v>
      </c>
      <c r="N74" s="2">
        <v>7.99</v>
      </c>
      <c r="O74" s="2">
        <v>24.98</v>
      </c>
      <c r="P74" s="2" t="s">
        <v>68</v>
      </c>
      <c r="Q74" s="2" t="s">
        <v>114</v>
      </c>
      <c r="R74" s="2" t="s">
        <v>99</v>
      </c>
      <c r="S74" s="2" t="s">
        <v>30</v>
      </c>
      <c r="T74" s="2" t="s">
        <v>766</v>
      </c>
      <c r="U74" s="2" t="str">
        <f t="shared" si="5"/>
        <v>Valid</v>
      </c>
      <c r="V74" s="2" t="s">
        <v>3751</v>
      </c>
    </row>
    <row r="75" spans="1:22" x14ac:dyDescent="0.3">
      <c r="A75" s="2" t="s">
        <v>4903</v>
      </c>
      <c r="B75" s="12">
        <f>DATE(VALUE(RIGHT(C75,4)),MATCH(LEFT(C75,3),{"Jan","Feb","Mar","Apr","May","Jun","Jul","Aug","Sep","Oct","Nov","Dec"},0),VALUE(MID(C75,5,2)))</f>
        <v>46238</v>
      </c>
      <c r="C75" s="13" t="s">
        <v>176</v>
      </c>
      <c r="D75" s="2" t="s">
        <v>256</v>
      </c>
      <c r="E75" s="2" t="str">
        <f t="shared" si="4"/>
        <v>Missing Email</v>
      </c>
      <c r="F75" s="2"/>
      <c r="G75" s="2" t="s">
        <v>195</v>
      </c>
      <c r="H75" s="2" t="s">
        <v>196</v>
      </c>
      <c r="I75" s="2" t="s">
        <v>197</v>
      </c>
      <c r="J75" s="2">
        <v>1</v>
      </c>
      <c r="K75" s="2">
        <v>13.49</v>
      </c>
      <c r="L75" s="2"/>
      <c r="M75" s="2">
        <v>0</v>
      </c>
      <c r="N75" s="2">
        <v>5.99</v>
      </c>
      <c r="O75" s="2">
        <v>19.48</v>
      </c>
      <c r="P75" s="2" t="s">
        <v>68</v>
      </c>
      <c r="Q75" s="2" t="s">
        <v>41</v>
      </c>
      <c r="R75" s="2" t="s">
        <v>52</v>
      </c>
      <c r="S75" s="2" t="s">
        <v>30</v>
      </c>
      <c r="T75" s="2" t="s">
        <v>1135</v>
      </c>
      <c r="U75" s="2" t="str">
        <f t="shared" si="5"/>
        <v>Valid</v>
      </c>
      <c r="V75" s="2" t="s">
        <v>4905</v>
      </c>
    </row>
    <row r="76" spans="1:22" hidden="1" x14ac:dyDescent="0.3">
      <c r="A76" s="2" t="s">
        <v>3503</v>
      </c>
      <c r="B76" s="12">
        <f t="shared" si="3"/>
        <v>46238.58457240741</v>
      </c>
      <c r="C76" s="13">
        <v>46238.58457240741</v>
      </c>
      <c r="D76" s="2" t="s">
        <v>5226</v>
      </c>
      <c r="E76" s="2" t="str">
        <f t="shared" si="4"/>
        <v>Email Available</v>
      </c>
      <c r="F76" s="2" t="s">
        <v>126</v>
      </c>
      <c r="G76" s="2" t="s">
        <v>58</v>
      </c>
      <c r="H76" s="2" t="s">
        <v>23</v>
      </c>
      <c r="I76" s="2" t="s">
        <v>59</v>
      </c>
      <c r="J76" s="2">
        <v>1</v>
      </c>
      <c r="K76" s="2">
        <v>9.99</v>
      </c>
      <c r="L76" s="2" t="s">
        <v>121</v>
      </c>
      <c r="M76" s="2">
        <v>2.5</v>
      </c>
      <c r="N76" s="2">
        <v>4.99</v>
      </c>
      <c r="O76" s="2">
        <v>12.48</v>
      </c>
      <c r="P76" s="2" t="s">
        <v>40</v>
      </c>
      <c r="Q76" s="2" t="s">
        <v>90</v>
      </c>
      <c r="R76" s="2" t="s">
        <v>42</v>
      </c>
      <c r="S76" s="2" t="s">
        <v>43</v>
      </c>
      <c r="T76" s="2"/>
      <c r="U76" s="2" t="str">
        <f t="shared" si="5"/>
        <v>Not Required</v>
      </c>
      <c r="V76" s="2" t="s">
        <v>1438</v>
      </c>
    </row>
    <row r="77" spans="1:22" hidden="1" x14ac:dyDescent="0.3">
      <c r="A77" s="2" t="s">
        <v>45</v>
      </c>
      <c r="B77" s="12">
        <f>DATE(VALUE(RIGHT(C77,4)),MATCH(LEFT(C77,3),{"Jan","Feb","Mar","Apr","May","Jun","Jul","Aug","Sep","Oct","Nov","Dec"},0),VALUE(MID(C77,5,2)))</f>
        <v>46238</v>
      </c>
      <c r="C77" s="13" t="s">
        <v>176</v>
      </c>
      <c r="D77" s="2" t="s">
        <v>562</v>
      </c>
      <c r="E77" s="2" t="str">
        <f t="shared" si="4"/>
        <v>Email Available</v>
      </c>
      <c r="F77" s="2" t="s">
        <v>47</v>
      </c>
      <c r="G77" s="2" t="s">
        <v>48</v>
      </c>
      <c r="H77" s="2" t="s">
        <v>49</v>
      </c>
      <c r="I77" s="2" t="s">
        <v>50</v>
      </c>
      <c r="J77" s="2">
        <v>1</v>
      </c>
      <c r="K77" s="2">
        <v>39.99</v>
      </c>
      <c r="L77" s="2"/>
      <c r="M77" s="2">
        <v>0</v>
      </c>
      <c r="N77" s="2">
        <v>5.99</v>
      </c>
      <c r="O77" s="2">
        <v>45.98</v>
      </c>
      <c r="P77" s="2" t="s">
        <v>51</v>
      </c>
      <c r="Q77" s="2" t="s">
        <v>28</v>
      </c>
      <c r="R77" s="2" t="s">
        <v>52</v>
      </c>
      <c r="S77" s="2" t="s">
        <v>30</v>
      </c>
      <c r="T77" s="2" t="s">
        <v>53</v>
      </c>
      <c r="U77" s="2" t="str">
        <f t="shared" si="5"/>
        <v>Valid</v>
      </c>
      <c r="V77" s="2" t="s">
        <v>54</v>
      </c>
    </row>
    <row r="78" spans="1:22" hidden="1" x14ac:dyDescent="0.3">
      <c r="A78" s="2" t="s">
        <v>3764</v>
      </c>
      <c r="B78" s="12">
        <f t="shared" si="3"/>
        <v>46238.579956863417</v>
      </c>
      <c r="C78" s="13">
        <v>46238.579956863417</v>
      </c>
      <c r="D78" s="2" t="s">
        <v>2059</v>
      </c>
      <c r="E78" s="2" t="str">
        <f t="shared" si="4"/>
        <v>Email Available</v>
      </c>
      <c r="F78" s="2" t="s">
        <v>2179</v>
      </c>
      <c r="G78" s="2" t="s">
        <v>58</v>
      </c>
      <c r="H78" s="2" t="s">
        <v>23</v>
      </c>
      <c r="I78" s="2" t="s">
        <v>59</v>
      </c>
      <c r="J78" s="2">
        <v>2</v>
      </c>
      <c r="K78" s="2">
        <v>9.99</v>
      </c>
      <c r="L78" s="2" t="s">
        <v>39</v>
      </c>
      <c r="M78" s="2">
        <v>0</v>
      </c>
      <c r="N78" s="2">
        <v>0</v>
      </c>
      <c r="O78" s="2">
        <v>19.98</v>
      </c>
      <c r="P78" s="2" t="s">
        <v>74</v>
      </c>
      <c r="Q78" s="2" t="s">
        <v>28</v>
      </c>
      <c r="R78" s="2" t="s">
        <v>52</v>
      </c>
      <c r="S78" s="2" t="s">
        <v>30</v>
      </c>
      <c r="T78" s="2" t="s">
        <v>91</v>
      </c>
      <c r="U78" s="2" t="str">
        <f t="shared" si="5"/>
        <v>Valid</v>
      </c>
      <c r="V78" s="2" t="s">
        <v>3765</v>
      </c>
    </row>
    <row r="79" spans="1:22" hidden="1" x14ac:dyDescent="0.3">
      <c r="A79" s="2" t="s">
        <v>774</v>
      </c>
      <c r="B79" s="12">
        <f t="shared" si="3"/>
        <v>46238.584027766206</v>
      </c>
      <c r="C79" s="13">
        <v>46238.584027766206</v>
      </c>
      <c r="D79" s="2" t="s">
        <v>309</v>
      </c>
      <c r="E79" s="2" t="str">
        <f t="shared" si="4"/>
        <v>Email Available</v>
      </c>
      <c r="F79" s="2" t="s">
        <v>310</v>
      </c>
      <c r="G79" s="2" t="s">
        <v>105</v>
      </c>
      <c r="H79" s="2" t="s">
        <v>106</v>
      </c>
      <c r="I79" s="2" t="s">
        <v>107</v>
      </c>
      <c r="J79" s="2">
        <v>1</v>
      </c>
      <c r="K79" s="2">
        <v>19.989999999999998</v>
      </c>
      <c r="L79" s="2"/>
      <c r="M79" s="2">
        <v>0</v>
      </c>
      <c r="N79" s="2">
        <v>5.99</v>
      </c>
      <c r="O79" s="2">
        <v>25.98</v>
      </c>
      <c r="P79" s="2" t="s">
        <v>51</v>
      </c>
      <c r="Q79" s="2" t="s">
        <v>28</v>
      </c>
      <c r="R79" s="2" t="s">
        <v>52</v>
      </c>
      <c r="S79" s="2" t="s">
        <v>30</v>
      </c>
      <c r="T79" s="2" t="s">
        <v>248</v>
      </c>
      <c r="U79" s="2" t="str">
        <f t="shared" si="5"/>
        <v>Valid</v>
      </c>
      <c r="V79" s="2" t="s">
        <v>776</v>
      </c>
    </row>
    <row r="80" spans="1:22" hidden="1" x14ac:dyDescent="0.3">
      <c r="A80" s="2" t="s">
        <v>4662</v>
      </c>
      <c r="B80" s="12">
        <f t="shared" si="3"/>
        <v>46238.588057523149</v>
      </c>
      <c r="C80" s="13">
        <v>46238.588057523149</v>
      </c>
      <c r="D80" s="2" t="s">
        <v>3566</v>
      </c>
      <c r="E80" s="2" t="str">
        <f t="shared" si="4"/>
        <v>Email Available</v>
      </c>
      <c r="F80" s="2" t="s">
        <v>2292</v>
      </c>
      <c r="G80" s="2" t="s">
        <v>157</v>
      </c>
      <c r="H80" s="2" t="s">
        <v>37</v>
      </c>
      <c r="I80" s="2" t="s">
        <v>158</v>
      </c>
      <c r="J80" s="2">
        <v>1</v>
      </c>
      <c r="K80" s="2" t="s">
        <v>618</v>
      </c>
      <c r="L80" s="2"/>
      <c r="M80" s="2">
        <v>0</v>
      </c>
      <c r="N80" s="2">
        <v>5.99</v>
      </c>
      <c r="O80" s="2">
        <v>35.979999999999997</v>
      </c>
      <c r="P80" s="2" t="s">
        <v>68</v>
      </c>
      <c r="Q80" s="2" t="s">
        <v>114</v>
      </c>
      <c r="R80" s="2" t="s">
        <v>52</v>
      </c>
      <c r="S80" s="2" t="s">
        <v>228</v>
      </c>
      <c r="T80" s="2"/>
      <c r="U80" s="2" t="str">
        <f t="shared" si="5"/>
        <v>Not Required</v>
      </c>
      <c r="V80" s="2" t="s">
        <v>4663</v>
      </c>
    </row>
    <row r="81" spans="1:22" x14ac:dyDescent="0.3">
      <c r="A81" s="2" t="s">
        <v>2527</v>
      </c>
      <c r="B81" s="12">
        <f t="shared" si="3"/>
        <v>46120</v>
      </c>
      <c r="C81" s="13" t="s">
        <v>142</v>
      </c>
      <c r="D81" s="2" t="s">
        <v>309</v>
      </c>
      <c r="E81" s="2" t="str">
        <f t="shared" si="4"/>
        <v>Missing Email</v>
      </c>
      <c r="F81" s="2"/>
      <c r="G81" s="2" t="s">
        <v>80</v>
      </c>
      <c r="H81" s="2" t="s">
        <v>81</v>
      </c>
      <c r="I81" s="2" t="s">
        <v>82</v>
      </c>
      <c r="J81" s="2">
        <v>2</v>
      </c>
      <c r="K81" s="2">
        <v>89.99</v>
      </c>
      <c r="L81" s="2"/>
      <c r="M81" s="2">
        <v>0</v>
      </c>
      <c r="N81" s="2">
        <v>0</v>
      </c>
      <c r="O81" s="2">
        <v>179.98</v>
      </c>
      <c r="P81" s="2" t="s">
        <v>27</v>
      </c>
      <c r="Q81" s="2" t="s">
        <v>114</v>
      </c>
      <c r="R81" s="2" t="s">
        <v>29</v>
      </c>
      <c r="S81" s="2" t="s">
        <v>30</v>
      </c>
      <c r="T81" s="2" t="s">
        <v>31</v>
      </c>
      <c r="U81" s="2" t="str">
        <f t="shared" si="5"/>
        <v>Valid</v>
      </c>
      <c r="V81" s="2" t="s">
        <v>2528</v>
      </c>
    </row>
    <row r="82" spans="1:22" hidden="1" x14ac:dyDescent="0.3">
      <c r="A82" s="2" t="s">
        <v>2920</v>
      </c>
      <c r="B82" s="12">
        <f t="shared" si="3"/>
        <v>46238.58217173611</v>
      </c>
      <c r="C82" s="13">
        <v>46238.58217173611</v>
      </c>
      <c r="D82" s="2" t="s">
        <v>733</v>
      </c>
      <c r="E82" s="2" t="str">
        <f t="shared" si="4"/>
        <v>Email Available</v>
      </c>
      <c r="F82" s="2" t="s">
        <v>734</v>
      </c>
      <c r="G82" s="2" t="s">
        <v>112</v>
      </c>
      <c r="H82" s="2" t="s">
        <v>81</v>
      </c>
      <c r="I82" s="2" t="s">
        <v>113</v>
      </c>
      <c r="J82" s="2">
        <v>1</v>
      </c>
      <c r="K82" s="2">
        <v>22.99</v>
      </c>
      <c r="L82" s="2" t="s">
        <v>208</v>
      </c>
      <c r="M82" s="2">
        <v>3.45</v>
      </c>
      <c r="N82" s="2">
        <v>7.99</v>
      </c>
      <c r="O82" s="2">
        <v>27.53</v>
      </c>
      <c r="P82" s="2" t="s">
        <v>51</v>
      </c>
      <c r="Q82" s="2" t="s">
        <v>28</v>
      </c>
      <c r="R82" s="2" t="s">
        <v>52</v>
      </c>
      <c r="S82" s="2" t="s">
        <v>108</v>
      </c>
      <c r="T82" s="2"/>
      <c r="U82" s="2" t="str">
        <f t="shared" si="5"/>
        <v>Not Required</v>
      </c>
      <c r="V82" s="2" t="s">
        <v>2922</v>
      </c>
    </row>
    <row r="83" spans="1:22" hidden="1" x14ac:dyDescent="0.3">
      <c r="A83" s="2" t="s">
        <v>1048</v>
      </c>
      <c r="B83" s="12">
        <f t="shared" si="3"/>
        <v>46238.586086655087</v>
      </c>
      <c r="C83" s="13">
        <v>46238.586086655087</v>
      </c>
      <c r="D83" s="2" t="s">
        <v>1049</v>
      </c>
      <c r="E83" s="2" t="str">
        <f t="shared" si="4"/>
        <v>Email Available</v>
      </c>
      <c r="F83" s="2" t="s">
        <v>1050</v>
      </c>
      <c r="G83" s="2" t="s">
        <v>157</v>
      </c>
      <c r="H83" s="2" t="s">
        <v>37</v>
      </c>
      <c r="I83" s="2" t="s">
        <v>158</v>
      </c>
      <c r="J83" s="2">
        <v>1</v>
      </c>
      <c r="K83" s="2">
        <v>29.99</v>
      </c>
      <c r="L83" s="2" t="s">
        <v>39</v>
      </c>
      <c r="M83" s="2">
        <v>0</v>
      </c>
      <c r="N83" s="2">
        <v>0</v>
      </c>
      <c r="O83" s="2">
        <v>29.99</v>
      </c>
      <c r="P83" s="2" t="s">
        <v>68</v>
      </c>
      <c r="Q83" s="2" t="s">
        <v>28</v>
      </c>
      <c r="R83" s="2" t="s">
        <v>29</v>
      </c>
      <c r="S83" s="2" t="s">
        <v>30</v>
      </c>
      <c r="T83" s="2" t="s">
        <v>91</v>
      </c>
      <c r="U83" s="2" t="str">
        <f t="shared" si="5"/>
        <v>Valid</v>
      </c>
      <c r="V83" s="2" t="s">
        <v>1051</v>
      </c>
    </row>
    <row r="84" spans="1:22" hidden="1" x14ac:dyDescent="0.3">
      <c r="A84" s="2" t="s">
        <v>19</v>
      </c>
      <c r="B84" s="12">
        <f t="shared" si="3"/>
        <v>46238.580534143519</v>
      </c>
      <c r="C84" s="13">
        <v>46238.580534143519</v>
      </c>
      <c r="D84" s="2" t="s">
        <v>20</v>
      </c>
      <c r="E84" s="2" t="str">
        <f t="shared" si="4"/>
        <v>Email Available</v>
      </c>
      <c r="F84" s="2" t="s">
        <v>21</v>
      </c>
      <c r="G84" s="2" t="s">
        <v>22</v>
      </c>
      <c r="H84" s="2" t="s">
        <v>23</v>
      </c>
      <c r="I84" s="2" t="s">
        <v>24</v>
      </c>
      <c r="J84" s="2">
        <v>1</v>
      </c>
      <c r="K84" s="2">
        <v>12.99</v>
      </c>
      <c r="L84" s="2" t="s">
        <v>25</v>
      </c>
      <c r="M84" s="2" t="s">
        <v>26</v>
      </c>
      <c r="N84" s="2">
        <v>5.99</v>
      </c>
      <c r="O84" s="2">
        <v>16.38</v>
      </c>
      <c r="P84" s="2" t="s">
        <v>27</v>
      </c>
      <c r="Q84" s="2" t="s">
        <v>28</v>
      </c>
      <c r="R84" s="2" t="s">
        <v>29</v>
      </c>
      <c r="S84" s="2" t="s">
        <v>30</v>
      </c>
      <c r="T84" s="2" t="s">
        <v>31</v>
      </c>
      <c r="U84" s="2" t="str">
        <f t="shared" si="5"/>
        <v>Valid</v>
      </c>
      <c r="V84" s="2" t="s">
        <v>32</v>
      </c>
    </row>
    <row r="85" spans="1:22" hidden="1" x14ac:dyDescent="0.3">
      <c r="A85" s="2" t="s">
        <v>33</v>
      </c>
      <c r="B85" s="12">
        <f t="shared" si="3"/>
        <v>46238.583493333332</v>
      </c>
      <c r="C85" s="13">
        <v>46238.583493333332</v>
      </c>
      <c r="D85" s="2" t="s">
        <v>34</v>
      </c>
      <c r="E85" s="2" t="str">
        <f t="shared" si="4"/>
        <v>Email Available</v>
      </c>
      <c r="F85" s="2" t="s">
        <v>35</v>
      </c>
      <c r="G85" s="2" t="s">
        <v>36</v>
      </c>
      <c r="H85" s="2" t="s">
        <v>37</v>
      </c>
      <c r="I85" s="2" t="s">
        <v>38</v>
      </c>
      <c r="J85" s="2">
        <v>1</v>
      </c>
      <c r="K85" s="2">
        <v>21.99</v>
      </c>
      <c r="L85" s="2" t="s">
        <v>39</v>
      </c>
      <c r="M85" s="2">
        <v>0</v>
      </c>
      <c r="N85" s="2">
        <v>0</v>
      </c>
      <c r="O85" s="2">
        <v>21.99</v>
      </c>
      <c r="P85" s="2" t="s">
        <v>40</v>
      </c>
      <c r="Q85" s="2" t="s">
        <v>41</v>
      </c>
      <c r="R85" s="2" t="s">
        <v>42</v>
      </c>
      <c r="S85" s="2" t="s">
        <v>43</v>
      </c>
      <c r="T85" s="2"/>
      <c r="U85" s="2" t="str">
        <f t="shared" si="5"/>
        <v>Not Required</v>
      </c>
      <c r="V85" s="2" t="s">
        <v>44</v>
      </c>
    </row>
    <row r="86" spans="1:22" hidden="1" x14ac:dyDescent="0.3">
      <c r="A86" s="2" t="s">
        <v>55</v>
      </c>
      <c r="B86" s="12">
        <f t="shared" si="3"/>
        <v>46238.587991828703</v>
      </c>
      <c r="C86" s="13">
        <v>46238.587991828703</v>
      </c>
      <c r="D86" s="2" t="s">
        <v>56</v>
      </c>
      <c r="E86" s="2" t="str">
        <f t="shared" si="4"/>
        <v>Email Available</v>
      </c>
      <c r="F86" s="2" t="s">
        <v>57</v>
      </c>
      <c r="G86" s="2" t="s">
        <v>58</v>
      </c>
      <c r="H86" s="2" t="s">
        <v>23</v>
      </c>
      <c r="I86" s="2" t="s">
        <v>59</v>
      </c>
      <c r="J86" s="2">
        <v>1</v>
      </c>
      <c r="K86" s="2">
        <v>9.99</v>
      </c>
      <c r="L86" s="2" t="s">
        <v>39</v>
      </c>
      <c r="M86" s="2">
        <v>0</v>
      </c>
      <c r="N86" s="2">
        <v>0</v>
      </c>
      <c r="O86" s="2">
        <v>9.99</v>
      </c>
      <c r="P86" s="2" t="s">
        <v>27</v>
      </c>
      <c r="Q86" s="2" t="s">
        <v>41</v>
      </c>
      <c r="R86" s="2" t="s">
        <v>52</v>
      </c>
      <c r="S86" s="2" t="s">
        <v>30</v>
      </c>
      <c r="T86" s="2" t="s">
        <v>60</v>
      </c>
      <c r="U86" s="2" t="str">
        <f t="shared" si="5"/>
        <v>Valid</v>
      </c>
      <c r="V86" s="2" t="s">
        <v>61</v>
      </c>
    </row>
    <row r="87" spans="1:22" hidden="1" x14ac:dyDescent="0.3">
      <c r="A87" s="2" t="s">
        <v>62</v>
      </c>
      <c r="B87" s="12">
        <f t="shared" si="3"/>
        <v>46238.579003333332</v>
      </c>
      <c r="C87" s="13">
        <v>46238.579003333332</v>
      </c>
      <c r="D87" s="2" t="s">
        <v>63</v>
      </c>
      <c r="E87" s="2" t="str">
        <f t="shared" si="4"/>
        <v>Email Available</v>
      </c>
      <c r="F87" s="2" t="s">
        <v>64</v>
      </c>
      <c r="G87" s="2" t="s">
        <v>65</v>
      </c>
      <c r="H87" s="2" t="s">
        <v>49</v>
      </c>
      <c r="I87" s="2" t="s">
        <v>66</v>
      </c>
      <c r="J87" s="2">
        <v>1</v>
      </c>
      <c r="K87" s="2">
        <v>14.99</v>
      </c>
      <c r="L87" s="2" t="s">
        <v>67</v>
      </c>
      <c r="M87" s="2">
        <v>1.5</v>
      </c>
      <c r="N87" s="2">
        <v>5.99</v>
      </c>
      <c r="O87" s="2">
        <v>19.48</v>
      </c>
      <c r="P87" s="2" t="s">
        <v>68</v>
      </c>
      <c r="Q87" s="2" t="s">
        <v>28</v>
      </c>
      <c r="R87" s="2" t="s">
        <v>52</v>
      </c>
      <c r="S87" s="2" t="s">
        <v>30</v>
      </c>
      <c r="T87" s="2" t="s">
        <v>69</v>
      </c>
      <c r="U87" s="2" t="str">
        <f t="shared" si="5"/>
        <v>Valid</v>
      </c>
      <c r="V87" s="2" t="s">
        <v>70</v>
      </c>
    </row>
    <row r="88" spans="1:22" hidden="1" x14ac:dyDescent="0.3">
      <c r="A88" s="2" t="s">
        <v>71</v>
      </c>
      <c r="B88" s="12">
        <f t="shared" si="3"/>
        <v>46238.583632303242</v>
      </c>
      <c r="C88" s="13">
        <v>46238.583632303242</v>
      </c>
      <c r="D88" s="2" t="s">
        <v>72</v>
      </c>
      <c r="E88" s="2" t="str">
        <f t="shared" si="4"/>
        <v>Email Available</v>
      </c>
      <c r="F88" s="2" t="s">
        <v>73</v>
      </c>
      <c r="G88" s="2" t="s">
        <v>58</v>
      </c>
      <c r="H88" s="2" t="s">
        <v>23</v>
      </c>
      <c r="I88" s="2" t="s">
        <v>59</v>
      </c>
      <c r="J88" s="2">
        <v>2</v>
      </c>
      <c r="K88" s="2">
        <v>9.99</v>
      </c>
      <c r="L88" s="2" t="s">
        <v>67</v>
      </c>
      <c r="M88" s="2">
        <v>2</v>
      </c>
      <c r="N88" s="2">
        <v>4.99</v>
      </c>
      <c r="O88" s="2">
        <v>22.97</v>
      </c>
      <c r="P88" s="2" t="s">
        <v>74</v>
      </c>
      <c r="Q88" s="2" t="s">
        <v>41</v>
      </c>
      <c r="R88" s="2" t="s">
        <v>52</v>
      </c>
      <c r="S88" s="2" t="s">
        <v>75</v>
      </c>
      <c r="T88" s="2"/>
      <c r="U88" s="2" t="str">
        <f t="shared" si="5"/>
        <v>Not Required</v>
      </c>
      <c r="V88" s="2" t="s">
        <v>76</v>
      </c>
    </row>
    <row r="89" spans="1:22" hidden="1" x14ac:dyDescent="0.3">
      <c r="A89" s="2" t="s">
        <v>77</v>
      </c>
      <c r="B89" s="12">
        <f t="shared" si="3"/>
        <v>46238.587405729173</v>
      </c>
      <c r="C89" s="13">
        <v>46238.587405729173</v>
      </c>
      <c r="D89" s="2" t="s">
        <v>78</v>
      </c>
      <c r="E89" s="2" t="str">
        <f t="shared" si="4"/>
        <v>Email Available</v>
      </c>
      <c r="F89" s="2" t="s">
        <v>79</v>
      </c>
      <c r="G89" s="2" t="s">
        <v>80</v>
      </c>
      <c r="H89" s="2" t="s">
        <v>81</v>
      </c>
      <c r="I89" s="2" t="s">
        <v>82</v>
      </c>
      <c r="J89" s="2">
        <v>1</v>
      </c>
      <c r="K89" s="2">
        <v>89.99</v>
      </c>
      <c r="L89" s="2"/>
      <c r="M89" s="2">
        <v>0</v>
      </c>
      <c r="N89" s="2">
        <v>0</v>
      </c>
      <c r="O89" s="2">
        <v>89.99</v>
      </c>
      <c r="P89" s="2" t="s">
        <v>68</v>
      </c>
      <c r="Q89" s="2" t="s">
        <v>28</v>
      </c>
      <c r="R89" s="2" t="s">
        <v>42</v>
      </c>
      <c r="S89" s="2" t="s">
        <v>75</v>
      </c>
      <c r="T89" s="2"/>
      <c r="U89" s="2" t="str">
        <f t="shared" si="5"/>
        <v>Not Required</v>
      </c>
      <c r="V89" s="2" t="s">
        <v>83</v>
      </c>
    </row>
    <row r="90" spans="1:22" hidden="1" x14ac:dyDescent="0.3">
      <c r="A90" s="2" t="s">
        <v>84</v>
      </c>
      <c r="B90" s="12">
        <f t="shared" si="3"/>
        <v>46238.580096053243</v>
      </c>
      <c r="C90" s="13">
        <v>46238.580096053243</v>
      </c>
      <c r="D90" s="2" t="s">
        <v>85</v>
      </c>
      <c r="E90" s="2" t="str">
        <f t="shared" si="4"/>
        <v>Email Available</v>
      </c>
      <c r="F90" s="2" t="s">
        <v>86</v>
      </c>
      <c r="G90" s="2" t="s">
        <v>87</v>
      </c>
      <c r="H90" s="2" t="s">
        <v>88</v>
      </c>
      <c r="I90" s="2" t="s">
        <v>89</v>
      </c>
      <c r="J90" s="2">
        <v>1</v>
      </c>
      <c r="K90" s="2">
        <v>54.99</v>
      </c>
      <c r="L90" s="2"/>
      <c r="M90" s="2">
        <v>0</v>
      </c>
      <c r="N90" s="2">
        <v>4.99</v>
      </c>
      <c r="O90" s="2">
        <v>59.98</v>
      </c>
      <c r="P90" s="2" t="s">
        <v>51</v>
      </c>
      <c r="Q90" s="2" t="s">
        <v>90</v>
      </c>
      <c r="R90" s="2" t="s">
        <v>52</v>
      </c>
      <c r="S90" s="2" t="s">
        <v>30</v>
      </c>
      <c r="T90" s="2" t="s">
        <v>91</v>
      </c>
      <c r="U90" s="2" t="str">
        <f t="shared" si="5"/>
        <v>Valid</v>
      </c>
      <c r="V90" s="2" t="s">
        <v>92</v>
      </c>
    </row>
    <row r="91" spans="1:22" hidden="1" x14ac:dyDescent="0.3">
      <c r="A91" s="2" t="s">
        <v>93</v>
      </c>
      <c r="B91" s="12">
        <f t="shared" si="3"/>
        <v>46238.588058969908</v>
      </c>
      <c r="C91" s="13">
        <v>46238.588058969908</v>
      </c>
      <c r="D91" s="2" t="s">
        <v>94</v>
      </c>
      <c r="E91" s="2" t="str">
        <f t="shared" si="4"/>
        <v>Email Available</v>
      </c>
      <c r="F91" s="2" t="s">
        <v>95</v>
      </c>
      <c r="G91" s="2" t="s">
        <v>96</v>
      </c>
      <c r="H91" s="2" t="s">
        <v>88</v>
      </c>
      <c r="I91" s="2" t="s">
        <v>89</v>
      </c>
      <c r="J91" s="2">
        <v>3</v>
      </c>
      <c r="K91" s="2">
        <v>54.99</v>
      </c>
      <c r="L91" s="2" t="s">
        <v>97</v>
      </c>
      <c r="M91" s="2">
        <v>32.99</v>
      </c>
      <c r="N91" s="2">
        <v>0</v>
      </c>
      <c r="O91" s="2" t="s">
        <v>98</v>
      </c>
      <c r="P91" s="2" t="s">
        <v>27</v>
      </c>
      <c r="Q91" s="2" t="s">
        <v>28</v>
      </c>
      <c r="R91" s="2" t="s">
        <v>99</v>
      </c>
      <c r="S91" s="2" t="s">
        <v>43</v>
      </c>
      <c r="T91" s="2"/>
      <c r="U91" s="2" t="str">
        <f t="shared" si="5"/>
        <v>Not Required</v>
      </c>
      <c r="V91" s="2" t="s">
        <v>100</v>
      </c>
    </row>
    <row r="92" spans="1:22" hidden="1" x14ac:dyDescent="0.3">
      <c r="A92" s="2" t="s">
        <v>101</v>
      </c>
      <c r="B92" s="12">
        <f t="shared" si="3"/>
        <v>46238</v>
      </c>
      <c r="C92" s="13" t="s">
        <v>102</v>
      </c>
      <c r="D92" s="2" t="s">
        <v>103</v>
      </c>
      <c r="E92" s="2" t="str">
        <f t="shared" si="4"/>
        <v>Email Available</v>
      </c>
      <c r="F92" s="2" t="s">
        <v>104</v>
      </c>
      <c r="G92" s="2" t="s">
        <v>105</v>
      </c>
      <c r="H92" s="2" t="s">
        <v>106</v>
      </c>
      <c r="I92" s="2" t="s">
        <v>107</v>
      </c>
      <c r="J92" s="2">
        <v>1</v>
      </c>
      <c r="K92" s="2">
        <v>19.989999999999998</v>
      </c>
      <c r="L92" s="2" t="s">
        <v>67</v>
      </c>
      <c r="M92" s="2">
        <v>2</v>
      </c>
      <c r="N92" s="2">
        <v>4.99</v>
      </c>
      <c r="O92" s="2">
        <v>22.98</v>
      </c>
      <c r="P92" s="2" t="s">
        <v>74</v>
      </c>
      <c r="Q92" s="2" t="s">
        <v>28</v>
      </c>
      <c r="R92" s="2" t="s">
        <v>42</v>
      </c>
      <c r="S92" s="2" t="s">
        <v>108</v>
      </c>
      <c r="T92" s="2"/>
      <c r="U92" s="2" t="str">
        <f t="shared" si="5"/>
        <v>Not Required</v>
      </c>
      <c r="V92" s="2" t="s">
        <v>109</v>
      </c>
    </row>
    <row r="93" spans="1:22" x14ac:dyDescent="0.3">
      <c r="A93" s="2" t="s">
        <v>110</v>
      </c>
      <c r="B93" s="12">
        <f t="shared" si="3"/>
        <v>46238.584763657411</v>
      </c>
      <c r="C93" s="13">
        <v>46238.584763657411</v>
      </c>
      <c r="D93" s="2" t="s">
        <v>111</v>
      </c>
      <c r="E93" s="2" t="str">
        <f t="shared" si="4"/>
        <v>Missing Email</v>
      </c>
      <c r="F93" s="2"/>
      <c r="G93" s="2" t="s">
        <v>112</v>
      </c>
      <c r="H93" s="2" t="s">
        <v>81</v>
      </c>
      <c r="I93" s="2" t="s">
        <v>113</v>
      </c>
      <c r="J93" s="2">
        <v>1</v>
      </c>
      <c r="K93" s="2">
        <v>22.99</v>
      </c>
      <c r="L93" s="2"/>
      <c r="M93" s="2">
        <v>0</v>
      </c>
      <c r="N93" s="2">
        <v>7.99</v>
      </c>
      <c r="O93" s="2">
        <v>30.98</v>
      </c>
      <c r="P93" s="2" t="s">
        <v>40</v>
      </c>
      <c r="Q93" s="2" t="s">
        <v>114</v>
      </c>
      <c r="R93" s="2" t="s">
        <v>52</v>
      </c>
      <c r="S93" s="2" t="s">
        <v>30</v>
      </c>
      <c r="T93" s="2" t="s">
        <v>115</v>
      </c>
      <c r="U93" s="2" t="str">
        <f t="shared" si="5"/>
        <v>Valid</v>
      </c>
      <c r="V93" s="2" t="s">
        <v>116</v>
      </c>
    </row>
    <row r="94" spans="1:22" hidden="1" x14ac:dyDescent="0.3">
      <c r="A94" s="2" t="s">
        <v>117</v>
      </c>
      <c r="B94" s="12">
        <f t="shared" si="3"/>
        <v>46238.579571828697</v>
      </c>
      <c r="C94" s="13">
        <v>46238.579571828697</v>
      </c>
      <c r="D94" s="2" t="s">
        <v>118</v>
      </c>
      <c r="E94" s="2" t="str">
        <f t="shared" si="4"/>
        <v>Email Available</v>
      </c>
      <c r="F94" s="2" t="s">
        <v>119</v>
      </c>
      <c r="G94" s="2" t="s">
        <v>120</v>
      </c>
      <c r="H94" s="2" t="s">
        <v>23</v>
      </c>
      <c r="I94" s="2" t="s">
        <v>24</v>
      </c>
      <c r="J94" s="2">
        <v>1</v>
      </c>
      <c r="K94" s="2">
        <v>12.99</v>
      </c>
      <c r="L94" s="2" t="s">
        <v>121</v>
      </c>
      <c r="M94" s="2">
        <v>3.25</v>
      </c>
      <c r="N94" s="2">
        <v>4.99</v>
      </c>
      <c r="O94" s="2" t="s">
        <v>122</v>
      </c>
      <c r="P94" s="2" t="s">
        <v>40</v>
      </c>
      <c r="Q94" s="2" t="s">
        <v>28</v>
      </c>
      <c r="R94" s="2" t="s">
        <v>42</v>
      </c>
      <c r="S94" s="2" t="s">
        <v>108</v>
      </c>
      <c r="T94" s="2"/>
      <c r="U94" s="2" t="str">
        <f t="shared" si="5"/>
        <v>Not Required</v>
      </c>
      <c r="V94" s="2" t="s">
        <v>123</v>
      </c>
    </row>
    <row r="95" spans="1:22" hidden="1" x14ac:dyDescent="0.3">
      <c r="A95" s="2" t="s">
        <v>124</v>
      </c>
      <c r="B95" s="12">
        <f t="shared" si="3"/>
        <v>46238.585192662038</v>
      </c>
      <c r="C95" s="13">
        <v>46238.585192662038</v>
      </c>
      <c r="D95" s="2" t="s">
        <v>125</v>
      </c>
      <c r="E95" s="2" t="str">
        <f t="shared" si="4"/>
        <v>Email Available</v>
      </c>
      <c r="F95" s="2" t="s">
        <v>126</v>
      </c>
      <c r="G95" s="2" t="s">
        <v>127</v>
      </c>
      <c r="H95" s="2" t="s">
        <v>81</v>
      </c>
      <c r="I95" s="2" t="s">
        <v>128</v>
      </c>
      <c r="J95" s="2">
        <v>1</v>
      </c>
      <c r="K95" s="2">
        <v>13.99</v>
      </c>
      <c r="L95" s="2" t="s">
        <v>97</v>
      </c>
      <c r="M95" s="2">
        <v>2.8</v>
      </c>
      <c r="N95" s="2">
        <v>5.99</v>
      </c>
      <c r="O95" s="2">
        <v>17.18</v>
      </c>
      <c r="P95" s="2" t="s">
        <v>68</v>
      </c>
      <c r="Q95" s="2" t="s">
        <v>90</v>
      </c>
      <c r="R95" s="2" t="s">
        <v>99</v>
      </c>
      <c r="S95" s="2" t="s">
        <v>43</v>
      </c>
      <c r="T95" s="2"/>
      <c r="U95" s="2" t="str">
        <f t="shared" si="5"/>
        <v>Not Required</v>
      </c>
      <c r="V95" s="2" t="s">
        <v>129</v>
      </c>
    </row>
    <row r="96" spans="1:22" hidden="1" x14ac:dyDescent="0.3">
      <c r="A96" s="2" t="s">
        <v>130</v>
      </c>
      <c r="B96" s="12">
        <f t="shared" si="3"/>
        <v>46238.584850324078</v>
      </c>
      <c r="C96" s="13">
        <v>46238.584850324078</v>
      </c>
      <c r="D96" s="2" t="s">
        <v>131</v>
      </c>
      <c r="E96" s="2" t="str">
        <f t="shared" si="4"/>
        <v>Email Available</v>
      </c>
      <c r="F96" s="2" t="s">
        <v>132</v>
      </c>
      <c r="G96" s="2" t="s">
        <v>133</v>
      </c>
      <c r="H96" s="2" t="s">
        <v>106</v>
      </c>
      <c r="I96" s="2" t="s">
        <v>134</v>
      </c>
      <c r="J96" s="2">
        <v>1</v>
      </c>
      <c r="K96" s="2">
        <v>16.989999999999998</v>
      </c>
      <c r="L96" s="2"/>
      <c r="M96" s="2">
        <v>0</v>
      </c>
      <c r="N96" s="2">
        <v>5.99</v>
      </c>
      <c r="O96" s="2">
        <v>22.98</v>
      </c>
      <c r="P96" s="2" t="s">
        <v>51</v>
      </c>
      <c r="Q96" s="2" t="s">
        <v>28</v>
      </c>
      <c r="R96" s="2" t="s">
        <v>52</v>
      </c>
      <c r="S96" s="2" t="s">
        <v>30</v>
      </c>
      <c r="T96" s="2" t="s">
        <v>91</v>
      </c>
      <c r="U96" s="2" t="str">
        <f t="shared" si="5"/>
        <v>Valid</v>
      </c>
      <c r="V96" s="2" t="s">
        <v>135</v>
      </c>
    </row>
    <row r="97" spans="1:22" hidden="1" x14ac:dyDescent="0.3">
      <c r="A97" s="2" t="s">
        <v>136</v>
      </c>
      <c r="B97" s="12">
        <f t="shared" si="3"/>
        <v>46238.589128518521</v>
      </c>
      <c r="C97" s="13">
        <v>46238.589128518521</v>
      </c>
      <c r="D97" s="2" t="s">
        <v>137</v>
      </c>
      <c r="E97" s="2" t="str">
        <f t="shared" si="4"/>
        <v>Email Available</v>
      </c>
      <c r="F97" s="2" t="s">
        <v>138</v>
      </c>
      <c r="G97" s="2" t="s">
        <v>112</v>
      </c>
      <c r="H97" s="2" t="s">
        <v>81</v>
      </c>
      <c r="I97" s="2" t="s">
        <v>113</v>
      </c>
      <c r="J97" s="2">
        <v>1</v>
      </c>
      <c r="K97" s="2">
        <v>22.99</v>
      </c>
      <c r="L97" s="2" t="s">
        <v>25</v>
      </c>
      <c r="M97" s="2">
        <v>4.5999999999999996</v>
      </c>
      <c r="N97" s="2">
        <v>4.99</v>
      </c>
      <c r="O97" s="2">
        <v>23.38</v>
      </c>
      <c r="P97" s="2" t="s">
        <v>27</v>
      </c>
      <c r="Q97" s="2" t="s">
        <v>114</v>
      </c>
      <c r="R97" s="2" t="s">
        <v>52</v>
      </c>
      <c r="S97" s="2" t="s">
        <v>30</v>
      </c>
      <c r="T97" s="2" t="s">
        <v>139</v>
      </c>
      <c r="U97" s="2" t="str">
        <f t="shared" si="5"/>
        <v>Valid</v>
      </c>
      <c r="V97" s="2" t="s">
        <v>140</v>
      </c>
    </row>
    <row r="98" spans="1:22" hidden="1" x14ac:dyDescent="0.3">
      <c r="A98" s="2" t="s">
        <v>141</v>
      </c>
      <c r="B98" s="12">
        <f t="shared" si="3"/>
        <v>46120</v>
      </c>
      <c r="C98" s="13" t="s">
        <v>142</v>
      </c>
      <c r="D98" s="2" t="s">
        <v>143</v>
      </c>
      <c r="E98" s="2" t="str">
        <f t="shared" si="4"/>
        <v>Email Available</v>
      </c>
      <c r="F98" s="2" t="s">
        <v>144</v>
      </c>
      <c r="G98" s="2" t="s">
        <v>80</v>
      </c>
      <c r="H98" s="2" t="s">
        <v>81</v>
      </c>
      <c r="I98" s="2" t="s">
        <v>82</v>
      </c>
      <c r="J98" s="2">
        <v>1</v>
      </c>
      <c r="K98" s="2">
        <v>89.99</v>
      </c>
      <c r="L98" s="2"/>
      <c r="M98" s="2">
        <v>0</v>
      </c>
      <c r="N98" s="2">
        <v>0</v>
      </c>
      <c r="O98" s="2">
        <v>89.99</v>
      </c>
      <c r="P98" s="2" t="s">
        <v>27</v>
      </c>
      <c r="Q98" s="2" t="s">
        <v>114</v>
      </c>
      <c r="R98" s="2" t="s">
        <v>52</v>
      </c>
      <c r="S98" s="2" t="s">
        <v>30</v>
      </c>
      <c r="T98" s="2" t="s">
        <v>145</v>
      </c>
      <c r="U98" s="2" t="str">
        <f t="shared" si="5"/>
        <v>Valid</v>
      </c>
      <c r="V98" s="2" t="s">
        <v>146</v>
      </c>
    </row>
    <row r="99" spans="1:22" hidden="1" x14ac:dyDescent="0.3">
      <c r="A99" s="2" t="s">
        <v>147</v>
      </c>
      <c r="B99" s="12">
        <f t="shared" si="3"/>
        <v>46238</v>
      </c>
      <c r="C99" s="13" t="s">
        <v>148</v>
      </c>
      <c r="D99" s="2" t="s">
        <v>149</v>
      </c>
      <c r="E99" s="2" t="str">
        <f t="shared" si="4"/>
        <v>Email Available</v>
      </c>
      <c r="F99" s="2" t="s">
        <v>150</v>
      </c>
      <c r="G99" s="2" t="s">
        <v>151</v>
      </c>
      <c r="H99" s="2" t="s">
        <v>49</v>
      </c>
      <c r="I99" s="2" t="s">
        <v>152</v>
      </c>
      <c r="J99" s="2">
        <v>2</v>
      </c>
      <c r="K99" s="2">
        <v>34.99</v>
      </c>
      <c r="L99" s="2"/>
      <c r="M99" s="2">
        <v>0</v>
      </c>
      <c r="N99" s="2">
        <v>4.99</v>
      </c>
      <c r="O99" s="2">
        <v>74.97</v>
      </c>
      <c r="P99" s="2" t="s">
        <v>40</v>
      </c>
      <c r="Q99" s="2" t="s">
        <v>28</v>
      </c>
      <c r="R99" s="2" t="s">
        <v>52</v>
      </c>
      <c r="S99" s="2" t="s">
        <v>108</v>
      </c>
      <c r="T99" s="2"/>
      <c r="U99" s="2" t="str">
        <f t="shared" si="5"/>
        <v>Not Required</v>
      </c>
      <c r="V99" s="2" t="s">
        <v>153</v>
      </c>
    </row>
    <row r="100" spans="1:22" hidden="1" x14ac:dyDescent="0.3">
      <c r="A100" s="2" t="s">
        <v>154</v>
      </c>
      <c r="B100" s="12">
        <f t="shared" si="3"/>
        <v>46238</v>
      </c>
      <c r="C100" s="13" t="s">
        <v>148</v>
      </c>
      <c r="D100" s="2" t="s">
        <v>155</v>
      </c>
      <c r="E100" s="2" t="str">
        <f t="shared" si="4"/>
        <v>Email Available</v>
      </c>
      <c r="F100" s="2" t="s">
        <v>156</v>
      </c>
      <c r="G100" s="2" t="s">
        <v>157</v>
      </c>
      <c r="H100" s="2" t="s">
        <v>37</v>
      </c>
      <c r="I100" s="2" t="s">
        <v>158</v>
      </c>
      <c r="J100" s="2">
        <v>1</v>
      </c>
      <c r="K100" s="2">
        <v>29.99</v>
      </c>
      <c r="L100" s="2"/>
      <c r="M100" s="2">
        <v>0</v>
      </c>
      <c r="N100" s="2">
        <v>7.99</v>
      </c>
      <c r="O100" s="2">
        <v>37.979999999999997</v>
      </c>
      <c r="P100" s="2" t="s">
        <v>74</v>
      </c>
      <c r="Q100" s="2" t="s">
        <v>114</v>
      </c>
      <c r="R100" s="2" t="s">
        <v>52</v>
      </c>
      <c r="S100" s="2" t="s">
        <v>30</v>
      </c>
      <c r="T100" s="2" t="s">
        <v>139</v>
      </c>
      <c r="U100" s="2" t="str">
        <f t="shared" si="5"/>
        <v>Valid</v>
      </c>
      <c r="V100" s="2" t="s">
        <v>159</v>
      </c>
    </row>
    <row r="101" spans="1:22" hidden="1" x14ac:dyDescent="0.3">
      <c r="A101" s="2" t="s">
        <v>160</v>
      </c>
      <c r="B101" s="12">
        <f t="shared" si="3"/>
        <v>46238.578883692127</v>
      </c>
      <c r="C101" s="13">
        <v>46238.578883692127</v>
      </c>
      <c r="D101" s="2" t="s">
        <v>161</v>
      </c>
      <c r="E101" s="2" t="str">
        <f t="shared" si="4"/>
        <v>Email Available</v>
      </c>
      <c r="F101" s="2" t="s">
        <v>162</v>
      </c>
      <c r="G101" s="2" t="s">
        <v>157</v>
      </c>
      <c r="H101" s="2" t="s">
        <v>37</v>
      </c>
      <c r="I101" s="2" t="s">
        <v>158</v>
      </c>
      <c r="J101" s="2">
        <v>1</v>
      </c>
      <c r="K101" s="2">
        <v>29.99</v>
      </c>
      <c r="L101" s="2" t="s">
        <v>39</v>
      </c>
      <c r="M101" s="2">
        <v>0</v>
      </c>
      <c r="N101" s="2">
        <v>0</v>
      </c>
      <c r="O101" s="2">
        <v>29.99</v>
      </c>
      <c r="P101" s="2" t="s">
        <v>74</v>
      </c>
      <c r="Q101" s="2" t="s">
        <v>28</v>
      </c>
      <c r="R101" s="2" t="s">
        <v>52</v>
      </c>
      <c r="S101" s="2" t="s">
        <v>108</v>
      </c>
      <c r="T101" s="2"/>
      <c r="U101" s="2" t="str">
        <f t="shared" si="5"/>
        <v>Not Required</v>
      </c>
      <c r="V101" s="2" t="s">
        <v>163</v>
      </c>
    </row>
    <row r="102" spans="1:22" hidden="1" x14ac:dyDescent="0.3">
      <c r="A102" s="2" t="s">
        <v>164</v>
      </c>
      <c r="B102" s="12">
        <f t="shared" si="3"/>
        <v>46238.587520185189</v>
      </c>
      <c r="C102" s="13">
        <v>46238.587520185189</v>
      </c>
      <c r="D102" s="2" t="s">
        <v>165</v>
      </c>
      <c r="E102" s="2" t="str">
        <f t="shared" si="4"/>
        <v>Email Available</v>
      </c>
      <c r="F102" s="2" t="s">
        <v>166</v>
      </c>
      <c r="G102" s="2" t="s">
        <v>157</v>
      </c>
      <c r="H102" s="2" t="s">
        <v>37</v>
      </c>
      <c r="I102" s="2" t="s">
        <v>158</v>
      </c>
      <c r="J102" s="2">
        <v>1</v>
      </c>
      <c r="K102" s="2">
        <v>29.99</v>
      </c>
      <c r="L102" s="2" t="s">
        <v>25</v>
      </c>
      <c r="M102" s="2">
        <v>6</v>
      </c>
      <c r="N102" s="2">
        <v>5.99</v>
      </c>
      <c r="O102" s="2">
        <v>29.98</v>
      </c>
      <c r="P102" s="2" t="s">
        <v>40</v>
      </c>
      <c r="Q102" s="2" t="s">
        <v>114</v>
      </c>
      <c r="R102" s="2" t="s">
        <v>52</v>
      </c>
      <c r="S102" s="2" t="s">
        <v>30</v>
      </c>
      <c r="T102" s="2" t="s">
        <v>115</v>
      </c>
      <c r="U102" s="2" t="str">
        <f t="shared" si="5"/>
        <v>Valid</v>
      </c>
      <c r="V102" s="2" t="s">
        <v>167</v>
      </c>
    </row>
    <row r="103" spans="1:22" hidden="1" x14ac:dyDescent="0.3">
      <c r="A103" s="2" t="s">
        <v>168</v>
      </c>
      <c r="B103" s="12">
        <f t="shared" si="3"/>
        <v>46238.580030659723</v>
      </c>
      <c r="C103" s="13">
        <v>46238.580030659723</v>
      </c>
      <c r="D103" s="2" t="s">
        <v>169</v>
      </c>
      <c r="E103" s="2" t="str">
        <f t="shared" si="4"/>
        <v>Email Available</v>
      </c>
      <c r="F103" s="2" t="s">
        <v>170</v>
      </c>
      <c r="G103" s="2" t="s">
        <v>171</v>
      </c>
      <c r="H103" s="2" t="s">
        <v>106</v>
      </c>
      <c r="I103" s="2" t="s">
        <v>172</v>
      </c>
      <c r="J103" s="2">
        <v>1</v>
      </c>
      <c r="K103" s="2" t="s">
        <v>173</v>
      </c>
      <c r="L103" s="2" t="s">
        <v>121</v>
      </c>
      <c r="M103" s="2">
        <v>8.25</v>
      </c>
      <c r="N103" s="2">
        <v>4.99</v>
      </c>
      <c r="O103" s="2">
        <v>29.73</v>
      </c>
      <c r="P103" s="2" t="s">
        <v>74</v>
      </c>
      <c r="Q103" s="2" t="s">
        <v>90</v>
      </c>
      <c r="R103" s="2" t="s">
        <v>42</v>
      </c>
      <c r="S103" s="2" t="s">
        <v>108</v>
      </c>
      <c r="T103" s="2"/>
      <c r="U103" s="2" t="str">
        <f t="shared" si="5"/>
        <v>Not Required</v>
      </c>
      <c r="V103" s="2" t="s">
        <v>174</v>
      </c>
    </row>
    <row r="104" spans="1:22" hidden="1" x14ac:dyDescent="0.3">
      <c r="A104" s="2" t="s">
        <v>175</v>
      </c>
      <c r="B104" s="12">
        <f>DATE(VALUE(RIGHT(C104,4)),MATCH(LEFT(C104,3),{"Jan","Feb","Mar","Apr","May","Jun","Jul","Aug","Sep","Oct","Nov","Dec"},0),VALUE(MID(C104,5,2)))</f>
        <v>46238</v>
      </c>
      <c r="C104" s="13" t="s">
        <v>176</v>
      </c>
      <c r="D104" s="2" t="s">
        <v>177</v>
      </c>
      <c r="E104" s="2" t="str">
        <f t="shared" si="4"/>
        <v>Email Available</v>
      </c>
      <c r="F104" s="2" t="s">
        <v>178</v>
      </c>
      <c r="G104" s="2" t="s">
        <v>87</v>
      </c>
      <c r="H104" s="2" t="s">
        <v>88</v>
      </c>
      <c r="I104" s="2" t="s">
        <v>89</v>
      </c>
      <c r="J104" s="2">
        <v>2</v>
      </c>
      <c r="K104" s="2">
        <v>54.99</v>
      </c>
      <c r="L104" s="2"/>
      <c r="M104" s="2">
        <v>0</v>
      </c>
      <c r="N104" s="2">
        <v>0</v>
      </c>
      <c r="O104" s="2">
        <v>109.98</v>
      </c>
      <c r="P104" s="2" t="s">
        <v>40</v>
      </c>
      <c r="Q104" s="2" t="s">
        <v>90</v>
      </c>
      <c r="R104" s="2" t="s">
        <v>52</v>
      </c>
      <c r="S104" s="2" t="s">
        <v>30</v>
      </c>
      <c r="T104" s="2" t="s">
        <v>69</v>
      </c>
      <c r="U104" s="2" t="str">
        <f t="shared" si="5"/>
        <v>Valid</v>
      </c>
      <c r="V104" s="2" t="s">
        <v>179</v>
      </c>
    </row>
    <row r="105" spans="1:22" hidden="1" x14ac:dyDescent="0.3">
      <c r="A105" s="2" t="s">
        <v>180</v>
      </c>
      <c r="B105" s="12">
        <f t="shared" si="3"/>
        <v>46238.581411620369</v>
      </c>
      <c r="C105" s="13">
        <v>46238.581411620369</v>
      </c>
      <c r="D105" s="2" t="s">
        <v>181</v>
      </c>
      <c r="E105" s="2" t="str">
        <f t="shared" si="4"/>
        <v>Email Available</v>
      </c>
      <c r="F105" s="2" t="s">
        <v>182</v>
      </c>
      <c r="G105" s="2" t="s">
        <v>133</v>
      </c>
      <c r="H105" s="2" t="s">
        <v>106</v>
      </c>
      <c r="I105" s="2" t="s">
        <v>134</v>
      </c>
      <c r="J105" s="2">
        <v>1</v>
      </c>
      <c r="K105" s="2">
        <v>16.989999999999998</v>
      </c>
      <c r="L105" s="2" t="s">
        <v>121</v>
      </c>
      <c r="M105" s="2">
        <v>4.25</v>
      </c>
      <c r="N105" s="2">
        <v>7.99</v>
      </c>
      <c r="O105" s="2">
        <v>20.73</v>
      </c>
      <c r="P105" s="2" t="s">
        <v>40</v>
      </c>
      <c r="Q105" s="2" t="s">
        <v>114</v>
      </c>
      <c r="R105" s="2" t="s">
        <v>29</v>
      </c>
      <c r="S105" s="2" t="s">
        <v>30</v>
      </c>
      <c r="T105" s="2" t="s">
        <v>75</v>
      </c>
      <c r="U105" s="2" t="str">
        <f t="shared" si="5"/>
        <v>Valid</v>
      </c>
      <c r="V105" s="2" t="s">
        <v>183</v>
      </c>
    </row>
    <row r="106" spans="1:22" hidden="1" x14ac:dyDescent="0.3">
      <c r="A106" s="2" t="s">
        <v>184</v>
      </c>
      <c r="B106" s="12">
        <f t="shared" si="3"/>
        <v>46238.586193090283</v>
      </c>
      <c r="C106" s="13">
        <v>46238.586193090283</v>
      </c>
      <c r="D106" s="2" t="s">
        <v>185</v>
      </c>
      <c r="E106" s="2" t="str">
        <f t="shared" si="4"/>
        <v>Email Available</v>
      </c>
      <c r="F106" s="2" t="s">
        <v>186</v>
      </c>
      <c r="G106" s="2" t="s">
        <v>187</v>
      </c>
      <c r="H106" s="2" t="s">
        <v>37</v>
      </c>
      <c r="I106" s="2" t="s">
        <v>188</v>
      </c>
      <c r="J106" s="2">
        <v>1</v>
      </c>
      <c r="K106" s="2">
        <v>11.99</v>
      </c>
      <c r="L106" s="2"/>
      <c r="M106" s="2" t="s">
        <v>189</v>
      </c>
      <c r="N106" s="2">
        <v>4.99</v>
      </c>
      <c r="O106" s="2" t="s">
        <v>190</v>
      </c>
      <c r="P106" s="2" t="s">
        <v>27</v>
      </c>
      <c r="Q106" s="2" t="s">
        <v>28</v>
      </c>
      <c r="R106" s="2" t="s">
        <v>42</v>
      </c>
      <c r="S106" s="2" t="s">
        <v>30</v>
      </c>
      <c r="T106" s="2" t="s">
        <v>60</v>
      </c>
      <c r="U106" s="2" t="str">
        <f t="shared" si="5"/>
        <v>Valid</v>
      </c>
      <c r="V106" s="2" t="s">
        <v>191</v>
      </c>
    </row>
    <row r="107" spans="1:22" hidden="1" x14ac:dyDescent="0.3">
      <c r="A107" s="2" t="s">
        <v>192</v>
      </c>
      <c r="B107" s="12">
        <f t="shared" si="3"/>
        <v>46238</v>
      </c>
      <c r="C107" s="13" t="s">
        <v>102</v>
      </c>
      <c r="D107" s="2" t="s">
        <v>193</v>
      </c>
      <c r="E107" s="2" t="str">
        <f t="shared" si="4"/>
        <v>Email Available</v>
      </c>
      <c r="F107" s="2" t="s">
        <v>194</v>
      </c>
      <c r="G107" s="2" t="s">
        <v>195</v>
      </c>
      <c r="H107" s="2" t="s">
        <v>196</v>
      </c>
      <c r="I107" s="2" t="s">
        <v>197</v>
      </c>
      <c r="J107" s="2">
        <v>2</v>
      </c>
      <c r="K107" s="2">
        <v>13.49</v>
      </c>
      <c r="L107" s="2" t="s">
        <v>67</v>
      </c>
      <c r="M107" s="2">
        <v>2.7</v>
      </c>
      <c r="N107" s="2">
        <v>5.99</v>
      </c>
      <c r="O107" s="2">
        <v>30.27</v>
      </c>
      <c r="P107" s="2" t="s">
        <v>27</v>
      </c>
      <c r="Q107" s="2" t="s">
        <v>41</v>
      </c>
      <c r="R107" s="2" t="s">
        <v>29</v>
      </c>
      <c r="S107" s="2" t="s">
        <v>30</v>
      </c>
      <c r="T107" s="2" t="s">
        <v>31</v>
      </c>
      <c r="U107" s="2" t="str">
        <f t="shared" si="5"/>
        <v>Valid</v>
      </c>
      <c r="V107" s="2" t="s">
        <v>198</v>
      </c>
    </row>
    <row r="108" spans="1:22" hidden="1" x14ac:dyDescent="0.3">
      <c r="A108" s="2" t="s">
        <v>199</v>
      </c>
      <c r="B108" s="12">
        <f t="shared" si="3"/>
        <v>46238.586678159721</v>
      </c>
      <c r="C108" s="13">
        <v>46238.586678159721</v>
      </c>
      <c r="D108" s="2" t="s">
        <v>200</v>
      </c>
      <c r="E108" s="2" t="str">
        <f t="shared" si="4"/>
        <v>Email Available</v>
      </c>
      <c r="F108" s="2" t="s">
        <v>201</v>
      </c>
      <c r="G108" s="2" t="s">
        <v>80</v>
      </c>
      <c r="H108" s="2" t="s">
        <v>81</v>
      </c>
      <c r="I108" s="2" t="s">
        <v>82</v>
      </c>
      <c r="J108" s="2">
        <v>1</v>
      </c>
      <c r="K108" s="2">
        <v>89.99</v>
      </c>
      <c r="L108" s="2"/>
      <c r="M108" s="2">
        <v>0</v>
      </c>
      <c r="N108" s="2">
        <v>0</v>
      </c>
      <c r="O108" s="2">
        <v>89.99</v>
      </c>
      <c r="P108" s="2" t="s">
        <v>74</v>
      </c>
      <c r="Q108" s="2" t="s">
        <v>114</v>
      </c>
      <c r="R108" s="2" t="s">
        <v>52</v>
      </c>
      <c r="S108" s="2" t="s">
        <v>30</v>
      </c>
      <c r="T108" s="2" t="s">
        <v>53</v>
      </c>
      <c r="U108" s="2" t="str">
        <f t="shared" si="5"/>
        <v>Valid</v>
      </c>
      <c r="V108" s="2" t="s">
        <v>202</v>
      </c>
    </row>
    <row r="109" spans="1:22" hidden="1" x14ac:dyDescent="0.3">
      <c r="A109" s="2" t="s">
        <v>210</v>
      </c>
      <c r="B109" s="12">
        <f t="shared" si="3"/>
        <v>46238.579125081022</v>
      </c>
      <c r="C109" s="13">
        <v>46238.579125081022</v>
      </c>
      <c r="D109" s="2" t="s">
        <v>211</v>
      </c>
      <c r="E109" s="2" t="str">
        <f t="shared" si="4"/>
        <v>Email Available</v>
      </c>
      <c r="F109" s="2" t="s">
        <v>212</v>
      </c>
      <c r="G109" s="2" t="s">
        <v>58</v>
      </c>
      <c r="H109" s="2" t="s">
        <v>23</v>
      </c>
      <c r="I109" s="2" t="s">
        <v>59</v>
      </c>
      <c r="J109" s="2">
        <v>1</v>
      </c>
      <c r="K109" s="2" t="s">
        <v>213</v>
      </c>
      <c r="L109" s="2"/>
      <c r="M109" s="2">
        <v>0</v>
      </c>
      <c r="N109" s="2">
        <v>7.99</v>
      </c>
      <c r="O109" s="2">
        <v>17.98</v>
      </c>
      <c r="P109" s="2" t="s">
        <v>40</v>
      </c>
      <c r="Q109" s="2" t="s">
        <v>114</v>
      </c>
      <c r="R109" s="2" t="s">
        <v>52</v>
      </c>
      <c r="S109" s="2" t="s">
        <v>108</v>
      </c>
      <c r="T109" s="2"/>
      <c r="U109" s="2" t="str">
        <f t="shared" si="5"/>
        <v>Not Required</v>
      </c>
      <c r="V109" s="2" t="s">
        <v>214</v>
      </c>
    </row>
    <row r="110" spans="1:22" hidden="1" x14ac:dyDescent="0.3">
      <c r="A110" s="2" t="s">
        <v>215</v>
      </c>
      <c r="B110" s="12">
        <f t="shared" si="3"/>
        <v>46238.579799432868</v>
      </c>
      <c r="C110" s="13">
        <v>46238.579799432868</v>
      </c>
      <c r="D110" s="2" t="s">
        <v>185</v>
      </c>
      <c r="E110" s="2" t="str">
        <f t="shared" si="4"/>
        <v>Email Available</v>
      </c>
      <c r="F110" s="2" t="s">
        <v>186</v>
      </c>
      <c r="G110" s="2" t="s">
        <v>195</v>
      </c>
      <c r="H110" s="2" t="s">
        <v>196</v>
      </c>
      <c r="I110" s="2" t="s">
        <v>197</v>
      </c>
      <c r="J110" s="2">
        <v>1</v>
      </c>
      <c r="K110" s="2">
        <v>13.49</v>
      </c>
      <c r="L110" s="2" t="s">
        <v>39</v>
      </c>
      <c r="M110" s="2">
        <v>0</v>
      </c>
      <c r="N110" s="2">
        <v>0</v>
      </c>
      <c r="O110" s="2">
        <v>13.49</v>
      </c>
      <c r="P110" s="2" t="s">
        <v>51</v>
      </c>
      <c r="Q110" s="2" t="s">
        <v>28</v>
      </c>
      <c r="R110" s="2" t="s">
        <v>42</v>
      </c>
      <c r="S110" s="2" t="s">
        <v>30</v>
      </c>
      <c r="T110" s="2" t="s">
        <v>91</v>
      </c>
      <c r="U110" s="2" t="str">
        <f t="shared" si="5"/>
        <v>Valid</v>
      </c>
      <c r="V110" s="2" t="s">
        <v>216</v>
      </c>
    </row>
    <row r="111" spans="1:22" hidden="1" x14ac:dyDescent="0.3">
      <c r="A111" s="2" t="s">
        <v>217</v>
      </c>
      <c r="B111" s="12">
        <f t="shared" si="3"/>
        <v>46238.586074432867</v>
      </c>
      <c r="C111" s="13">
        <v>46238.586074432867</v>
      </c>
      <c r="D111" s="2" t="s">
        <v>218</v>
      </c>
      <c r="E111" s="2" t="str">
        <f t="shared" si="4"/>
        <v>Email Available</v>
      </c>
      <c r="F111" s="2" t="s">
        <v>219</v>
      </c>
      <c r="G111" s="2" t="s">
        <v>171</v>
      </c>
      <c r="H111" s="2" t="s">
        <v>106</v>
      </c>
      <c r="I111" s="2" t="s">
        <v>172</v>
      </c>
      <c r="J111" s="2">
        <v>2</v>
      </c>
      <c r="K111" s="2">
        <v>32.99</v>
      </c>
      <c r="L111" s="2"/>
      <c r="M111" s="2">
        <v>0</v>
      </c>
      <c r="N111" s="2">
        <v>5.99</v>
      </c>
      <c r="O111" s="2">
        <v>71.97</v>
      </c>
      <c r="P111" s="2" t="s">
        <v>40</v>
      </c>
      <c r="Q111" s="2" t="s">
        <v>28</v>
      </c>
      <c r="R111" s="2" t="s">
        <v>52</v>
      </c>
      <c r="S111" s="2" t="s">
        <v>30</v>
      </c>
      <c r="T111" s="2" t="s">
        <v>91</v>
      </c>
      <c r="U111" s="2" t="str">
        <f t="shared" si="5"/>
        <v>Valid</v>
      </c>
      <c r="V111" s="2" t="s">
        <v>220</v>
      </c>
    </row>
    <row r="112" spans="1:22" hidden="1" x14ac:dyDescent="0.3">
      <c r="A112" s="2" t="s">
        <v>221</v>
      </c>
      <c r="B112" s="12">
        <f>DATE(VALUE(RIGHT(C112,4)),MATCH(LEFT(C112,3),{"Jan","Feb","Mar","Apr","May","Jun","Jul","Aug","Sep","Oct","Nov","Dec"},0),VALUE(MID(C112,5,2)))</f>
        <v>46238</v>
      </c>
      <c r="C112" s="13" t="s">
        <v>176</v>
      </c>
      <c r="D112" s="2" t="s">
        <v>169</v>
      </c>
      <c r="E112" s="2" t="str">
        <f t="shared" si="4"/>
        <v>Email Available</v>
      </c>
      <c r="F112" s="2" t="s">
        <v>170</v>
      </c>
      <c r="G112" s="2" t="s">
        <v>187</v>
      </c>
      <c r="H112" s="2" t="s">
        <v>37</v>
      </c>
      <c r="I112" s="2" t="s">
        <v>188</v>
      </c>
      <c r="J112" s="2">
        <v>1</v>
      </c>
      <c r="K112" s="2">
        <v>11.99</v>
      </c>
      <c r="L112" s="2" t="s">
        <v>25</v>
      </c>
      <c r="M112" s="2">
        <v>2.4</v>
      </c>
      <c r="N112" s="2">
        <v>7.99</v>
      </c>
      <c r="O112" s="2">
        <v>17.579999999999998</v>
      </c>
      <c r="P112" s="2" t="s">
        <v>51</v>
      </c>
      <c r="Q112" s="2" t="s">
        <v>41</v>
      </c>
      <c r="R112" s="2" t="s">
        <v>29</v>
      </c>
      <c r="S112" s="2" t="s">
        <v>108</v>
      </c>
      <c r="T112" s="2"/>
      <c r="U112" s="2" t="str">
        <f t="shared" si="5"/>
        <v>Not Required</v>
      </c>
      <c r="V112" s="2" t="s">
        <v>222</v>
      </c>
    </row>
    <row r="113" spans="1:22" hidden="1" x14ac:dyDescent="0.3">
      <c r="A113" s="2" t="s">
        <v>223</v>
      </c>
      <c r="B113" s="12">
        <f t="shared" si="3"/>
        <v>46238.589096898148</v>
      </c>
      <c r="C113" s="13">
        <v>46238.589096898148</v>
      </c>
      <c r="D113" s="2" t="s">
        <v>224</v>
      </c>
      <c r="E113" s="2" t="str">
        <f t="shared" si="4"/>
        <v>Email Available</v>
      </c>
      <c r="F113" s="2" t="s">
        <v>225</v>
      </c>
      <c r="G113" s="2" t="s">
        <v>226</v>
      </c>
      <c r="H113" s="2" t="s">
        <v>23</v>
      </c>
      <c r="I113" s="2" t="s">
        <v>227</v>
      </c>
      <c r="J113" s="2">
        <v>2</v>
      </c>
      <c r="K113" s="2">
        <v>17.989999999999998</v>
      </c>
      <c r="L113" s="2"/>
      <c r="M113" s="2">
        <v>0</v>
      </c>
      <c r="N113" s="2">
        <v>4.99</v>
      </c>
      <c r="O113" s="2">
        <v>40.97</v>
      </c>
      <c r="P113" s="2" t="s">
        <v>74</v>
      </c>
      <c r="Q113" s="2" t="s">
        <v>90</v>
      </c>
      <c r="R113" s="2" t="s">
        <v>52</v>
      </c>
      <c r="S113" s="2" t="s">
        <v>228</v>
      </c>
      <c r="T113" s="2"/>
      <c r="U113" s="2" t="str">
        <f t="shared" si="5"/>
        <v>Not Required</v>
      </c>
      <c r="V113" s="2" t="s">
        <v>229</v>
      </c>
    </row>
    <row r="114" spans="1:22" hidden="1" x14ac:dyDescent="0.3">
      <c r="A114" s="2" t="s">
        <v>230</v>
      </c>
      <c r="B114" s="12">
        <f t="shared" si="3"/>
        <v>46238.585116678238</v>
      </c>
      <c r="C114" s="13">
        <v>46238.585116678238</v>
      </c>
      <c r="D114" s="2" t="s">
        <v>231</v>
      </c>
      <c r="E114" s="2" t="str">
        <f t="shared" si="4"/>
        <v>Email Available</v>
      </c>
      <c r="F114" s="2" t="s">
        <v>232</v>
      </c>
      <c r="G114" s="2" t="s">
        <v>206</v>
      </c>
      <c r="H114" s="2" t="s">
        <v>196</v>
      </c>
      <c r="I114" s="2" t="s">
        <v>207</v>
      </c>
      <c r="J114" s="2">
        <v>1</v>
      </c>
      <c r="K114" s="2">
        <v>24.99</v>
      </c>
      <c r="L114" s="2" t="s">
        <v>233</v>
      </c>
      <c r="M114" s="2">
        <v>3.75</v>
      </c>
      <c r="N114" s="2">
        <v>5.99</v>
      </c>
      <c r="O114" s="2">
        <v>27.23</v>
      </c>
      <c r="P114" s="2" t="s">
        <v>27</v>
      </c>
      <c r="Q114" s="2" t="s">
        <v>28</v>
      </c>
      <c r="R114" s="2" t="s">
        <v>52</v>
      </c>
      <c r="S114" s="2" t="s">
        <v>30</v>
      </c>
      <c r="T114" s="2" t="s">
        <v>115</v>
      </c>
      <c r="U114" s="2" t="str">
        <f t="shared" si="5"/>
        <v>Valid</v>
      </c>
      <c r="V114" s="2" t="s">
        <v>234</v>
      </c>
    </row>
    <row r="115" spans="1:22" x14ac:dyDescent="0.3">
      <c r="A115" s="2" t="s">
        <v>235</v>
      </c>
      <c r="B115" s="12">
        <f t="shared" si="3"/>
        <v>46238.58039221065</v>
      </c>
      <c r="C115" s="13">
        <v>46238.58039221065</v>
      </c>
      <c r="D115" s="2" t="s">
        <v>236</v>
      </c>
      <c r="E115" s="2" t="str">
        <f t="shared" si="4"/>
        <v>Missing Email</v>
      </c>
      <c r="F115" s="2"/>
      <c r="G115" s="2" t="s">
        <v>127</v>
      </c>
      <c r="H115" s="2" t="s">
        <v>81</v>
      </c>
      <c r="I115" s="2" t="s">
        <v>128</v>
      </c>
      <c r="J115" s="2">
        <v>2</v>
      </c>
      <c r="K115" s="2">
        <v>13.99</v>
      </c>
      <c r="L115" s="2" t="s">
        <v>67</v>
      </c>
      <c r="M115" s="2">
        <v>2.8</v>
      </c>
      <c r="N115" s="2">
        <v>4.99</v>
      </c>
      <c r="O115" s="2">
        <v>30.17</v>
      </c>
      <c r="P115" s="2" t="s">
        <v>40</v>
      </c>
      <c r="Q115" s="2" t="s">
        <v>28</v>
      </c>
      <c r="R115" s="2" t="s">
        <v>52</v>
      </c>
      <c r="S115" s="2" t="s">
        <v>43</v>
      </c>
      <c r="T115" s="2"/>
      <c r="U115" s="2" t="str">
        <f t="shared" si="5"/>
        <v>Not Required</v>
      </c>
      <c r="V115" s="2" t="s">
        <v>237</v>
      </c>
    </row>
    <row r="116" spans="1:22" hidden="1" x14ac:dyDescent="0.3">
      <c r="A116" s="2" t="s">
        <v>238</v>
      </c>
      <c r="B116" s="12">
        <f t="shared" si="3"/>
        <v>46238.58307148148</v>
      </c>
      <c r="C116" s="13">
        <v>46238.58307148148</v>
      </c>
      <c r="D116" s="2" t="s">
        <v>239</v>
      </c>
      <c r="E116" s="2" t="str">
        <f t="shared" si="4"/>
        <v>Email Available</v>
      </c>
      <c r="F116" s="2" t="s">
        <v>240</v>
      </c>
      <c r="G116" s="2" t="s">
        <v>241</v>
      </c>
      <c r="H116" s="2" t="s">
        <v>242</v>
      </c>
      <c r="I116" s="2" t="s">
        <v>243</v>
      </c>
      <c r="J116" s="2">
        <v>2</v>
      </c>
      <c r="K116" s="2">
        <v>27.99</v>
      </c>
      <c r="L116" s="2"/>
      <c r="M116" s="2">
        <v>0</v>
      </c>
      <c r="N116" s="2">
        <v>5.99</v>
      </c>
      <c r="O116" s="2">
        <v>61.97</v>
      </c>
      <c r="P116" s="2" t="s">
        <v>74</v>
      </c>
      <c r="Q116" s="2" t="s">
        <v>28</v>
      </c>
      <c r="R116" s="2" t="s">
        <v>52</v>
      </c>
      <c r="S116" s="2" t="s">
        <v>75</v>
      </c>
      <c r="T116" s="2"/>
      <c r="U116" s="2" t="str">
        <f t="shared" si="5"/>
        <v>Not Required</v>
      </c>
      <c r="V116" s="2" t="s">
        <v>244</v>
      </c>
    </row>
    <row r="117" spans="1:22" hidden="1" x14ac:dyDescent="0.3">
      <c r="A117" s="2" t="s">
        <v>245</v>
      </c>
      <c r="B117" s="12">
        <f t="shared" si="3"/>
        <v>46238.580923831018</v>
      </c>
      <c r="C117" s="13">
        <v>46238.580923831018</v>
      </c>
      <c r="D117" s="2" t="s">
        <v>246</v>
      </c>
      <c r="E117" s="2" t="str">
        <f t="shared" si="4"/>
        <v>Email Available</v>
      </c>
      <c r="F117" s="2" t="s">
        <v>247</v>
      </c>
      <c r="G117" s="2" t="s">
        <v>65</v>
      </c>
      <c r="H117" s="2" t="s">
        <v>49</v>
      </c>
      <c r="I117" s="2" t="s">
        <v>66</v>
      </c>
      <c r="J117" s="2">
        <v>2</v>
      </c>
      <c r="K117" s="2">
        <v>14.99</v>
      </c>
      <c r="L117" s="2" t="s">
        <v>67</v>
      </c>
      <c r="M117" s="2">
        <v>3</v>
      </c>
      <c r="N117" s="2">
        <v>7.99</v>
      </c>
      <c r="O117" s="2">
        <v>34.97</v>
      </c>
      <c r="P117" s="2" t="s">
        <v>74</v>
      </c>
      <c r="Q117" s="2" t="s">
        <v>41</v>
      </c>
      <c r="R117" s="2" t="s">
        <v>52</v>
      </c>
      <c r="S117" s="2" t="s">
        <v>30</v>
      </c>
      <c r="T117" s="2" t="s">
        <v>248</v>
      </c>
      <c r="U117" s="2" t="str">
        <f t="shared" si="5"/>
        <v>Valid</v>
      </c>
      <c r="V117" s="2" t="s">
        <v>249</v>
      </c>
    </row>
    <row r="118" spans="1:22" hidden="1" x14ac:dyDescent="0.3">
      <c r="A118" s="2" t="s">
        <v>250</v>
      </c>
      <c r="B118" s="12">
        <f t="shared" si="3"/>
        <v>46120</v>
      </c>
      <c r="C118" s="13" t="s">
        <v>142</v>
      </c>
      <c r="D118" s="2" t="s">
        <v>251</v>
      </c>
      <c r="E118" s="2" t="str">
        <f t="shared" si="4"/>
        <v>Email Available</v>
      </c>
      <c r="F118" s="2" t="s">
        <v>252</v>
      </c>
      <c r="G118" s="2" t="s">
        <v>171</v>
      </c>
      <c r="H118" s="2" t="s">
        <v>106</v>
      </c>
      <c r="I118" s="2" t="s">
        <v>172</v>
      </c>
      <c r="J118" s="2">
        <v>2</v>
      </c>
      <c r="K118" s="2">
        <v>32.99</v>
      </c>
      <c r="L118" s="2" t="s">
        <v>25</v>
      </c>
      <c r="M118" s="2">
        <v>13.2</v>
      </c>
      <c r="N118" s="2">
        <v>5.99</v>
      </c>
      <c r="O118" s="2">
        <v>58.77</v>
      </c>
      <c r="P118" s="2" t="s">
        <v>51</v>
      </c>
      <c r="Q118" s="2" t="s">
        <v>28</v>
      </c>
      <c r="R118" s="2" t="s">
        <v>99</v>
      </c>
      <c r="S118" s="2" t="s">
        <v>43</v>
      </c>
      <c r="T118" s="2"/>
      <c r="U118" s="2" t="str">
        <f t="shared" si="5"/>
        <v>Not Required</v>
      </c>
      <c r="V118" s="2" t="s">
        <v>253</v>
      </c>
    </row>
    <row r="119" spans="1:22" x14ac:dyDescent="0.3">
      <c r="A119" s="2" t="s">
        <v>254</v>
      </c>
      <c r="B119" s="12">
        <f t="shared" si="3"/>
        <v>46238</v>
      </c>
      <c r="C119" s="13" t="s">
        <v>255</v>
      </c>
      <c r="D119" s="2" t="s">
        <v>256</v>
      </c>
      <c r="E119" s="2" t="str">
        <f t="shared" si="4"/>
        <v>Missing Email</v>
      </c>
      <c r="F119" s="2"/>
      <c r="G119" s="2" t="s">
        <v>120</v>
      </c>
      <c r="H119" s="2" t="s">
        <v>23</v>
      </c>
      <c r="I119" s="2" t="s">
        <v>24</v>
      </c>
      <c r="J119" s="2">
        <v>2</v>
      </c>
      <c r="K119" s="2">
        <v>12.99</v>
      </c>
      <c r="L119" s="2"/>
      <c r="M119" s="2">
        <v>0</v>
      </c>
      <c r="N119" s="2">
        <v>4.99</v>
      </c>
      <c r="O119" s="2">
        <v>30.97</v>
      </c>
      <c r="P119" s="2" t="s">
        <v>27</v>
      </c>
      <c r="Q119" s="2" t="s">
        <v>90</v>
      </c>
      <c r="R119" s="2" t="s">
        <v>52</v>
      </c>
      <c r="S119" s="2" t="s">
        <v>30</v>
      </c>
      <c r="T119" s="2" t="s">
        <v>115</v>
      </c>
      <c r="U119" s="2" t="str">
        <f t="shared" si="5"/>
        <v>Valid</v>
      </c>
      <c r="V119" s="2" t="s">
        <v>257</v>
      </c>
    </row>
    <row r="120" spans="1:22" hidden="1" x14ac:dyDescent="0.3">
      <c r="A120" s="2" t="s">
        <v>258</v>
      </c>
      <c r="B120" s="12">
        <f t="shared" si="3"/>
        <v>46238.584945821764</v>
      </c>
      <c r="C120" s="13">
        <v>46238.584945821764</v>
      </c>
      <c r="D120" s="2" t="s">
        <v>259</v>
      </c>
      <c r="E120" s="2" t="str">
        <f t="shared" si="4"/>
        <v>Email Available</v>
      </c>
      <c r="F120" s="2" t="s">
        <v>260</v>
      </c>
      <c r="G120" s="2" t="s">
        <v>151</v>
      </c>
      <c r="H120" s="2" t="s">
        <v>49</v>
      </c>
      <c r="I120" s="2" t="s">
        <v>152</v>
      </c>
      <c r="J120" s="2">
        <v>1</v>
      </c>
      <c r="K120" s="2">
        <v>34.99</v>
      </c>
      <c r="L120" s="2" t="s">
        <v>67</v>
      </c>
      <c r="M120" s="2" t="s">
        <v>261</v>
      </c>
      <c r="N120" s="2">
        <v>7.99</v>
      </c>
      <c r="O120" s="2">
        <v>39.479999999999997</v>
      </c>
      <c r="P120" s="2" t="s">
        <v>27</v>
      </c>
      <c r="Q120" s="2" t="s">
        <v>114</v>
      </c>
      <c r="R120" s="2" t="s">
        <v>52</v>
      </c>
      <c r="S120" s="2" t="s">
        <v>30</v>
      </c>
      <c r="T120" s="2" t="s">
        <v>248</v>
      </c>
      <c r="U120" s="2" t="str">
        <f t="shared" si="5"/>
        <v>Valid</v>
      </c>
      <c r="V120" s="2" t="s">
        <v>262</v>
      </c>
    </row>
    <row r="121" spans="1:22" hidden="1" x14ac:dyDescent="0.3">
      <c r="A121" s="2" t="s">
        <v>263</v>
      </c>
      <c r="B121" s="12">
        <f t="shared" si="3"/>
        <v>46238.585915659722</v>
      </c>
      <c r="C121" s="13">
        <v>46238.585915659722</v>
      </c>
      <c r="D121" s="2" t="s">
        <v>264</v>
      </c>
      <c r="E121" s="2" t="str">
        <f t="shared" si="4"/>
        <v>Email Available</v>
      </c>
      <c r="F121" s="2" t="s">
        <v>265</v>
      </c>
      <c r="G121" s="2" t="s">
        <v>266</v>
      </c>
      <c r="H121" s="2" t="s">
        <v>37</v>
      </c>
      <c r="I121" s="2" t="s">
        <v>267</v>
      </c>
      <c r="J121" s="2">
        <v>1</v>
      </c>
      <c r="K121" s="2">
        <v>15.49</v>
      </c>
      <c r="L121" s="2"/>
      <c r="M121" s="2">
        <v>0</v>
      </c>
      <c r="N121" s="2">
        <v>7.99</v>
      </c>
      <c r="O121" s="2">
        <v>23.48</v>
      </c>
      <c r="P121" s="2" t="s">
        <v>27</v>
      </c>
      <c r="Q121" s="2" t="s">
        <v>90</v>
      </c>
      <c r="R121" s="2" t="s">
        <v>52</v>
      </c>
      <c r="S121" s="2" t="s">
        <v>30</v>
      </c>
      <c r="T121" s="2" t="s">
        <v>31</v>
      </c>
      <c r="U121" s="2" t="str">
        <f t="shared" si="5"/>
        <v>Valid</v>
      </c>
      <c r="V121" s="2" t="s">
        <v>268</v>
      </c>
    </row>
    <row r="122" spans="1:22" hidden="1" x14ac:dyDescent="0.3">
      <c r="A122" s="2" t="s">
        <v>269</v>
      </c>
      <c r="B122" s="12">
        <f t="shared" si="3"/>
        <v>46238.588462453707</v>
      </c>
      <c r="C122" s="13">
        <v>46238.588462453707</v>
      </c>
      <c r="D122" s="2" t="s">
        <v>270</v>
      </c>
      <c r="E122" s="2" t="str">
        <f t="shared" si="4"/>
        <v>Email Available</v>
      </c>
      <c r="F122" s="2" t="s">
        <v>271</v>
      </c>
      <c r="G122" s="2" t="s">
        <v>272</v>
      </c>
      <c r="H122" s="2" t="s">
        <v>23</v>
      </c>
      <c r="I122" s="2" t="s">
        <v>273</v>
      </c>
      <c r="J122" s="2">
        <v>1</v>
      </c>
      <c r="K122" s="2">
        <v>18.989999999999998</v>
      </c>
      <c r="L122" s="2" t="s">
        <v>121</v>
      </c>
      <c r="M122" s="2">
        <v>4.75</v>
      </c>
      <c r="N122" s="2">
        <v>7.99</v>
      </c>
      <c r="O122" s="2">
        <v>22.23</v>
      </c>
      <c r="P122" s="2" t="s">
        <v>40</v>
      </c>
      <c r="Q122" s="2" t="s">
        <v>28</v>
      </c>
      <c r="R122" s="2" t="s">
        <v>52</v>
      </c>
      <c r="S122" s="2" t="s">
        <v>30</v>
      </c>
      <c r="T122" s="2" t="s">
        <v>91</v>
      </c>
      <c r="U122" s="2" t="str">
        <f t="shared" si="5"/>
        <v>Valid</v>
      </c>
      <c r="V122" s="2" t="s">
        <v>274</v>
      </c>
    </row>
    <row r="123" spans="1:22" hidden="1" x14ac:dyDescent="0.3">
      <c r="A123" s="2" t="s">
        <v>279</v>
      </c>
      <c r="B123" s="12">
        <f>DATE(VALUE(RIGHT(C123,4)),MATCH(LEFT(C123,3),{"Jan","Feb","Mar","Apr","May","Jun","Jul","Aug","Sep","Oct","Nov","Dec"},0),VALUE(MID(C123,5,2)))</f>
        <v>46238</v>
      </c>
      <c r="C123" s="13" t="s">
        <v>176</v>
      </c>
      <c r="D123" s="2" t="s">
        <v>280</v>
      </c>
      <c r="E123" s="2" t="str">
        <f t="shared" si="4"/>
        <v>Email Available</v>
      </c>
      <c r="F123" s="2" t="s">
        <v>281</v>
      </c>
      <c r="G123" s="2" t="s">
        <v>58</v>
      </c>
      <c r="H123" s="2" t="s">
        <v>23</v>
      </c>
      <c r="I123" s="2" t="s">
        <v>59</v>
      </c>
      <c r="J123" s="2">
        <v>2</v>
      </c>
      <c r="K123" s="2">
        <v>9.99</v>
      </c>
      <c r="L123" s="2"/>
      <c r="M123" s="2">
        <v>0</v>
      </c>
      <c r="N123" s="2">
        <v>5.99</v>
      </c>
      <c r="O123" s="2">
        <v>25.97</v>
      </c>
      <c r="P123" s="2" t="s">
        <v>74</v>
      </c>
      <c r="Q123" s="2" t="s">
        <v>28</v>
      </c>
      <c r="R123" s="2" t="s">
        <v>42</v>
      </c>
      <c r="S123" s="2" t="s">
        <v>75</v>
      </c>
      <c r="T123" s="2"/>
      <c r="U123" s="2" t="str">
        <f t="shared" si="5"/>
        <v>Not Required</v>
      </c>
      <c r="V123" s="2" t="s">
        <v>282</v>
      </c>
    </row>
    <row r="124" spans="1:22" hidden="1" x14ac:dyDescent="0.3">
      <c r="A124" s="2" t="s">
        <v>283</v>
      </c>
      <c r="B124" s="12">
        <f t="shared" si="3"/>
        <v>46238.579412118059</v>
      </c>
      <c r="C124" s="13">
        <v>46238.579412118059</v>
      </c>
      <c r="D124" s="2" t="s">
        <v>181</v>
      </c>
      <c r="E124" s="2" t="str">
        <f t="shared" si="4"/>
        <v>Email Available</v>
      </c>
      <c r="F124" s="2" t="s">
        <v>182</v>
      </c>
      <c r="G124" s="2" t="s">
        <v>284</v>
      </c>
      <c r="H124" s="2" t="s">
        <v>23</v>
      </c>
      <c r="I124" s="2" t="s">
        <v>285</v>
      </c>
      <c r="J124" s="2">
        <v>1</v>
      </c>
      <c r="K124" s="2">
        <v>24.99</v>
      </c>
      <c r="L124" s="2" t="s">
        <v>25</v>
      </c>
      <c r="M124" s="2">
        <v>5</v>
      </c>
      <c r="N124" s="2">
        <v>7.99</v>
      </c>
      <c r="O124" s="2">
        <v>27.98</v>
      </c>
      <c r="P124" s="2" t="s">
        <v>51</v>
      </c>
      <c r="Q124" s="2" t="s">
        <v>41</v>
      </c>
      <c r="R124" s="2" t="s">
        <v>99</v>
      </c>
      <c r="S124" s="2" t="s">
        <v>30</v>
      </c>
      <c r="T124" s="2" t="s">
        <v>31</v>
      </c>
      <c r="U124" s="2" t="str">
        <f t="shared" si="5"/>
        <v>Valid</v>
      </c>
      <c r="V124" s="2" t="s">
        <v>286</v>
      </c>
    </row>
    <row r="125" spans="1:22" hidden="1" x14ac:dyDescent="0.3">
      <c r="A125" s="2" t="s">
        <v>287</v>
      </c>
      <c r="B125" s="12">
        <f t="shared" si="3"/>
        <v>46238.589044282409</v>
      </c>
      <c r="C125" s="13">
        <v>46238.589044282409</v>
      </c>
      <c r="D125" s="2" t="s">
        <v>288</v>
      </c>
      <c r="E125" s="2" t="str">
        <f t="shared" si="4"/>
        <v>Email Available</v>
      </c>
      <c r="F125" s="2" t="s">
        <v>289</v>
      </c>
      <c r="G125" s="2" t="s">
        <v>266</v>
      </c>
      <c r="H125" s="2" t="s">
        <v>37</v>
      </c>
      <c r="I125" s="2" t="s">
        <v>267</v>
      </c>
      <c r="J125" s="2">
        <v>1</v>
      </c>
      <c r="K125" s="2">
        <v>15.49</v>
      </c>
      <c r="L125" s="2"/>
      <c r="M125" s="2">
        <v>0</v>
      </c>
      <c r="N125" s="2">
        <v>5.99</v>
      </c>
      <c r="O125" s="2">
        <v>21.48</v>
      </c>
      <c r="P125" s="2" t="s">
        <v>51</v>
      </c>
      <c r="Q125" s="2" t="s">
        <v>114</v>
      </c>
      <c r="R125" s="2" t="s">
        <v>52</v>
      </c>
      <c r="S125" s="2" t="s">
        <v>30</v>
      </c>
      <c r="T125" s="2" t="s">
        <v>75</v>
      </c>
      <c r="U125" s="2" t="str">
        <f t="shared" si="5"/>
        <v>Valid</v>
      </c>
      <c r="V125" s="2" t="s">
        <v>290</v>
      </c>
    </row>
    <row r="126" spans="1:22" hidden="1" x14ac:dyDescent="0.3">
      <c r="A126" s="2" t="s">
        <v>291</v>
      </c>
      <c r="B126" s="12">
        <f t="shared" si="3"/>
        <v>46238.585457986112</v>
      </c>
      <c r="C126" s="13">
        <v>46238.585457986112</v>
      </c>
      <c r="D126" s="2" t="s">
        <v>292</v>
      </c>
      <c r="E126" s="2" t="str">
        <f t="shared" si="4"/>
        <v>Email Available</v>
      </c>
      <c r="F126" s="2" t="s">
        <v>293</v>
      </c>
      <c r="G126" s="2" t="s">
        <v>87</v>
      </c>
      <c r="H126" s="2" t="s">
        <v>88</v>
      </c>
      <c r="I126" s="2" t="s">
        <v>89</v>
      </c>
      <c r="J126" s="2">
        <v>1</v>
      </c>
      <c r="K126" s="2">
        <v>54.99</v>
      </c>
      <c r="L126" s="2" t="s">
        <v>208</v>
      </c>
      <c r="M126" s="2">
        <v>8.25</v>
      </c>
      <c r="N126" s="2">
        <v>7.99</v>
      </c>
      <c r="O126" s="2">
        <v>54.73</v>
      </c>
      <c r="P126" s="2" t="s">
        <v>51</v>
      </c>
      <c r="Q126" s="2" t="s">
        <v>28</v>
      </c>
      <c r="R126" s="2" t="s">
        <v>52</v>
      </c>
      <c r="S126" s="2" t="s">
        <v>30</v>
      </c>
      <c r="T126" s="2" t="s">
        <v>294</v>
      </c>
      <c r="U126" s="2" t="str">
        <f t="shared" si="5"/>
        <v>Valid</v>
      </c>
      <c r="V126" s="2" t="s">
        <v>295</v>
      </c>
    </row>
    <row r="127" spans="1:22" hidden="1" x14ac:dyDescent="0.3">
      <c r="A127" s="2" t="s">
        <v>296</v>
      </c>
      <c r="B127" s="12">
        <f t="shared" si="3"/>
        <v>46238.58659467593</v>
      </c>
      <c r="C127" s="13">
        <v>46238.58659467593</v>
      </c>
      <c r="D127" s="2" t="s">
        <v>297</v>
      </c>
      <c r="E127" s="2" t="str">
        <f t="shared" si="4"/>
        <v>Email Available</v>
      </c>
      <c r="F127" s="2" t="s">
        <v>298</v>
      </c>
      <c r="G127" s="2" t="s">
        <v>157</v>
      </c>
      <c r="H127" s="2" t="s">
        <v>37</v>
      </c>
      <c r="I127" s="2" t="s">
        <v>158</v>
      </c>
      <c r="J127" s="2">
        <v>1</v>
      </c>
      <c r="K127" s="2">
        <v>29.99</v>
      </c>
      <c r="L127" s="2" t="s">
        <v>208</v>
      </c>
      <c r="M127" s="2">
        <v>4.5</v>
      </c>
      <c r="N127" s="2">
        <v>7.99</v>
      </c>
      <c r="O127" s="2" t="s">
        <v>299</v>
      </c>
      <c r="P127" s="2" t="s">
        <v>27</v>
      </c>
      <c r="Q127" s="2" t="s">
        <v>28</v>
      </c>
      <c r="R127" s="2" t="s">
        <v>52</v>
      </c>
      <c r="S127" s="2" t="s">
        <v>228</v>
      </c>
      <c r="T127" s="2"/>
      <c r="U127" s="2" t="str">
        <f t="shared" si="5"/>
        <v>Not Required</v>
      </c>
      <c r="V127" s="2" t="s">
        <v>300</v>
      </c>
    </row>
    <row r="128" spans="1:22" hidden="1" x14ac:dyDescent="0.3">
      <c r="A128" s="2" t="s">
        <v>301</v>
      </c>
      <c r="B128" s="12">
        <f t="shared" si="3"/>
        <v>46238.58832560185</v>
      </c>
      <c r="C128" s="13">
        <v>46238.58832560185</v>
      </c>
      <c r="D128" s="2" t="s">
        <v>302</v>
      </c>
      <c r="E128" s="2" t="str">
        <f t="shared" si="4"/>
        <v>Email Available</v>
      </c>
      <c r="F128" s="2" t="s">
        <v>303</v>
      </c>
      <c r="G128" s="2" t="s">
        <v>206</v>
      </c>
      <c r="H128" s="2" t="s">
        <v>196</v>
      </c>
      <c r="I128" s="2" t="s">
        <v>207</v>
      </c>
      <c r="J128" s="2">
        <v>1</v>
      </c>
      <c r="K128" s="2">
        <v>24.99</v>
      </c>
      <c r="L128" s="2" t="s">
        <v>67</v>
      </c>
      <c r="M128" s="2">
        <v>2.5</v>
      </c>
      <c r="N128" s="2">
        <v>5.99</v>
      </c>
      <c r="O128" s="2">
        <v>28.48</v>
      </c>
      <c r="P128" s="2" t="s">
        <v>74</v>
      </c>
      <c r="Q128" s="2" t="s">
        <v>41</v>
      </c>
      <c r="R128" s="2" t="s">
        <v>52</v>
      </c>
      <c r="S128" s="2" t="s">
        <v>108</v>
      </c>
      <c r="T128" s="2"/>
      <c r="U128" s="2" t="str">
        <f t="shared" si="5"/>
        <v>Not Required</v>
      </c>
      <c r="V128" s="2" t="s">
        <v>304</v>
      </c>
    </row>
    <row r="129" spans="1:22" hidden="1" x14ac:dyDescent="0.3">
      <c r="A129" s="2" t="s">
        <v>305</v>
      </c>
      <c r="B129" s="12">
        <f t="shared" si="3"/>
        <v>46238.585318680547</v>
      </c>
      <c r="C129" s="13">
        <v>46238.585318680547</v>
      </c>
      <c r="D129" s="2" t="s">
        <v>306</v>
      </c>
      <c r="E129" s="2" t="str">
        <f t="shared" si="4"/>
        <v>Email Available</v>
      </c>
      <c r="F129" s="2" t="s">
        <v>138</v>
      </c>
      <c r="G129" s="2" t="s">
        <v>187</v>
      </c>
      <c r="H129" s="2" t="s">
        <v>37</v>
      </c>
      <c r="I129" s="2" t="s">
        <v>188</v>
      </c>
      <c r="J129" s="2">
        <v>2</v>
      </c>
      <c r="K129" s="2">
        <v>11.99</v>
      </c>
      <c r="L129" s="2" t="s">
        <v>67</v>
      </c>
      <c r="M129" s="2">
        <v>2.4</v>
      </c>
      <c r="N129" s="2">
        <v>5.99</v>
      </c>
      <c r="O129" s="2">
        <v>27.57</v>
      </c>
      <c r="P129" s="2" t="s">
        <v>27</v>
      </c>
      <c r="Q129" s="2" t="s">
        <v>90</v>
      </c>
      <c r="R129" s="2" t="s">
        <v>42</v>
      </c>
      <c r="S129" s="2" t="s">
        <v>30</v>
      </c>
      <c r="T129" s="2" t="s">
        <v>31</v>
      </c>
      <c r="U129" s="2" t="str">
        <f t="shared" si="5"/>
        <v>Valid</v>
      </c>
      <c r="V129" s="2" t="s">
        <v>307</v>
      </c>
    </row>
    <row r="130" spans="1:22" hidden="1" x14ac:dyDescent="0.3">
      <c r="A130" s="2" t="s">
        <v>308</v>
      </c>
      <c r="B130" s="12">
        <f t="shared" si="3"/>
        <v>46238.584662476853</v>
      </c>
      <c r="C130" s="13">
        <v>46238.584662476853</v>
      </c>
      <c r="D130" s="2" t="s">
        <v>309</v>
      </c>
      <c r="E130" s="2" t="str">
        <f t="shared" si="4"/>
        <v>Email Available</v>
      </c>
      <c r="F130" s="2" t="s">
        <v>310</v>
      </c>
      <c r="G130" s="2" t="s">
        <v>127</v>
      </c>
      <c r="H130" s="2" t="s">
        <v>81</v>
      </c>
      <c r="I130" s="2" t="s">
        <v>128</v>
      </c>
      <c r="J130" s="2">
        <v>1</v>
      </c>
      <c r="K130" s="2">
        <v>13.99</v>
      </c>
      <c r="L130" s="2" t="s">
        <v>121</v>
      </c>
      <c r="M130" s="2">
        <v>3.5</v>
      </c>
      <c r="N130" s="2">
        <v>4.99</v>
      </c>
      <c r="O130" s="2">
        <v>15.48</v>
      </c>
      <c r="P130" s="2" t="s">
        <v>40</v>
      </c>
      <c r="Q130" s="2" t="s">
        <v>28</v>
      </c>
      <c r="R130" s="2" t="s">
        <v>52</v>
      </c>
      <c r="S130" s="2" t="s">
        <v>30</v>
      </c>
      <c r="T130" s="2" t="s">
        <v>145</v>
      </c>
      <c r="U130" s="2" t="str">
        <f t="shared" si="5"/>
        <v>Valid</v>
      </c>
      <c r="V130" s="2" t="s">
        <v>311</v>
      </c>
    </row>
    <row r="131" spans="1:22" hidden="1" x14ac:dyDescent="0.3">
      <c r="A131" s="2" t="s">
        <v>312</v>
      </c>
      <c r="B131" s="12">
        <f t="shared" ref="B131:B194" si="6">IF(ISNUMBER(C131),C131,DATEVALUE(SUBSTITUTE(TRIM(C131),CHAR(160)," ")))</f>
        <v>46238.58280945602</v>
      </c>
      <c r="C131" s="13">
        <v>46238.58280945602</v>
      </c>
      <c r="D131" s="2" t="s">
        <v>313</v>
      </c>
      <c r="E131" s="2" t="str">
        <f t="shared" ref="E131:E194" si="7">IF(TRIM(F131)="","Missing Email","Email Available")</f>
        <v>Email Available</v>
      </c>
      <c r="F131" s="2" t="s">
        <v>314</v>
      </c>
      <c r="G131" s="2" t="s">
        <v>315</v>
      </c>
      <c r="H131" s="2" t="s">
        <v>37</v>
      </c>
      <c r="I131" s="2" t="s">
        <v>316</v>
      </c>
      <c r="J131" s="2">
        <v>1</v>
      </c>
      <c r="K131" s="2">
        <v>8.99</v>
      </c>
      <c r="L131" s="2" t="s">
        <v>121</v>
      </c>
      <c r="M131" s="2">
        <v>2.25</v>
      </c>
      <c r="N131" s="2">
        <v>7.99</v>
      </c>
      <c r="O131" s="2">
        <v>14.73</v>
      </c>
      <c r="P131" s="2" t="s">
        <v>74</v>
      </c>
      <c r="Q131" s="2" t="s">
        <v>28</v>
      </c>
      <c r="R131" s="2" t="s">
        <v>52</v>
      </c>
      <c r="S131" s="2" t="s">
        <v>108</v>
      </c>
      <c r="T131" s="2"/>
      <c r="U131" s="2" t="str">
        <f t="shared" ref="U131:U194" si="8">IF(AND(S131="United States",T131=""),"Missing state",IF(T131="","Not Required","Valid"))</f>
        <v>Not Required</v>
      </c>
      <c r="V131" s="2" t="s">
        <v>317</v>
      </c>
    </row>
    <row r="132" spans="1:22" hidden="1" x14ac:dyDescent="0.3">
      <c r="A132" s="2" t="s">
        <v>318</v>
      </c>
      <c r="B132" s="12">
        <f t="shared" si="6"/>
        <v>46238.585560856482</v>
      </c>
      <c r="C132" s="13">
        <v>46238.585560856482</v>
      </c>
      <c r="D132" s="2" t="s">
        <v>319</v>
      </c>
      <c r="E132" s="2" t="str">
        <f t="shared" si="7"/>
        <v>Email Available</v>
      </c>
      <c r="F132" s="2" t="s">
        <v>320</v>
      </c>
      <c r="G132" s="2" t="s">
        <v>120</v>
      </c>
      <c r="H132" s="2" t="s">
        <v>23</v>
      </c>
      <c r="I132" s="2" t="s">
        <v>24</v>
      </c>
      <c r="J132" s="2">
        <v>3</v>
      </c>
      <c r="K132" s="2">
        <v>12.99</v>
      </c>
      <c r="L132" s="2" t="s">
        <v>208</v>
      </c>
      <c r="M132" s="2">
        <v>5.85</v>
      </c>
      <c r="N132" s="2">
        <v>7.99</v>
      </c>
      <c r="O132" s="2">
        <v>41.11</v>
      </c>
      <c r="P132" s="2" t="s">
        <v>74</v>
      </c>
      <c r="Q132" s="2" t="s">
        <v>41</v>
      </c>
      <c r="R132" s="2" t="s">
        <v>99</v>
      </c>
      <c r="S132" s="2" t="s">
        <v>75</v>
      </c>
      <c r="T132" s="2"/>
      <c r="U132" s="2" t="str">
        <f t="shared" si="8"/>
        <v>Not Required</v>
      </c>
      <c r="V132" s="2" t="s">
        <v>321</v>
      </c>
    </row>
    <row r="133" spans="1:22" x14ac:dyDescent="0.3">
      <c r="A133" s="2" t="s">
        <v>322</v>
      </c>
      <c r="B133" s="12">
        <f t="shared" si="6"/>
        <v>46238.588987442126</v>
      </c>
      <c r="C133" s="13">
        <v>46238.588987442126</v>
      </c>
      <c r="D133" s="2" t="s">
        <v>323</v>
      </c>
      <c r="E133" s="2" t="str">
        <f t="shared" si="7"/>
        <v>Missing Email</v>
      </c>
      <c r="F133" s="2"/>
      <c r="G133" s="2" t="s">
        <v>266</v>
      </c>
      <c r="H133" s="2" t="s">
        <v>37</v>
      </c>
      <c r="I133" s="2" t="s">
        <v>267</v>
      </c>
      <c r="J133" s="2">
        <v>2</v>
      </c>
      <c r="K133" s="2" t="s">
        <v>324</v>
      </c>
      <c r="L133" s="2"/>
      <c r="M133" s="2">
        <v>0</v>
      </c>
      <c r="N133" s="2">
        <v>4.99</v>
      </c>
      <c r="O133" s="2">
        <v>35.97</v>
      </c>
      <c r="P133" s="2" t="s">
        <v>27</v>
      </c>
      <c r="Q133" s="2" t="s">
        <v>41</v>
      </c>
      <c r="R133" s="2" t="s">
        <v>99</v>
      </c>
      <c r="S133" s="2" t="s">
        <v>30</v>
      </c>
      <c r="T133" s="2" t="s">
        <v>53</v>
      </c>
      <c r="U133" s="2" t="str">
        <f t="shared" si="8"/>
        <v>Valid</v>
      </c>
      <c r="V133" s="2" t="s">
        <v>325</v>
      </c>
    </row>
    <row r="134" spans="1:22" hidden="1" x14ac:dyDescent="0.3">
      <c r="A134" s="2" t="s">
        <v>326</v>
      </c>
      <c r="B134" s="12">
        <f t="shared" si="6"/>
        <v>46238.579989502323</v>
      </c>
      <c r="C134" s="13">
        <v>46238.579989502323</v>
      </c>
      <c r="D134" s="2" t="s">
        <v>327</v>
      </c>
      <c r="E134" s="2" t="str">
        <f t="shared" si="7"/>
        <v>Email Available</v>
      </c>
      <c r="F134" s="2" t="s">
        <v>328</v>
      </c>
      <c r="G134" s="2" t="s">
        <v>272</v>
      </c>
      <c r="H134" s="2" t="s">
        <v>23</v>
      </c>
      <c r="I134" s="2" t="s">
        <v>273</v>
      </c>
      <c r="J134" s="2">
        <v>1</v>
      </c>
      <c r="K134" s="2">
        <v>18.989999999999998</v>
      </c>
      <c r="L134" s="2"/>
      <c r="M134" s="2" t="s">
        <v>189</v>
      </c>
      <c r="N134" s="2">
        <v>4.99</v>
      </c>
      <c r="O134" s="2">
        <v>23.98</v>
      </c>
      <c r="P134" s="2" t="s">
        <v>68</v>
      </c>
      <c r="Q134" s="2" t="s">
        <v>28</v>
      </c>
      <c r="R134" s="2" t="s">
        <v>42</v>
      </c>
      <c r="S134" s="2" t="s">
        <v>228</v>
      </c>
      <c r="T134" s="2"/>
      <c r="U134" s="2" t="str">
        <f t="shared" si="8"/>
        <v>Not Required</v>
      </c>
      <c r="V134" s="2" t="s">
        <v>329</v>
      </c>
    </row>
    <row r="135" spans="1:22" hidden="1" x14ac:dyDescent="0.3">
      <c r="A135" s="2" t="s">
        <v>330</v>
      </c>
      <c r="B135" s="12">
        <f t="shared" si="6"/>
        <v>46238.587849675932</v>
      </c>
      <c r="C135" s="13">
        <v>46238.587849675932</v>
      </c>
      <c r="D135" s="2" t="s">
        <v>331</v>
      </c>
      <c r="E135" s="2" t="str">
        <f t="shared" si="7"/>
        <v>Email Available</v>
      </c>
      <c r="F135" s="2" t="s">
        <v>332</v>
      </c>
      <c r="G135" s="2" t="s">
        <v>151</v>
      </c>
      <c r="H135" s="2" t="s">
        <v>49</v>
      </c>
      <c r="I135" s="2" t="s">
        <v>152</v>
      </c>
      <c r="J135" s="2">
        <v>1</v>
      </c>
      <c r="K135" s="2">
        <v>34.99</v>
      </c>
      <c r="L135" s="2" t="s">
        <v>25</v>
      </c>
      <c r="M135" s="2">
        <v>7</v>
      </c>
      <c r="N135" s="2">
        <v>7.99</v>
      </c>
      <c r="O135" s="2">
        <v>35.979999999999997</v>
      </c>
      <c r="P135" s="2" t="s">
        <v>51</v>
      </c>
      <c r="Q135" s="2" t="s">
        <v>41</v>
      </c>
      <c r="R135" s="2" t="s">
        <v>29</v>
      </c>
      <c r="S135" s="2" t="s">
        <v>30</v>
      </c>
      <c r="T135" s="2" t="s">
        <v>31</v>
      </c>
      <c r="U135" s="2" t="str">
        <f t="shared" si="8"/>
        <v>Valid</v>
      </c>
      <c r="V135" s="2" t="s">
        <v>333</v>
      </c>
    </row>
    <row r="136" spans="1:22" hidden="1" x14ac:dyDescent="0.3">
      <c r="A136" s="2" t="s">
        <v>334</v>
      </c>
      <c r="B136" s="12">
        <f t="shared" si="6"/>
        <v>46238.58657172454</v>
      </c>
      <c r="C136" s="13">
        <v>46238.58657172454</v>
      </c>
      <c r="D136" s="2" t="s">
        <v>335</v>
      </c>
      <c r="E136" s="2" t="str">
        <f t="shared" si="7"/>
        <v>Email Available</v>
      </c>
      <c r="F136" s="2" t="s">
        <v>336</v>
      </c>
      <c r="G136" s="2" t="s">
        <v>272</v>
      </c>
      <c r="H136" s="2" t="s">
        <v>23</v>
      </c>
      <c r="I136" s="2" t="s">
        <v>273</v>
      </c>
      <c r="J136" s="2">
        <v>1</v>
      </c>
      <c r="K136" s="2">
        <v>18.989999999999998</v>
      </c>
      <c r="L136" s="2" t="s">
        <v>25</v>
      </c>
      <c r="M136" s="2">
        <v>3.8</v>
      </c>
      <c r="N136" s="2">
        <v>7.99</v>
      </c>
      <c r="O136" s="2">
        <v>23.18</v>
      </c>
      <c r="P136" s="2" t="s">
        <v>68</v>
      </c>
      <c r="Q136" s="2" t="s">
        <v>114</v>
      </c>
      <c r="R136" s="2" t="s">
        <v>52</v>
      </c>
      <c r="S136" s="2" t="s">
        <v>337</v>
      </c>
      <c r="T136" s="2"/>
      <c r="U136" s="2" t="str">
        <f t="shared" si="8"/>
        <v>Not Required</v>
      </c>
      <c r="V136" s="2" t="s">
        <v>338</v>
      </c>
    </row>
    <row r="137" spans="1:22" hidden="1" x14ac:dyDescent="0.3">
      <c r="A137" s="2" t="s">
        <v>339</v>
      </c>
      <c r="B137" s="12">
        <f t="shared" si="6"/>
        <v>46238.58249483796</v>
      </c>
      <c r="C137" s="13">
        <v>46238.58249483796</v>
      </c>
      <c r="D137" s="2" t="s">
        <v>340</v>
      </c>
      <c r="E137" s="2" t="str">
        <f t="shared" si="7"/>
        <v>Email Available</v>
      </c>
      <c r="F137" s="2" t="s">
        <v>341</v>
      </c>
      <c r="G137" s="2" t="s">
        <v>266</v>
      </c>
      <c r="H137" s="2" t="s">
        <v>37</v>
      </c>
      <c r="I137" s="2" t="s">
        <v>267</v>
      </c>
      <c r="J137" s="2">
        <v>1</v>
      </c>
      <c r="K137" s="2">
        <v>15.49</v>
      </c>
      <c r="L137" s="2" t="s">
        <v>67</v>
      </c>
      <c r="M137" s="2">
        <v>1.55</v>
      </c>
      <c r="N137" s="2">
        <v>5.99</v>
      </c>
      <c r="O137" s="2">
        <v>19.93</v>
      </c>
      <c r="P137" s="2" t="s">
        <v>40</v>
      </c>
      <c r="Q137" s="2" t="s">
        <v>28</v>
      </c>
      <c r="R137" s="2" t="s">
        <v>52</v>
      </c>
      <c r="S137" s="2" t="s">
        <v>43</v>
      </c>
      <c r="T137" s="2"/>
      <c r="U137" s="2" t="str">
        <f t="shared" si="8"/>
        <v>Not Required</v>
      </c>
      <c r="V137" s="2" t="s">
        <v>342</v>
      </c>
    </row>
    <row r="138" spans="1:22" x14ac:dyDescent="0.3">
      <c r="A138" s="2" t="s">
        <v>343</v>
      </c>
      <c r="B138" s="12">
        <f t="shared" si="6"/>
        <v>46238</v>
      </c>
      <c r="C138" s="13" t="s">
        <v>344</v>
      </c>
      <c r="D138" s="2" t="s">
        <v>345</v>
      </c>
      <c r="E138" s="2" t="str">
        <f t="shared" si="7"/>
        <v>Missing Email</v>
      </c>
      <c r="F138" s="2"/>
      <c r="G138" s="2" t="s">
        <v>151</v>
      </c>
      <c r="H138" s="2" t="s">
        <v>49</v>
      </c>
      <c r="I138" s="2" t="s">
        <v>152</v>
      </c>
      <c r="J138" s="2">
        <v>1</v>
      </c>
      <c r="K138" s="2" t="s">
        <v>346</v>
      </c>
      <c r="L138" s="2"/>
      <c r="M138" s="2">
        <v>0</v>
      </c>
      <c r="N138" s="2">
        <v>7.99</v>
      </c>
      <c r="O138" s="2">
        <v>42.98</v>
      </c>
      <c r="P138" s="2" t="s">
        <v>40</v>
      </c>
      <c r="Q138" s="2" t="s">
        <v>28</v>
      </c>
      <c r="R138" s="2" t="s">
        <v>52</v>
      </c>
      <c r="S138" s="2" t="s">
        <v>30</v>
      </c>
      <c r="T138" s="2" t="s">
        <v>347</v>
      </c>
      <c r="U138" s="2" t="str">
        <f t="shared" si="8"/>
        <v>Valid</v>
      </c>
      <c r="V138" s="2" t="s">
        <v>348</v>
      </c>
    </row>
    <row r="139" spans="1:22" hidden="1" x14ac:dyDescent="0.3">
      <c r="A139" s="2" t="s">
        <v>349</v>
      </c>
      <c r="B139" s="12">
        <f t="shared" si="6"/>
        <v>46238.58708636574</v>
      </c>
      <c r="C139" s="13">
        <v>46238.58708636574</v>
      </c>
      <c r="D139" s="2" t="s">
        <v>256</v>
      </c>
      <c r="E139" s="2" t="str">
        <f t="shared" si="7"/>
        <v>Email Available</v>
      </c>
      <c r="F139" s="2" t="s">
        <v>350</v>
      </c>
      <c r="G139" s="2" t="s">
        <v>241</v>
      </c>
      <c r="H139" s="2" t="s">
        <v>242</v>
      </c>
      <c r="I139" s="2" t="s">
        <v>243</v>
      </c>
      <c r="J139" s="2">
        <v>1</v>
      </c>
      <c r="K139" s="2">
        <v>27.99</v>
      </c>
      <c r="L139" s="2"/>
      <c r="M139" s="2">
        <v>0</v>
      </c>
      <c r="N139" s="2">
        <v>5.99</v>
      </c>
      <c r="O139" s="2">
        <v>33.979999999999997</v>
      </c>
      <c r="P139" s="2" t="s">
        <v>68</v>
      </c>
      <c r="Q139" s="2" t="s">
        <v>90</v>
      </c>
      <c r="R139" s="2" t="s">
        <v>52</v>
      </c>
      <c r="S139" s="2" t="s">
        <v>30</v>
      </c>
      <c r="T139" s="2" t="s">
        <v>351</v>
      </c>
      <c r="U139" s="2" t="str">
        <f t="shared" si="8"/>
        <v>Valid</v>
      </c>
      <c r="V139" s="2" t="s">
        <v>352</v>
      </c>
    </row>
    <row r="140" spans="1:22" hidden="1" x14ac:dyDescent="0.3">
      <c r="A140" s="2" t="s">
        <v>353</v>
      </c>
      <c r="B140" s="12">
        <f t="shared" si="6"/>
        <v>46238.581921550933</v>
      </c>
      <c r="C140" s="13">
        <v>46238.581921550933</v>
      </c>
      <c r="D140" s="2" t="s">
        <v>354</v>
      </c>
      <c r="E140" s="2" t="str">
        <f t="shared" si="7"/>
        <v>Email Available</v>
      </c>
      <c r="F140" s="2" t="s">
        <v>355</v>
      </c>
      <c r="G140" s="2" t="s">
        <v>151</v>
      </c>
      <c r="H140" s="2" t="s">
        <v>49</v>
      </c>
      <c r="I140" s="2" t="s">
        <v>152</v>
      </c>
      <c r="J140" s="2">
        <v>2</v>
      </c>
      <c r="K140" s="2" t="s">
        <v>346</v>
      </c>
      <c r="L140" s="2"/>
      <c r="M140" s="2">
        <v>0</v>
      </c>
      <c r="N140" s="2">
        <v>5.99</v>
      </c>
      <c r="O140" s="2">
        <v>75.97</v>
      </c>
      <c r="P140" s="2" t="s">
        <v>68</v>
      </c>
      <c r="Q140" s="2" t="s">
        <v>28</v>
      </c>
      <c r="R140" s="2" t="s">
        <v>52</v>
      </c>
      <c r="S140" s="2" t="s">
        <v>228</v>
      </c>
      <c r="T140" s="2"/>
      <c r="U140" s="2" t="str">
        <f t="shared" si="8"/>
        <v>Not Required</v>
      </c>
      <c r="V140" s="2" t="s">
        <v>356</v>
      </c>
    </row>
    <row r="141" spans="1:22" hidden="1" x14ac:dyDescent="0.3">
      <c r="A141" s="2" t="s">
        <v>357</v>
      </c>
      <c r="B141" s="12">
        <f t="shared" si="6"/>
        <v>46238.585806030103</v>
      </c>
      <c r="C141" s="13">
        <v>46238.585806030103</v>
      </c>
      <c r="D141" s="2" t="s">
        <v>327</v>
      </c>
      <c r="E141" s="2" t="str">
        <f t="shared" si="7"/>
        <v>Email Available</v>
      </c>
      <c r="F141" s="2" t="s">
        <v>328</v>
      </c>
      <c r="G141" s="2" t="s">
        <v>315</v>
      </c>
      <c r="H141" s="2" t="s">
        <v>37</v>
      </c>
      <c r="I141" s="2" t="s">
        <v>316</v>
      </c>
      <c r="J141" s="2">
        <v>2</v>
      </c>
      <c r="K141" s="2">
        <v>8.99</v>
      </c>
      <c r="L141" s="2" t="s">
        <v>39</v>
      </c>
      <c r="M141" s="2">
        <v>0</v>
      </c>
      <c r="N141" s="2">
        <v>0</v>
      </c>
      <c r="O141" s="2">
        <v>17.98</v>
      </c>
      <c r="P141" s="2" t="s">
        <v>51</v>
      </c>
      <c r="Q141" s="2" t="s">
        <v>28</v>
      </c>
      <c r="R141" s="2" t="s">
        <v>99</v>
      </c>
      <c r="S141" s="2" t="s">
        <v>228</v>
      </c>
      <c r="T141" s="2"/>
      <c r="U141" s="2" t="str">
        <f t="shared" si="8"/>
        <v>Not Required</v>
      </c>
      <c r="V141" s="2" t="s">
        <v>358</v>
      </c>
    </row>
    <row r="142" spans="1:22" hidden="1" x14ac:dyDescent="0.3">
      <c r="A142" s="2" t="s">
        <v>359</v>
      </c>
      <c r="B142" s="12">
        <f t="shared" si="6"/>
        <v>46238.583435289351</v>
      </c>
      <c r="C142" s="13">
        <v>46238.583435289351</v>
      </c>
      <c r="D142" s="2" t="s">
        <v>360</v>
      </c>
      <c r="E142" s="2" t="str">
        <f t="shared" si="7"/>
        <v>Email Available</v>
      </c>
      <c r="F142" s="2" t="s">
        <v>361</v>
      </c>
      <c r="G142" s="2" t="s">
        <v>151</v>
      </c>
      <c r="H142" s="2" t="s">
        <v>49</v>
      </c>
      <c r="I142" s="2" t="s">
        <v>152</v>
      </c>
      <c r="J142" s="2">
        <v>1</v>
      </c>
      <c r="K142" s="2">
        <v>34.99</v>
      </c>
      <c r="L142" s="2" t="s">
        <v>39</v>
      </c>
      <c r="M142" s="2">
        <v>0</v>
      </c>
      <c r="N142" s="2">
        <v>0</v>
      </c>
      <c r="O142" s="2">
        <v>34.99</v>
      </c>
      <c r="P142" s="2" t="s">
        <v>40</v>
      </c>
      <c r="Q142" s="2" t="s">
        <v>28</v>
      </c>
      <c r="R142" s="2" t="s">
        <v>99</v>
      </c>
      <c r="S142" s="2" t="s">
        <v>228</v>
      </c>
      <c r="T142" s="2"/>
      <c r="U142" s="2" t="str">
        <f t="shared" si="8"/>
        <v>Not Required</v>
      </c>
      <c r="V142" s="2" t="s">
        <v>362</v>
      </c>
    </row>
    <row r="143" spans="1:22" hidden="1" x14ac:dyDescent="0.3">
      <c r="A143" s="2" t="s">
        <v>363</v>
      </c>
      <c r="B143" s="12">
        <f t="shared" si="6"/>
        <v>46238.587680486111</v>
      </c>
      <c r="C143" s="13">
        <v>46238.587680486111</v>
      </c>
      <c r="D143" s="2" t="s">
        <v>364</v>
      </c>
      <c r="E143" s="2" t="str">
        <f t="shared" si="7"/>
        <v>Email Available</v>
      </c>
      <c r="F143" s="2" t="s">
        <v>365</v>
      </c>
      <c r="G143" s="2" t="s">
        <v>112</v>
      </c>
      <c r="H143" s="2" t="s">
        <v>81</v>
      </c>
      <c r="I143" s="2" t="s">
        <v>113</v>
      </c>
      <c r="J143" s="2">
        <v>2</v>
      </c>
      <c r="K143" s="2">
        <v>22.99</v>
      </c>
      <c r="L143" s="2" t="s">
        <v>39</v>
      </c>
      <c r="M143" s="2">
        <v>0</v>
      </c>
      <c r="N143" s="2">
        <v>0</v>
      </c>
      <c r="O143" s="2">
        <v>45.98</v>
      </c>
      <c r="P143" s="2" t="s">
        <v>68</v>
      </c>
      <c r="Q143" s="2" t="s">
        <v>28</v>
      </c>
      <c r="R143" s="2" t="s">
        <v>52</v>
      </c>
      <c r="S143" s="2" t="s">
        <v>75</v>
      </c>
      <c r="T143" s="2"/>
      <c r="U143" s="2" t="str">
        <f t="shared" si="8"/>
        <v>Not Required</v>
      </c>
      <c r="V143" s="2" t="s">
        <v>366</v>
      </c>
    </row>
    <row r="144" spans="1:22" hidden="1" x14ac:dyDescent="0.3">
      <c r="A144" s="2" t="s">
        <v>367</v>
      </c>
      <c r="B144" s="12">
        <f t="shared" si="6"/>
        <v>46238.589029236107</v>
      </c>
      <c r="C144" s="13">
        <v>46238.589029236107</v>
      </c>
      <c r="D144" s="2" t="s">
        <v>94</v>
      </c>
      <c r="E144" s="2" t="str">
        <f t="shared" si="7"/>
        <v>Email Available</v>
      </c>
      <c r="F144" s="2" t="s">
        <v>95</v>
      </c>
      <c r="G144" s="2" t="s">
        <v>368</v>
      </c>
      <c r="H144" s="2" t="s">
        <v>88</v>
      </c>
      <c r="I144" s="2" t="s">
        <v>369</v>
      </c>
      <c r="J144" s="2">
        <v>2</v>
      </c>
      <c r="K144" s="2" t="s">
        <v>370</v>
      </c>
      <c r="L144" s="2"/>
      <c r="M144" s="2">
        <v>0</v>
      </c>
      <c r="N144" s="2">
        <v>0</v>
      </c>
      <c r="O144" s="2">
        <v>109.98</v>
      </c>
      <c r="P144" s="2" t="s">
        <v>68</v>
      </c>
      <c r="Q144" s="2" t="s">
        <v>28</v>
      </c>
      <c r="R144" s="2" t="s">
        <v>99</v>
      </c>
      <c r="S144" s="2" t="s">
        <v>43</v>
      </c>
      <c r="T144" s="2"/>
      <c r="U144" s="2" t="str">
        <f t="shared" si="8"/>
        <v>Not Required</v>
      </c>
      <c r="V144" s="2" t="s">
        <v>371</v>
      </c>
    </row>
    <row r="145" spans="1:22" hidden="1" x14ac:dyDescent="0.3">
      <c r="A145" s="2" t="s">
        <v>372</v>
      </c>
      <c r="B145" s="12">
        <f t="shared" si="6"/>
        <v>46238.584926076393</v>
      </c>
      <c r="C145" s="13">
        <v>46238.584926076393</v>
      </c>
      <c r="D145" s="2" t="s">
        <v>373</v>
      </c>
      <c r="E145" s="2" t="str">
        <f t="shared" si="7"/>
        <v>Email Available</v>
      </c>
      <c r="F145" s="2" t="s">
        <v>374</v>
      </c>
      <c r="G145" s="2" t="s">
        <v>80</v>
      </c>
      <c r="H145" s="2" t="s">
        <v>81</v>
      </c>
      <c r="I145" s="2" t="s">
        <v>82</v>
      </c>
      <c r="J145" s="2">
        <v>4</v>
      </c>
      <c r="K145" s="2">
        <v>89.99</v>
      </c>
      <c r="L145" s="2"/>
      <c r="M145" s="2">
        <v>0</v>
      </c>
      <c r="N145" s="2">
        <v>0</v>
      </c>
      <c r="O145" s="2">
        <v>359.96</v>
      </c>
      <c r="P145" s="2" t="s">
        <v>68</v>
      </c>
      <c r="Q145" s="2" t="s">
        <v>90</v>
      </c>
      <c r="R145" s="2" t="s">
        <v>52</v>
      </c>
      <c r="S145" s="2" t="s">
        <v>337</v>
      </c>
      <c r="T145" s="2"/>
      <c r="U145" s="2" t="str">
        <f t="shared" si="8"/>
        <v>Not Required</v>
      </c>
      <c r="V145" s="2" t="s">
        <v>375</v>
      </c>
    </row>
    <row r="146" spans="1:22" hidden="1" x14ac:dyDescent="0.3">
      <c r="A146" s="2" t="s">
        <v>376</v>
      </c>
      <c r="B146" s="12">
        <f t="shared" si="6"/>
        <v>46238.584687789349</v>
      </c>
      <c r="C146" s="13">
        <v>46238.584687789349</v>
      </c>
      <c r="D146" s="2" t="s">
        <v>377</v>
      </c>
      <c r="E146" s="2" t="str">
        <f t="shared" si="7"/>
        <v>Email Available</v>
      </c>
      <c r="F146" s="2" t="s">
        <v>378</v>
      </c>
      <c r="G146" s="2" t="s">
        <v>36</v>
      </c>
      <c r="H146" s="2" t="s">
        <v>37</v>
      </c>
      <c r="I146" s="2" t="s">
        <v>38</v>
      </c>
      <c r="J146" s="2">
        <v>2</v>
      </c>
      <c r="K146" s="2">
        <v>21.99</v>
      </c>
      <c r="L146" s="2" t="s">
        <v>39</v>
      </c>
      <c r="M146" s="2">
        <v>0</v>
      </c>
      <c r="N146" s="2">
        <v>0</v>
      </c>
      <c r="O146" s="2">
        <v>43.98</v>
      </c>
      <c r="P146" s="2" t="s">
        <v>51</v>
      </c>
      <c r="Q146" s="2" t="s">
        <v>28</v>
      </c>
      <c r="R146" s="2" t="s">
        <v>52</v>
      </c>
      <c r="S146" s="2" t="s">
        <v>228</v>
      </c>
      <c r="T146" s="2"/>
      <c r="U146" s="2" t="str">
        <f t="shared" si="8"/>
        <v>Not Required</v>
      </c>
      <c r="V146" s="2" t="s">
        <v>379</v>
      </c>
    </row>
    <row r="147" spans="1:22" x14ac:dyDescent="0.3">
      <c r="A147" s="2" t="s">
        <v>380</v>
      </c>
      <c r="B147" s="12">
        <f>DATE(VALUE(RIGHT(C147,4)),MATCH(LEFT(C147,3),{"Jan","Feb","Mar","Apr","May","Jun","Jul","Aug","Sep","Oct","Nov","Dec"},0),VALUE(MID(C147,5,2)))</f>
        <v>46238</v>
      </c>
      <c r="C147" s="13" t="s">
        <v>176</v>
      </c>
      <c r="D147" s="2" t="s">
        <v>193</v>
      </c>
      <c r="E147" s="2" t="str">
        <f t="shared" si="7"/>
        <v>Missing Email</v>
      </c>
      <c r="F147" s="2"/>
      <c r="G147" s="2" t="s">
        <v>120</v>
      </c>
      <c r="H147" s="2" t="s">
        <v>23</v>
      </c>
      <c r="I147" s="2" t="s">
        <v>24</v>
      </c>
      <c r="J147" s="2">
        <v>2</v>
      </c>
      <c r="K147" s="2">
        <v>12.99</v>
      </c>
      <c r="L147" s="2" t="s">
        <v>381</v>
      </c>
      <c r="M147" s="2">
        <v>0</v>
      </c>
      <c r="N147" s="2">
        <v>0</v>
      </c>
      <c r="O147" s="2">
        <v>25.98</v>
      </c>
      <c r="P147" s="2" t="s">
        <v>68</v>
      </c>
      <c r="Q147" s="2" t="s">
        <v>28</v>
      </c>
      <c r="R147" s="2" t="s">
        <v>52</v>
      </c>
      <c r="S147" s="2" t="s">
        <v>30</v>
      </c>
      <c r="T147" s="2" t="s">
        <v>145</v>
      </c>
      <c r="U147" s="2" t="str">
        <f t="shared" si="8"/>
        <v>Valid</v>
      </c>
      <c r="V147" s="2" t="s">
        <v>382</v>
      </c>
    </row>
    <row r="148" spans="1:22" hidden="1" x14ac:dyDescent="0.3">
      <c r="A148" s="2" t="s">
        <v>383</v>
      </c>
      <c r="B148" s="12">
        <f t="shared" si="6"/>
        <v>46238.586117777777</v>
      </c>
      <c r="C148" s="13">
        <v>46238.586117777777</v>
      </c>
      <c r="D148" s="2" t="s">
        <v>384</v>
      </c>
      <c r="E148" s="2" t="str">
        <f t="shared" si="7"/>
        <v>Email Available</v>
      </c>
      <c r="F148" s="2" t="s">
        <v>385</v>
      </c>
      <c r="G148" s="2" t="s">
        <v>226</v>
      </c>
      <c r="H148" s="2" t="s">
        <v>23</v>
      </c>
      <c r="I148" s="2" t="s">
        <v>227</v>
      </c>
      <c r="J148" s="2">
        <v>1</v>
      </c>
      <c r="K148" s="2">
        <v>17.989999999999998</v>
      </c>
      <c r="L148" s="2" t="s">
        <v>67</v>
      </c>
      <c r="M148" s="2">
        <v>1.8</v>
      </c>
      <c r="N148" s="2">
        <v>7.99</v>
      </c>
      <c r="O148" s="2">
        <v>24.18</v>
      </c>
      <c r="P148" s="2" t="s">
        <v>51</v>
      </c>
      <c r="Q148" s="2" t="s">
        <v>28</v>
      </c>
      <c r="R148" s="2" t="s">
        <v>29</v>
      </c>
      <c r="S148" s="2" t="s">
        <v>75</v>
      </c>
      <c r="T148" s="2"/>
      <c r="U148" s="2" t="str">
        <f t="shared" si="8"/>
        <v>Not Required</v>
      </c>
      <c r="V148" s="2" t="s">
        <v>386</v>
      </c>
    </row>
    <row r="149" spans="1:22" hidden="1" x14ac:dyDescent="0.3">
      <c r="A149" s="2" t="s">
        <v>387</v>
      </c>
      <c r="B149" s="12">
        <f t="shared" si="6"/>
        <v>46238.583583576386</v>
      </c>
      <c r="C149" s="13">
        <v>46238.583583576386</v>
      </c>
      <c r="D149" s="2" t="s">
        <v>388</v>
      </c>
      <c r="E149" s="2" t="str">
        <f t="shared" si="7"/>
        <v>Email Available</v>
      </c>
      <c r="F149" s="2" t="s">
        <v>389</v>
      </c>
      <c r="G149" s="2" t="s">
        <v>48</v>
      </c>
      <c r="H149" s="2" t="s">
        <v>49</v>
      </c>
      <c r="I149" s="2" t="s">
        <v>50</v>
      </c>
      <c r="J149" s="2">
        <v>1</v>
      </c>
      <c r="K149" s="2">
        <v>39.99</v>
      </c>
      <c r="L149" s="2"/>
      <c r="M149" s="2">
        <v>0</v>
      </c>
      <c r="N149" s="2">
        <v>4.99</v>
      </c>
      <c r="O149" s="2">
        <v>44.98</v>
      </c>
      <c r="P149" s="2" t="s">
        <v>51</v>
      </c>
      <c r="Q149" s="2" t="s">
        <v>28</v>
      </c>
      <c r="R149" s="2" t="s">
        <v>42</v>
      </c>
      <c r="S149" s="2" t="s">
        <v>30</v>
      </c>
      <c r="T149" s="2" t="s">
        <v>351</v>
      </c>
      <c r="U149" s="2" t="str">
        <f t="shared" si="8"/>
        <v>Valid</v>
      </c>
      <c r="V149" s="2" t="s">
        <v>390</v>
      </c>
    </row>
    <row r="150" spans="1:22" hidden="1" x14ac:dyDescent="0.3">
      <c r="A150" s="2" t="s">
        <v>391</v>
      </c>
      <c r="B150" s="12">
        <f t="shared" si="6"/>
        <v>46238.584126562499</v>
      </c>
      <c r="C150" s="13">
        <v>46238.584126562499</v>
      </c>
      <c r="D150" s="2" t="s">
        <v>392</v>
      </c>
      <c r="E150" s="2" t="str">
        <f t="shared" si="7"/>
        <v>Email Available</v>
      </c>
      <c r="F150" s="2" t="s">
        <v>393</v>
      </c>
      <c r="G150" s="2" t="s">
        <v>206</v>
      </c>
      <c r="H150" s="2" t="s">
        <v>196</v>
      </c>
      <c r="I150" s="2" t="s">
        <v>207</v>
      </c>
      <c r="J150" s="2">
        <v>1</v>
      </c>
      <c r="K150" s="2">
        <v>24.99</v>
      </c>
      <c r="L150" s="2" t="s">
        <v>208</v>
      </c>
      <c r="M150" s="2">
        <v>3.75</v>
      </c>
      <c r="N150" s="2">
        <v>4.99</v>
      </c>
      <c r="O150" s="2">
        <v>26.23</v>
      </c>
      <c r="P150" s="2" t="s">
        <v>74</v>
      </c>
      <c r="Q150" s="2" t="s">
        <v>28</v>
      </c>
      <c r="R150" s="2" t="s">
        <v>52</v>
      </c>
      <c r="S150" s="2" t="s">
        <v>108</v>
      </c>
      <c r="T150" s="2"/>
      <c r="U150" s="2" t="str">
        <f t="shared" si="8"/>
        <v>Not Required</v>
      </c>
      <c r="V150" s="2" t="s">
        <v>394</v>
      </c>
    </row>
    <row r="151" spans="1:22" hidden="1" x14ac:dyDescent="0.3">
      <c r="A151" s="2" t="s">
        <v>395</v>
      </c>
      <c r="B151" s="12">
        <f t="shared" si="6"/>
        <v>46238.5800121875</v>
      </c>
      <c r="C151" s="13">
        <v>46238.5800121875</v>
      </c>
      <c r="D151" s="2" t="s">
        <v>396</v>
      </c>
      <c r="E151" s="2" t="str">
        <f t="shared" si="7"/>
        <v>Email Available</v>
      </c>
      <c r="F151" s="2" t="s">
        <v>397</v>
      </c>
      <c r="G151" s="2" t="s">
        <v>58</v>
      </c>
      <c r="H151" s="2" t="s">
        <v>23</v>
      </c>
      <c r="I151" s="2" t="s">
        <v>59</v>
      </c>
      <c r="J151" s="2">
        <v>2</v>
      </c>
      <c r="K151" s="2">
        <v>9.99</v>
      </c>
      <c r="L151" s="2" t="s">
        <v>398</v>
      </c>
      <c r="M151" s="2">
        <v>5</v>
      </c>
      <c r="N151" s="2">
        <v>5.99</v>
      </c>
      <c r="O151" s="2">
        <v>20.97</v>
      </c>
      <c r="P151" s="2" t="s">
        <v>40</v>
      </c>
      <c r="Q151" s="2" t="s">
        <v>90</v>
      </c>
      <c r="R151" s="2" t="s">
        <v>52</v>
      </c>
      <c r="S151" s="2" t="s">
        <v>337</v>
      </c>
      <c r="T151" s="2"/>
      <c r="U151" s="2" t="str">
        <f t="shared" si="8"/>
        <v>Not Required</v>
      </c>
      <c r="V151" s="2" t="s">
        <v>399</v>
      </c>
    </row>
    <row r="152" spans="1:22" hidden="1" x14ac:dyDescent="0.3">
      <c r="A152" s="2" t="s">
        <v>400</v>
      </c>
      <c r="B152" s="12">
        <f t="shared" si="6"/>
        <v>46120</v>
      </c>
      <c r="C152" s="13" t="s">
        <v>142</v>
      </c>
      <c r="D152" s="2" t="s">
        <v>401</v>
      </c>
      <c r="E152" s="2" t="str">
        <f t="shared" si="7"/>
        <v>Email Available</v>
      </c>
      <c r="F152" s="2" t="s">
        <v>402</v>
      </c>
      <c r="G152" s="2" t="s">
        <v>315</v>
      </c>
      <c r="H152" s="2" t="s">
        <v>37</v>
      </c>
      <c r="I152" s="2" t="s">
        <v>316</v>
      </c>
      <c r="J152" s="2">
        <v>1</v>
      </c>
      <c r="K152" s="2">
        <v>8.99</v>
      </c>
      <c r="L152" s="2"/>
      <c r="M152" s="2">
        <v>0</v>
      </c>
      <c r="N152" s="2">
        <v>5.99</v>
      </c>
      <c r="O152" s="2">
        <v>14.98</v>
      </c>
      <c r="P152" s="2" t="s">
        <v>68</v>
      </c>
      <c r="Q152" s="2" t="s">
        <v>28</v>
      </c>
      <c r="R152" s="2" t="s">
        <v>42</v>
      </c>
      <c r="S152" s="2" t="s">
        <v>75</v>
      </c>
      <c r="T152" s="2"/>
      <c r="U152" s="2" t="str">
        <f t="shared" si="8"/>
        <v>Not Required</v>
      </c>
      <c r="V152" s="2" t="s">
        <v>403</v>
      </c>
    </row>
    <row r="153" spans="1:22" hidden="1" x14ac:dyDescent="0.3">
      <c r="A153" s="2" t="s">
        <v>404</v>
      </c>
      <c r="B153" s="12">
        <f t="shared" si="6"/>
        <v>46238.588341863433</v>
      </c>
      <c r="C153" s="13">
        <v>46238.588341863433</v>
      </c>
      <c r="D153" s="2" t="s">
        <v>405</v>
      </c>
      <c r="E153" s="2" t="str">
        <f t="shared" si="7"/>
        <v>Email Available</v>
      </c>
      <c r="F153" s="2" t="s">
        <v>406</v>
      </c>
      <c r="G153" s="2" t="s">
        <v>65</v>
      </c>
      <c r="H153" s="2" t="s">
        <v>49</v>
      </c>
      <c r="I153" s="2" t="s">
        <v>66</v>
      </c>
      <c r="J153" s="2">
        <v>1</v>
      </c>
      <c r="K153" s="2">
        <v>14.99</v>
      </c>
      <c r="L153" s="2" t="s">
        <v>67</v>
      </c>
      <c r="M153" s="2">
        <v>1.5</v>
      </c>
      <c r="N153" s="2">
        <v>7.99</v>
      </c>
      <c r="O153" s="2">
        <v>21.48</v>
      </c>
      <c r="P153" s="2" t="s">
        <v>40</v>
      </c>
      <c r="Q153" s="2" t="s">
        <v>114</v>
      </c>
      <c r="R153" s="2" t="s">
        <v>42</v>
      </c>
      <c r="S153" s="2" t="s">
        <v>30</v>
      </c>
      <c r="T153" s="2" t="s">
        <v>31</v>
      </c>
      <c r="U153" s="2" t="str">
        <f t="shared" si="8"/>
        <v>Valid</v>
      </c>
      <c r="V153" s="2" t="s">
        <v>407</v>
      </c>
    </row>
    <row r="154" spans="1:22" hidden="1" x14ac:dyDescent="0.3">
      <c r="A154" s="2" t="s">
        <v>408</v>
      </c>
      <c r="B154" s="12">
        <f t="shared" si="6"/>
        <v>46238.581820775456</v>
      </c>
      <c r="C154" s="13">
        <v>46238.581820775456</v>
      </c>
      <c r="D154" s="2" t="s">
        <v>94</v>
      </c>
      <c r="E154" s="2" t="str">
        <f t="shared" si="7"/>
        <v>Email Available</v>
      </c>
      <c r="F154" s="2" t="s">
        <v>95</v>
      </c>
      <c r="G154" s="2" t="s">
        <v>187</v>
      </c>
      <c r="H154" s="2" t="s">
        <v>37</v>
      </c>
      <c r="I154" s="2" t="s">
        <v>188</v>
      </c>
      <c r="J154" s="2">
        <v>1</v>
      </c>
      <c r="K154" s="2" t="s">
        <v>409</v>
      </c>
      <c r="L154" s="2" t="s">
        <v>25</v>
      </c>
      <c r="M154" s="2">
        <v>2.4</v>
      </c>
      <c r="N154" s="2">
        <v>7.99</v>
      </c>
      <c r="O154" s="2">
        <v>17.579999999999998</v>
      </c>
      <c r="P154" s="2" t="s">
        <v>68</v>
      </c>
      <c r="Q154" s="2" t="s">
        <v>41</v>
      </c>
      <c r="R154" s="2" t="s">
        <v>42</v>
      </c>
      <c r="S154" s="2" t="s">
        <v>43</v>
      </c>
      <c r="T154" s="2"/>
      <c r="U154" s="2" t="str">
        <f t="shared" si="8"/>
        <v>Not Required</v>
      </c>
      <c r="V154" s="2" t="s">
        <v>410</v>
      </c>
    </row>
    <row r="155" spans="1:22" hidden="1" x14ac:dyDescent="0.3">
      <c r="A155" s="2" t="s">
        <v>411</v>
      </c>
      <c r="B155" s="12">
        <f t="shared" si="6"/>
        <v>46238.579157337961</v>
      </c>
      <c r="C155" s="13">
        <v>46238.579157337961</v>
      </c>
      <c r="D155" s="2" t="s">
        <v>412</v>
      </c>
      <c r="E155" s="2" t="str">
        <f t="shared" si="7"/>
        <v>Email Available</v>
      </c>
      <c r="F155" s="2" t="s">
        <v>413</v>
      </c>
      <c r="G155" s="2" t="s">
        <v>195</v>
      </c>
      <c r="H155" s="2" t="s">
        <v>196</v>
      </c>
      <c r="I155" s="2" t="s">
        <v>197</v>
      </c>
      <c r="J155" s="2">
        <v>2</v>
      </c>
      <c r="K155" s="2">
        <v>13.49</v>
      </c>
      <c r="L155" s="2" t="s">
        <v>25</v>
      </c>
      <c r="M155" s="2">
        <v>5.4</v>
      </c>
      <c r="N155" s="2">
        <v>5.99</v>
      </c>
      <c r="O155" s="2">
        <v>27.57</v>
      </c>
      <c r="P155" s="2" t="s">
        <v>74</v>
      </c>
      <c r="Q155" s="2" t="s">
        <v>90</v>
      </c>
      <c r="R155" s="2" t="s">
        <v>52</v>
      </c>
      <c r="S155" s="2" t="s">
        <v>30</v>
      </c>
      <c r="T155" s="2" t="s">
        <v>91</v>
      </c>
      <c r="U155" s="2" t="str">
        <f t="shared" si="8"/>
        <v>Valid</v>
      </c>
      <c r="V155" s="2" t="s">
        <v>414</v>
      </c>
    </row>
    <row r="156" spans="1:22" hidden="1" x14ac:dyDescent="0.3">
      <c r="A156" s="2" t="s">
        <v>415</v>
      </c>
      <c r="B156" s="12">
        <f t="shared" si="6"/>
        <v>46238.578979687503</v>
      </c>
      <c r="C156" s="13">
        <v>46238.578979687503</v>
      </c>
      <c r="D156" s="2" t="s">
        <v>416</v>
      </c>
      <c r="E156" s="2" t="str">
        <f t="shared" si="7"/>
        <v>Email Available</v>
      </c>
      <c r="F156" s="2" t="s">
        <v>417</v>
      </c>
      <c r="G156" s="2" t="s">
        <v>272</v>
      </c>
      <c r="H156" s="2" t="s">
        <v>23</v>
      </c>
      <c r="I156" s="2" t="s">
        <v>273</v>
      </c>
      <c r="J156" s="2">
        <v>1</v>
      </c>
      <c r="K156" s="2">
        <v>18.989999999999998</v>
      </c>
      <c r="L156" s="2" t="s">
        <v>39</v>
      </c>
      <c r="M156" s="2">
        <v>0</v>
      </c>
      <c r="N156" s="2">
        <v>0</v>
      </c>
      <c r="O156" s="2">
        <v>18.989999999999998</v>
      </c>
      <c r="P156" s="2" t="s">
        <v>74</v>
      </c>
      <c r="Q156" s="2" t="s">
        <v>28</v>
      </c>
      <c r="R156" s="2" t="s">
        <v>42</v>
      </c>
      <c r="S156" s="2" t="s">
        <v>43</v>
      </c>
      <c r="T156" s="2"/>
      <c r="U156" s="2" t="str">
        <f t="shared" si="8"/>
        <v>Not Required</v>
      </c>
      <c r="V156" s="2" t="s">
        <v>418</v>
      </c>
    </row>
    <row r="157" spans="1:22" hidden="1" x14ac:dyDescent="0.3">
      <c r="A157" s="2" t="s">
        <v>419</v>
      </c>
      <c r="B157" s="12">
        <f t="shared" si="6"/>
        <v>46238</v>
      </c>
      <c r="C157" s="13" t="s">
        <v>148</v>
      </c>
      <c r="D157" s="2" t="s">
        <v>420</v>
      </c>
      <c r="E157" s="2" t="str">
        <f t="shared" si="7"/>
        <v>Email Available</v>
      </c>
      <c r="F157" s="2" t="s">
        <v>421</v>
      </c>
      <c r="G157" s="2" t="s">
        <v>120</v>
      </c>
      <c r="H157" s="2" t="s">
        <v>23</v>
      </c>
      <c r="I157" s="2" t="s">
        <v>24</v>
      </c>
      <c r="J157" s="2">
        <v>2</v>
      </c>
      <c r="K157" s="2">
        <v>12.99</v>
      </c>
      <c r="L157" s="2" t="s">
        <v>39</v>
      </c>
      <c r="M157" s="2">
        <v>0</v>
      </c>
      <c r="N157" s="2">
        <v>0</v>
      </c>
      <c r="O157" s="2">
        <v>25.98</v>
      </c>
      <c r="P157" s="2" t="s">
        <v>40</v>
      </c>
      <c r="Q157" s="2" t="s">
        <v>114</v>
      </c>
      <c r="R157" s="2" t="s">
        <v>42</v>
      </c>
      <c r="S157" s="2" t="s">
        <v>337</v>
      </c>
      <c r="T157" s="2"/>
      <c r="U157" s="2" t="str">
        <f t="shared" si="8"/>
        <v>Not Required</v>
      </c>
      <c r="V157" s="2" t="s">
        <v>422</v>
      </c>
    </row>
    <row r="158" spans="1:22" hidden="1" x14ac:dyDescent="0.3">
      <c r="A158" s="2" t="s">
        <v>423</v>
      </c>
      <c r="B158" s="12">
        <f t="shared" si="6"/>
        <v>46238.585259560183</v>
      </c>
      <c r="C158" s="13">
        <v>46238.585259560183</v>
      </c>
      <c r="D158" s="2" t="s">
        <v>424</v>
      </c>
      <c r="E158" s="2" t="str">
        <f t="shared" si="7"/>
        <v>Email Available</v>
      </c>
      <c r="F158" s="2" t="s">
        <v>425</v>
      </c>
      <c r="G158" s="2" t="s">
        <v>315</v>
      </c>
      <c r="H158" s="2" t="s">
        <v>37</v>
      </c>
      <c r="I158" s="2" t="s">
        <v>316</v>
      </c>
      <c r="J158" s="2">
        <v>1</v>
      </c>
      <c r="K158" s="2">
        <v>8.99</v>
      </c>
      <c r="L158" s="2"/>
      <c r="M158" s="2">
        <v>0</v>
      </c>
      <c r="N158" s="2">
        <v>4.99</v>
      </c>
      <c r="O158" s="2">
        <v>13.98</v>
      </c>
      <c r="P158" s="2" t="s">
        <v>27</v>
      </c>
      <c r="Q158" s="2" t="s">
        <v>28</v>
      </c>
      <c r="R158" s="2" t="s">
        <v>99</v>
      </c>
      <c r="S158" s="2" t="s">
        <v>30</v>
      </c>
      <c r="T158" s="2" t="s">
        <v>53</v>
      </c>
      <c r="U158" s="2" t="str">
        <f t="shared" si="8"/>
        <v>Valid</v>
      </c>
      <c r="V158" s="2" t="s">
        <v>426</v>
      </c>
    </row>
    <row r="159" spans="1:22" hidden="1" x14ac:dyDescent="0.3">
      <c r="A159" s="2" t="s">
        <v>427</v>
      </c>
      <c r="B159" s="12">
        <f t="shared" si="6"/>
        <v>46238.583398969909</v>
      </c>
      <c r="C159" s="13">
        <v>46238.583398969909</v>
      </c>
      <c r="D159" s="2" t="s">
        <v>428</v>
      </c>
      <c r="E159" s="2" t="str">
        <f t="shared" si="7"/>
        <v>Email Available</v>
      </c>
      <c r="F159" s="2" t="s">
        <v>429</v>
      </c>
      <c r="G159" s="2" t="s">
        <v>206</v>
      </c>
      <c r="H159" s="2" t="s">
        <v>196</v>
      </c>
      <c r="I159" s="2" t="s">
        <v>207</v>
      </c>
      <c r="J159" s="2">
        <v>1</v>
      </c>
      <c r="K159" s="2">
        <v>24.99</v>
      </c>
      <c r="L159" s="2"/>
      <c r="M159" s="2">
        <v>0</v>
      </c>
      <c r="N159" s="2">
        <v>5.99</v>
      </c>
      <c r="O159" s="2">
        <v>30.98</v>
      </c>
      <c r="P159" s="2" t="s">
        <v>51</v>
      </c>
      <c r="Q159" s="2" t="s">
        <v>28</v>
      </c>
      <c r="R159" s="2" t="s">
        <v>52</v>
      </c>
      <c r="S159" s="2" t="s">
        <v>30</v>
      </c>
      <c r="T159" s="2" t="s">
        <v>60</v>
      </c>
      <c r="U159" s="2" t="str">
        <f t="shared" si="8"/>
        <v>Valid</v>
      </c>
      <c r="V159" s="2" t="s">
        <v>430</v>
      </c>
    </row>
    <row r="160" spans="1:22" hidden="1" x14ac:dyDescent="0.3">
      <c r="A160" s="2" t="s">
        <v>431</v>
      </c>
      <c r="B160" s="12">
        <f t="shared" si="6"/>
        <v>46238.579795451391</v>
      </c>
      <c r="C160" s="13">
        <v>46238.579795451391</v>
      </c>
      <c r="D160" s="2" t="s">
        <v>432</v>
      </c>
      <c r="E160" s="2" t="str">
        <f t="shared" si="7"/>
        <v>Email Available</v>
      </c>
      <c r="F160" s="2" t="s">
        <v>433</v>
      </c>
      <c r="G160" s="2" t="s">
        <v>272</v>
      </c>
      <c r="H160" s="2" t="s">
        <v>23</v>
      </c>
      <c r="I160" s="2" t="s">
        <v>273</v>
      </c>
      <c r="J160" s="2">
        <v>1</v>
      </c>
      <c r="K160" s="2">
        <v>18.989999999999998</v>
      </c>
      <c r="L160" s="2"/>
      <c r="M160" s="2">
        <v>0</v>
      </c>
      <c r="N160" s="2">
        <v>4.99</v>
      </c>
      <c r="O160" s="2">
        <v>23.98</v>
      </c>
      <c r="P160" s="2" t="s">
        <v>68</v>
      </c>
      <c r="Q160" s="2" t="s">
        <v>90</v>
      </c>
      <c r="R160" s="2" t="s">
        <v>52</v>
      </c>
      <c r="S160" s="2" t="s">
        <v>337</v>
      </c>
      <c r="T160" s="2"/>
      <c r="U160" s="2" t="str">
        <f t="shared" si="8"/>
        <v>Not Required</v>
      </c>
      <c r="V160" s="2" t="s">
        <v>434</v>
      </c>
    </row>
    <row r="161" spans="1:22" hidden="1" x14ac:dyDescent="0.3">
      <c r="A161" s="2" t="s">
        <v>435</v>
      </c>
      <c r="B161" s="12">
        <f t="shared" si="6"/>
        <v>46238.584806701387</v>
      </c>
      <c r="C161" s="13">
        <v>46238.584806701387</v>
      </c>
      <c r="D161" s="2" t="s">
        <v>364</v>
      </c>
      <c r="E161" s="2" t="str">
        <f t="shared" si="7"/>
        <v>Email Available</v>
      </c>
      <c r="F161" s="2" t="s">
        <v>365</v>
      </c>
      <c r="G161" s="2" t="s">
        <v>171</v>
      </c>
      <c r="H161" s="2" t="s">
        <v>106</v>
      </c>
      <c r="I161" s="2" t="s">
        <v>172</v>
      </c>
      <c r="J161" s="2">
        <v>3</v>
      </c>
      <c r="K161" s="2">
        <v>32.99</v>
      </c>
      <c r="L161" s="2" t="s">
        <v>39</v>
      </c>
      <c r="M161" s="2" t="s">
        <v>189</v>
      </c>
      <c r="N161" s="2">
        <v>0</v>
      </c>
      <c r="O161" s="2">
        <v>98.97</v>
      </c>
      <c r="P161" s="2" t="s">
        <v>40</v>
      </c>
      <c r="Q161" s="2" t="s">
        <v>28</v>
      </c>
      <c r="R161" s="2" t="s">
        <v>99</v>
      </c>
      <c r="S161" s="2" t="s">
        <v>75</v>
      </c>
      <c r="T161" s="2"/>
      <c r="U161" s="2" t="str">
        <f t="shared" si="8"/>
        <v>Not Required</v>
      </c>
      <c r="V161" s="2" t="s">
        <v>436</v>
      </c>
    </row>
    <row r="162" spans="1:22" hidden="1" x14ac:dyDescent="0.3">
      <c r="A162" s="2" t="s">
        <v>437</v>
      </c>
      <c r="B162" s="12">
        <f t="shared" si="6"/>
        <v>46120</v>
      </c>
      <c r="C162" s="13" t="s">
        <v>142</v>
      </c>
      <c r="D162" s="2" t="s">
        <v>438</v>
      </c>
      <c r="E162" s="2" t="str">
        <f t="shared" si="7"/>
        <v>Email Available</v>
      </c>
      <c r="F162" s="2" t="s">
        <v>439</v>
      </c>
      <c r="G162" s="2" t="s">
        <v>120</v>
      </c>
      <c r="H162" s="2" t="s">
        <v>23</v>
      </c>
      <c r="I162" s="2" t="s">
        <v>24</v>
      </c>
      <c r="J162" s="2">
        <v>1</v>
      </c>
      <c r="K162" s="2">
        <v>12.99</v>
      </c>
      <c r="L162" s="2" t="s">
        <v>25</v>
      </c>
      <c r="M162" s="2">
        <v>2.6</v>
      </c>
      <c r="N162" s="2">
        <v>4.99</v>
      </c>
      <c r="O162" s="2" t="s">
        <v>440</v>
      </c>
      <c r="P162" s="2" t="s">
        <v>27</v>
      </c>
      <c r="Q162" s="2" t="s">
        <v>28</v>
      </c>
      <c r="R162" s="2" t="s">
        <v>42</v>
      </c>
      <c r="S162" s="2" t="s">
        <v>108</v>
      </c>
      <c r="T162" s="2"/>
      <c r="U162" s="2" t="str">
        <f t="shared" si="8"/>
        <v>Not Required</v>
      </c>
      <c r="V162" s="2" t="s">
        <v>441</v>
      </c>
    </row>
    <row r="163" spans="1:22" hidden="1" x14ac:dyDescent="0.3">
      <c r="A163" s="2" t="s">
        <v>447</v>
      </c>
      <c r="B163" s="12">
        <f t="shared" si="6"/>
        <v>46238.588624571763</v>
      </c>
      <c r="C163" s="13">
        <v>46238.588624571763</v>
      </c>
      <c r="D163" s="2" t="s">
        <v>448</v>
      </c>
      <c r="E163" s="2" t="str">
        <f t="shared" si="7"/>
        <v>Email Available</v>
      </c>
      <c r="F163" s="2" t="s">
        <v>449</v>
      </c>
      <c r="G163" s="2" t="s">
        <v>272</v>
      </c>
      <c r="H163" s="2" t="s">
        <v>23</v>
      </c>
      <c r="I163" s="2" t="s">
        <v>273</v>
      </c>
      <c r="J163" s="2">
        <v>1</v>
      </c>
      <c r="K163" s="2">
        <v>18.989999999999998</v>
      </c>
      <c r="L163" s="2"/>
      <c r="M163" s="2">
        <v>0</v>
      </c>
      <c r="N163" s="2">
        <v>4.99</v>
      </c>
      <c r="O163" s="2">
        <v>23.98</v>
      </c>
      <c r="P163" s="2" t="s">
        <v>68</v>
      </c>
      <c r="Q163" s="2" t="s">
        <v>28</v>
      </c>
      <c r="R163" s="2" t="s">
        <v>42</v>
      </c>
      <c r="S163" s="2" t="s">
        <v>30</v>
      </c>
      <c r="T163" s="2" t="s">
        <v>91</v>
      </c>
      <c r="U163" s="2" t="str">
        <f t="shared" si="8"/>
        <v>Valid</v>
      </c>
      <c r="V163" s="2" t="s">
        <v>450</v>
      </c>
    </row>
    <row r="164" spans="1:22" hidden="1" x14ac:dyDescent="0.3">
      <c r="A164" s="2" t="s">
        <v>451</v>
      </c>
      <c r="B164" s="12">
        <f t="shared" si="6"/>
        <v>46238.583879837963</v>
      </c>
      <c r="C164" s="13">
        <v>46238.583879837963</v>
      </c>
      <c r="D164" s="2" t="s">
        <v>345</v>
      </c>
      <c r="E164" s="2" t="str">
        <f t="shared" si="7"/>
        <v>Email Available</v>
      </c>
      <c r="F164" s="2" t="s">
        <v>452</v>
      </c>
      <c r="G164" s="2" t="s">
        <v>65</v>
      </c>
      <c r="H164" s="2" t="s">
        <v>49</v>
      </c>
      <c r="I164" s="2" t="s">
        <v>453</v>
      </c>
      <c r="J164" s="2">
        <v>1</v>
      </c>
      <c r="K164" s="2">
        <v>14.99</v>
      </c>
      <c r="L164" s="2" t="s">
        <v>25</v>
      </c>
      <c r="M164" s="2">
        <v>3</v>
      </c>
      <c r="N164" s="2">
        <v>4.99</v>
      </c>
      <c r="O164" s="2" t="s">
        <v>190</v>
      </c>
      <c r="P164" s="2" t="s">
        <v>27</v>
      </c>
      <c r="Q164" s="2" t="s">
        <v>90</v>
      </c>
      <c r="R164" s="2" t="s">
        <v>52</v>
      </c>
      <c r="S164" s="2" t="s">
        <v>30</v>
      </c>
      <c r="T164" s="2" t="s">
        <v>454</v>
      </c>
      <c r="U164" s="2" t="str">
        <f t="shared" si="8"/>
        <v>Valid</v>
      </c>
      <c r="V164" s="2" t="s">
        <v>191</v>
      </c>
    </row>
    <row r="165" spans="1:22" hidden="1" x14ac:dyDescent="0.3">
      <c r="A165" s="2" t="s">
        <v>455</v>
      </c>
      <c r="B165" s="12">
        <f t="shared" si="6"/>
        <v>46238.58185347222</v>
      </c>
      <c r="C165" s="13">
        <v>46238.58185347222</v>
      </c>
      <c r="D165" s="2" t="s">
        <v>456</v>
      </c>
      <c r="E165" s="2" t="str">
        <f t="shared" si="7"/>
        <v>Email Available</v>
      </c>
      <c r="F165" s="2" t="s">
        <v>457</v>
      </c>
      <c r="G165" s="2" t="s">
        <v>105</v>
      </c>
      <c r="H165" s="2" t="s">
        <v>106</v>
      </c>
      <c r="I165" s="2" t="s">
        <v>107</v>
      </c>
      <c r="J165" s="2">
        <v>1</v>
      </c>
      <c r="K165" s="2" t="s">
        <v>458</v>
      </c>
      <c r="L165" s="2"/>
      <c r="M165" s="2">
        <v>0</v>
      </c>
      <c r="N165" s="2">
        <v>4.99</v>
      </c>
      <c r="O165" s="2">
        <v>24.98</v>
      </c>
      <c r="P165" s="2" t="s">
        <v>74</v>
      </c>
      <c r="Q165" s="2" t="s">
        <v>41</v>
      </c>
      <c r="R165" s="2" t="s">
        <v>52</v>
      </c>
      <c r="S165" s="2" t="s">
        <v>30</v>
      </c>
      <c r="T165" s="2" t="s">
        <v>454</v>
      </c>
      <c r="U165" s="2" t="str">
        <f t="shared" si="8"/>
        <v>Valid</v>
      </c>
      <c r="V165" s="2" t="s">
        <v>459</v>
      </c>
    </row>
    <row r="166" spans="1:22" hidden="1" x14ac:dyDescent="0.3">
      <c r="A166" s="2" t="s">
        <v>460</v>
      </c>
      <c r="B166" s="12">
        <f t="shared" si="6"/>
        <v>46238.579148657409</v>
      </c>
      <c r="C166" s="13">
        <v>46238.579148657409</v>
      </c>
      <c r="D166" s="2" t="s">
        <v>461</v>
      </c>
      <c r="E166" s="2" t="str">
        <f t="shared" si="7"/>
        <v>Email Available</v>
      </c>
      <c r="F166" s="2" t="s">
        <v>462</v>
      </c>
      <c r="G166" s="2" t="s">
        <v>105</v>
      </c>
      <c r="H166" s="2" t="s">
        <v>106</v>
      </c>
      <c r="I166" s="2" t="s">
        <v>107</v>
      </c>
      <c r="J166" s="2">
        <v>2</v>
      </c>
      <c r="K166" s="2">
        <v>19.989999999999998</v>
      </c>
      <c r="L166" s="2" t="s">
        <v>208</v>
      </c>
      <c r="M166" s="2">
        <v>6</v>
      </c>
      <c r="N166" s="2">
        <v>7.99</v>
      </c>
      <c r="O166" s="2" t="s">
        <v>463</v>
      </c>
      <c r="P166" s="2" t="s">
        <v>68</v>
      </c>
      <c r="Q166" s="2" t="s">
        <v>28</v>
      </c>
      <c r="R166" s="2" t="s">
        <v>42</v>
      </c>
      <c r="S166" s="2" t="s">
        <v>337</v>
      </c>
      <c r="T166" s="2"/>
      <c r="U166" s="2" t="str">
        <f t="shared" si="8"/>
        <v>Not Required</v>
      </c>
      <c r="V166" s="2" t="s">
        <v>464</v>
      </c>
    </row>
    <row r="167" spans="1:22" hidden="1" x14ac:dyDescent="0.3">
      <c r="A167" s="2" t="s">
        <v>465</v>
      </c>
      <c r="B167" s="12">
        <f t="shared" si="6"/>
        <v>46238.588154780089</v>
      </c>
      <c r="C167" s="13">
        <v>46238.588154780089</v>
      </c>
      <c r="D167" s="2" t="s">
        <v>466</v>
      </c>
      <c r="E167" s="2" t="str">
        <f t="shared" si="7"/>
        <v>Email Available</v>
      </c>
      <c r="F167" s="2" t="s">
        <v>467</v>
      </c>
      <c r="G167" s="2" t="s">
        <v>206</v>
      </c>
      <c r="H167" s="2" t="s">
        <v>196</v>
      </c>
      <c r="I167" s="2" t="s">
        <v>207</v>
      </c>
      <c r="J167" s="2">
        <v>2</v>
      </c>
      <c r="K167" s="2">
        <v>24.99</v>
      </c>
      <c r="L167" s="2" t="s">
        <v>39</v>
      </c>
      <c r="M167" s="2">
        <v>0</v>
      </c>
      <c r="N167" s="2">
        <v>0</v>
      </c>
      <c r="O167" s="2">
        <v>49.98</v>
      </c>
      <c r="P167" s="2" t="s">
        <v>51</v>
      </c>
      <c r="Q167" s="2" t="s">
        <v>28</v>
      </c>
      <c r="R167" s="2" t="s">
        <v>52</v>
      </c>
      <c r="S167" s="2" t="s">
        <v>228</v>
      </c>
      <c r="T167" s="2"/>
      <c r="U167" s="2" t="str">
        <f t="shared" si="8"/>
        <v>Not Required</v>
      </c>
      <c r="V167" s="2" t="s">
        <v>468</v>
      </c>
    </row>
    <row r="168" spans="1:22" hidden="1" x14ac:dyDescent="0.3">
      <c r="A168" s="2" t="s">
        <v>469</v>
      </c>
      <c r="B168" s="12">
        <f t="shared" si="6"/>
        <v>46238.579931053238</v>
      </c>
      <c r="C168" s="13">
        <v>46238.579931053238</v>
      </c>
      <c r="D168" s="2" t="s">
        <v>470</v>
      </c>
      <c r="E168" s="2" t="str">
        <f t="shared" si="7"/>
        <v>Email Available</v>
      </c>
      <c r="F168" s="2" t="s">
        <v>471</v>
      </c>
      <c r="G168" s="2" t="s">
        <v>284</v>
      </c>
      <c r="H168" s="2" t="s">
        <v>23</v>
      </c>
      <c r="I168" s="2" t="s">
        <v>285</v>
      </c>
      <c r="J168" s="2">
        <v>1</v>
      </c>
      <c r="K168" s="2">
        <v>24.99</v>
      </c>
      <c r="L168" s="2" t="s">
        <v>121</v>
      </c>
      <c r="M168" s="2">
        <v>6.25</v>
      </c>
      <c r="N168" s="2">
        <v>7.99</v>
      </c>
      <c r="O168" s="2">
        <v>26.73</v>
      </c>
      <c r="P168" s="2" t="s">
        <v>74</v>
      </c>
      <c r="Q168" s="2" t="s">
        <v>28</v>
      </c>
      <c r="R168" s="2" t="s">
        <v>42</v>
      </c>
      <c r="S168" s="2" t="s">
        <v>43</v>
      </c>
      <c r="T168" s="2"/>
      <c r="U168" s="2" t="str">
        <f t="shared" si="8"/>
        <v>Not Required</v>
      </c>
      <c r="V168" s="2" t="s">
        <v>472</v>
      </c>
    </row>
    <row r="169" spans="1:22" hidden="1" x14ac:dyDescent="0.3">
      <c r="A169" s="2" t="s">
        <v>473</v>
      </c>
      <c r="B169" s="12">
        <f t="shared" si="6"/>
        <v>46238.579289884263</v>
      </c>
      <c r="C169" s="13">
        <v>46238.579289884263</v>
      </c>
      <c r="D169" s="2" t="s">
        <v>20</v>
      </c>
      <c r="E169" s="2" t="str">
        <f t="shared" si="7"/>
        <v>Email Available</v>
      </c>
      <c r="F169" s="2" t="s">
        <v>21</v>
      </c>
      <c r="G169" s="2" t="s">
        <v>80</v>
      </c>
      <c r="H169" s="2" t="s">
        <v>81</v>
      </c>
      <c r="I169" s="2" t="s">
        <v>82</v>
      </c>
      <c r="J169" s="2">
        <v>1</v>
      </c>
      <c r="K169" s="2">
        <v>89.99</v>
      </c>
      <c r="L169" s="2" t="s">
        <v>67</v>
      </c>
      <c r="M169" s="2">
        <v>9</v>
      </c>
      <c r="N169" s="2">
        <v>0</v>
      </c>
      <c r="O169" s="2">
        <v>80.989999999999995</v>
      </c>
      <c r="P169" s="2" t="s">
        <v>74</v>
      </c>
      <c r="Q169" s="2" t="s">
        <v>28</v>
      </c>
      <c r="R169" s="2" t="s">
        <v>52</v>
      </c>
      <c r="S169" s="2" t="s">
        <v>30</v>
      </c>
      <c r="T169" s="2" t="s">
        <v>69</v>
      </c>
      <c r="U169" s="2" t="str">
        <f t="shared" si="8"/>
        <v>Valid</v>
      </c>
      <c r="V169" s="2" t="s">
        <v>474</v>
      </c>
    </row>
    <row r="170" spans="1:22" hidden="1" x14ac:dyDescent="0.3">
      <c r="A170" s="2" t="s">
        <v>475</v>
      </c>
      <c r="B170" s="12">
        <f t="shared" si="6"/>
        <v>46238.581598356483</v>
      </c>
      <c r="C170" s="13">
        <v>46238.581598356483</v>
      </c>
      <c r="D170" s="2" t="s">
        <v>476</v>
      </c>
      <c r="E170" s="2" t="str">
        <f t="shared" si="7"/>
        <v>Email Available</v>
      </c>
      <c r="F170" s="2" t="s">
        <v>477</v>
      </c>
      <c r="G170" s="2" t="s">
        <v>187</v>
      </c>
      <c r="H170" s="2" t="s">
        <v>37</v>
      </c>
      <c r="I170" s="2" t="s">
        <v>188</v>
      </c>
      <c r="J170" s="2">
        <v>1</v>
      </c>
      <c r="K170" s="2">
        <v>11.99</v>
      </c>
      <c r="L170" s="2" t="s">
        <v>121</v>
      </c>
      <c r="M170" s="2">
        <v>3</v>
      </c>
      <c r="N170" s="2">
        <v>7.99</v>
      </c>
      <c r="O170" s="2">
        <v>16.98</v>
      </c>
      <c r="P170" s="2" t="s">
        <v>68</v>
      </c>
      <c r="Q170" s="2" t="s">
        <v>41</v>
      </c>
      <c r="R170" s="2" t="s">
        <v>52</v>
      </c>
      <c r="S170" s="2" t="s">
        <v>228</v>
      </c>
      <c r="T170" s="2"/>
      <c r="U170" s="2" t="str">
        <f t="shared" si="8"/>
        <v>Not Required</v>
      </c>
      <c r="V170" s="2" t="s">
        <v>478</v>
      </c>
    </row>
    <row r="171" spans="1:22" hidden="1" x14ac:dyDescent="0.3">
      <c r="A171" s="2" t="s">
        <v>479</v>
      </c>
      <c r="B171" s="12">
        <f t="shared" si="6"/>
        <v>46238.585861921303</v>
      </c>
      <c r="C171" s="13">
        <v>46238.585861921303</v>
      </c>
      <c r="D171" s="2" t="s">
        <v>480</v>
      </c>
      <c r="E171" s="2" t="str">
        <f t="shared" si="7"/>
        <v>Email Available</v>
      </c>
      <c r="F171" s="2" t="s">
        <v>481</v>
      </c>
      <c r="G171" s="2" t="s">
        <v>171</v>
      </c>
      <c r="H171" s="2" t="s">
        <v>106</v>
      </c>
      <c r="I171" s="2" t="s">
        <v>172</v>
      </c>
      <c r="J171" s="2">
        <v>1</v>
      </c>
      <c r="K171" s="2">
        <v>32.99</v>
      </c>
      <c r="L171" s="2" t="s">
        <v>208</v>
      </c>
      <c r="M171" s="2">
        <v>4.95</v>
      </c>
      <c r="N171" s="2">
        <v>4.99</v>
      </c>
      <c r="O171" s="2">
        <v>33.03</v>
      </c>
      <c r="P171" s="2" t="s">
        <v>51</v>
      </c>
      <c r="Q171" s="2" t="s">
        <v>90</v>
      </c>
      <c r="R171" s="2" t="s">
        <v>52</v>
      </c>
      <c r="S171" s="2" t="s">
        <v>75</v>
      </c>
      <c r="T171" s="2"/>
      <c r="U171" s="2" t="str">
        <f t="shared" si="8"/>
        <v>Not Required</v>
      </c>
      <c r="V171" s="2" t="s">
        <v>482</v>
      </c>
    </row>
    <row r="172" spans="1:22" hidden="1" x14ac:dyDescent="0.3">
      <c r="A172" s="2" t="s">
        <v>483</v>
      </c>
      <c r="B172" s="12">
        <f t="shared" si="6"/>
        <v>46238.584839074072</v>
      </c>
      <c r="C172" s="13">
        <v>46238.584839074072</v>
      </c>
      <c r="D172" s="2" t="s">
        <v>484</v>
      </c>
      <c r="E172" s="2" t="str">
        <f t="shared" si="7"/>
        <v>Email Available</v>
      </c>
      <c r="F172" s="2" t="s">
        <v>485</v>
      </c>
      <c r="G172" s="2" t="s">
        <v>157</v>
      </c>
      <c r="H172" s="2" t="s">
        <v>37</v>
      </c>
      <c r="I172" s="2" t="s">
        <v>158</v>
      </c>
      <c r="J172" s="2">
        <v>1</v>
      </c>
      <c r="K172" s="2">
        <v>29.99</v>
      </c>
      <c r="L172" s="2"/>
      <c r="M172" s="2">
        <v>0</v>
      </c>
      <c r="N172" s="2">
        <v>7.99</v>
      </c>
      <c r="O172" s="2">
        <v>37.979999999999997</v>
      </c>
      <c r="P172" s="2" t="s">
        <v>51</v>
      </c>
      <c r="Q172" s="2" t="s">
        <v>41</v>
      </c>
      <c r="R172" s="2" t="s">
        <v>52</v>
      </c>
      <c r="S172" s="2" t="s">
        <v>30</v>
      </c>
      <c r="T172" s="2" t="s">
        <v>115</v>
      </c>
      <c r="U172" s="2" t="str">
        <f t="shared" si="8"/>
        <v>Valid</v>
      </c>
      <c r="V172" s="2" t="s">
        <v>486</v>
      </c>
    </row>
    <row r="173" spans="1:22" hidden="1" x14ac:dyDescent="0.3">
      <c r="A173" s="2" t="s">
        <v>487</v>
      </c>
      <c r="B173" s="12">
        <f t="shared" si="6"/>
        <v>46238.584454884258</v>
      </c>
      <c r="C173" s="13">
        <v>46238.584454884258</v>
      </c>
      <c r="D173" s="2" t="s">
        <v>488</v>
      </c>
      <c r="E173" s="2" t="str">
        <f t="shared" si="7"/>
        <v>Email Available</v>
      </c>
      <c r="F173" s="2" t="s">
        <v>489</v>
      </c>
      <c r="G173" s="2" t="s">
        <v>272</v>
      </c>
      <c r="H173" s="2" t="s">
        <v>23</v>
      </c>
      <c r="I173" s="2" t="s">
        <v>273</v>
      </c>
      <c r="J173" s="2">
        <v>1</v>
      </c>
      <c r="K173" s="2">
        <v>18.989999999999998</v>
      </c>
      <c r="L173" s="2"/>
      <c r="M173" s="2">
        <v>0</v>
      </c>
      <c r="N173" s="2">
        <v>7.99</v>
      </c>
      <c r="O173" s="2">
        <v>26.98</v>
      </c>
      <c r="P173" s="2" t="s">
        <v>40</v>
      </c>
      <c r="Q173" s="2" t="s">
        <v>41</v>
      </c>
      <c r="R173" s="2" t="s">
        <v>99</v>
      </c>
      <c r="S173" s="2" t="s">
        <v>30</v>
      </c>
      <c r="T173" s="2" t="s">
        <v>347</v>
      </c>
      <c r="U173" s="2" t="str">
        <f t="shared" si="8"/>
        <v>Valid</v>
      </c>
      <c r="V173" s="2" t="s">
        <v>490</v>
      </c>
    </row>
    <row r="174" spans="1:22" hidden="1" x14ac:dyDescent="0.3">
      <c r="A174" s="2" t="s">
        <v>491</v>
      </c>
      <c r="B174" s="12">
        <f t="shared" si="6"/>
        <v>46238.580745694453</v>
      </c>
      <c r="C174" s="13">
        <v>46238.580745694453</v>
      </c>
      <c r="D174" s="2" t="s">
        <v>492</v>
      </c>
      <c r="E174" s="2" t="str">
        <f t="shared" si="7"/>
        <v>Email Available</v>
      </c>
      <c r="F174" s="2" t="s">
        <v>493</v>
      </c>
      <c r="G174" s="2" t="s">
        <v>65</v>
      </c>
      <c r="H174" s="2" t="s">
        <v>49</v>
      </c>
      <c r="I174" s="2" t="s">
        <v>453</v>
      </c>
      <c r="J174" s="2">
        <v>2</v>
      </c>
      <c r="K174" s="2">
        <v>14.99</v>
      </c>
      <c r="L174" s="2" t="s">
        <v>208</v>
      </c>
      <c r="M174" s="2">
        <v>4.5</v>
      </c>
      <c r="N174" s="2">
        <v>7.99</v>
      </c>
      <c r="O174" s="2">
        <v>33.47</v>
      </c>
      <c r="P174" s="2" t="s">
        <v>40</v>
      </c>
      <c r="Q174" s="2" t="s">
        <v>41</v>
      </c>
      <c r="R174" s="2" t="s">
        <v>42</v>
      </c>
      <c r="S174" s="2" t="s">
        <v>75</v>
      </c>
      <c r="T174" s="2"/>
      <c r="U174" s="2" t="str">
        <f t="shared" si="8"/>
        <v>Not Required</v>
      </c>
      <c r="V174" s="2" t="s">
        <v>494</v>
      </c>
    </row>
    <row r="175" spans="1:22" hidden="1" x14ac:dyDescent="0.3">
      <c r="A175" s="2" t="s">
        <v>495</v>
      </c>
      <c r="B175" s="12">
        <f t="shared" si="6"/>
        <v>46238.589044733802</v>
      </c>
      <c r="C175" s="13">
        <v>46238.589044733802</v>
      </c>
      <c r="D175" s="2" t="s">
        <v>496</v>
      </c>
      <c r="E175" s="2" t="str">
        <f t="shared" si="7"/>
        <v>Email Available</v>
      </c>
      <c r="F175" s="2" t="s">
        <v>497</v>
      </c>
      <c r="G175" s="2" t="s">
        <v>120</v>
      </c>
      <c r="H175" s="2" t="s">
        <v>23</v>
      </c>
      <c r="I175" s="2" t="s">
        <v>24</v>
      </c>
      <c r="J175" s="2">
        <v>2</v>
      </c>
      <c r="K175" s="2">
        <v>12.99</v>
      </c>
      <c r="L175" s="2"/>
      <c r="M175" s="2">
        <v>0</v>
      </c>
      <c r="N175" s="2">
        <v>4.99</v>
      </c>
      <c r="O175" s="2" t="s">
        <v>498</v>
      </c>
      <c r="P175" s="2" t="s">
        <v>68</v>
      </c>
      <c r="Q175" s="2" t="s">
        <v>41</v>
      </c>
      <c r="R175" s="2" t="s">
        <v>29</v>
      </c>
      <c r="S175" s="2" t="s">
        <v>30</v>
      </c>
      <c r="T175" s="2" t="s">
        <v>499</v>
      </c>
      <c r="U175" s="2" t="str">
        <f t="shared" si="8"/>
        <v>Valid</v>
      </c>
      <c r="V175" s="2" t="s">
        <v>500</v>
      </c>
    </row>
    <row r="176" spans="1:22" hidden="1" x14ac:dyDescent="0.3">
      <c r="A176" s="2" t="s">
        <v>501</v>
      </c>
      <c r="B176" s="12">
        <f t="shared" si="6"/>
        <v>46238.58835135417</v>
      </c>
      <c r="C176" s="13">
        <v>46238.58835135417</v>
      </c>
      <c r="D176" s="2" t="s">
        <v>502</v>
      </c>
      <c r="E176" s="2" t="str">
        <f t="shared" si="7"/>
        <v>Email Available</v>
      </c>
      <c r="F176" s="2" t="s">
        <v>503</v>
      </c>
      <c r="G176" s="2" t="s">
        <v>206</v>
      </c>
      <c r="H176" s="2" t="s">
        <v>196</v>
      </c>
      <c r="I176" s="2" t="s">
        <v>207</v>
      </c>
      <c r="J176" s="2">
        <v>3</v>
      </c>
      <c r="K176" s="2">
        <v>24.99</v>
      </c>
      <c r="L176" s="2"/>
      <c r="M176" s="2">
        <v>0</v>
      </c>
      <c r="N176" s="2">
        <v>4.99</v>
      </c>
      <c r="O176" s="2" t="s">
        <v>504</v>
      </c>
      <c r="P176" s="2" t="s">
        <v>51</v>
      </c>
      <c r="Q176" s="2" t="s">
        <v>41</v>
      </c>
      <c r="R176" s="2" t="s">
        <v>52</v>
      </c>
      <c r="S176" s="2" t="s">
        <v>108</v>
      </c>
      <c r="T176" s="2"/>
      <c r="U176" s="2" t="str">
        <f t="shared" si="8"/>
        <v>Not Required</v>
      </c>
      <c r="V176" s="2" t="s">
        <v>505</v>
      </c>
    </row>
    <row r="177" spans="1:22" hidden="1" x14ac:dyDescent="0.3">
      <c r="A177" s="2" t="s">
        <v>506</v>
      </c>
      <c r="B177" s="12">
        <f t="shared" si="6"/>
        <v>46238</v>
      </c>
      <c r="C177" s="13" t="s">
        <v>255</v>
      </c>
      <c r="D177" s="2" t="s">
        <v>507</v>
      </c>
      <c r="E177" s="2" t="str">
        <f t="shared" si="7"/>
        <v>Email Available</v>
      </c>
      <c r="F177" s="2" t="s">
        <v>508</v>
      </c>
      <c r="G177" s="2" t="s">
        <v>241</v>
      </c>
      <c r="H177" s="2" t="s">
        <v>242</v>
      </c>
      <c r="I177" s="2" t="s">
        <v>243</v>
      </c>
      <c r="J177" s="2">
        <v>2</v>
      </c>
      <c r="K177" s="2">
        <v>27.99</v>
      </c>
      <c r="L177" s="2"/>
      <c r="M177" s="2">
        <v>0</v>
      </c>
      <c r="N177" s="2">
        <v>7.99</v>
      </c>
      <c r="O177" s="2">
        <v>63.97</v>
      </c>
      <c r="P177" s="2" t="s">
        <v>27</v>
      </c>
      <c r="Q177" s="2" t="s">
        <v>41</v>
      </c>
      <c r="R177" s="2" t="s">
        <v>52</v>
      </c>
      <c r="S177" s="2" t="s">
        <v>30</v>
      </c>
      <c r="T177" s="2" t="s">
        <v>454</v>
      </c>
      <c r="U177" s="2" t="str">
        <f t="shared" si="8"/>
        <v>Valid</v>
      </c>
      <c r="V177" s="2" t="s">
        <v>509</v>
      </c>
    </row>
    <row r="178" spans="1:22" hidden="1" x14ac:dyDescent="0.3">
      <c r="A178" s="2" t="s">
        <v>510</v>
      </c>
      <c r="B178" s="12">
        <f t="shared" si="6"/>
        <v>46238.583343958337</v>
      </c>
      <c r="C178" s="13">
        <v>46238.583343958337</v>
      </c>
      <c r="D178" s="2" t="s">
        <v>511</v>
      </c>
      <c r="E178" s="2" t="str">
        <f t="shared" si="7"/>
        <v>Email Available</v>
      </c>
      <c r="F178" s="2" t="s">
        <v>512</v>
      </c>
      <c r="G178" s="2" t="s">
        <v>87</v>
      </c>
      <c r="H178" s="2" t="s">
        <v>88</v>
      </c>
      <c r="I178" s="2" t="s">
        <v>89</v>
      </c>
      <c r="J178" s="2">
        <v>1</v>
      </c>
      <c r="K178" s="2">
        <v>54.99</v>
      </c>
      <c r="L178" s="2" t="s">
        <v>121</v>
      </c>
      <c r="M178" s="2">
        <v>13.75</v>
      </c>
      <c r="N178" s="2">
        <v>5.99</v>
      </c>
      <c r="O178" s="2">
        <v>47.23</v>
      </c>
      <c r="P178" s="2" t="s">
        <v>40</v>
      </c>
      <c r="Q178" s="2" t="s">
        <v>114</v>
      </c>
      <c r="R178" s="2" t="s">
        <v>52</v>
      </c>
      <c r="S178" s="2" t="s">
        <v>30</v>
      </c>
      <c r="T178" s="2" t="s">
        <v>454</v>
      </c>
      <c r="U178" s="2" t="str">
        <f t="shared" si="8"/>
        <v>Valid</v>
      </c>
      <c r="V178" s="2" t="s">
        <v>513</v>
      </c>
    </row>
    <row r="179" spans="1:22" hidden="1" x14ac:dyDescent="0.3">
      <c r="A179" s="2" t="s">
        <v>514</v>
      </c>
      <c r="B179" s="12">
        <f t="shared" si="6"/>
        <v>46238.581099467592</v>
      </c>
      <c r="C179" s="13">
        <v>46238.581099467592</v>
      </c>
      <c r="D179" s="2" t="s">
        <v>515</v>
      </c>
      <c r="E179" s="2" t="str">
        <f t="shared" si="7"/>
        <v>Email Available</v>
      </c>
      <c r="F179" s="2" t="s">
        <v>516</v>
      </c>
      <c r="G179" s="2" t="s">
        <v>87</v>
      </c>
      <c r="H179" s="2" t="s">
        <v>88</v>
      </c>
      <c r="I179" s="2" t="s">
        <v>89</v>
      </c>
      <c r="J179" s="2">
        <v>1</v>
      </c>
      <c r="K179" s="2">
        <v>54.99</v>
      </c>
      <c r="L179" s="2" t="s">
        <v>67</v>
      </c>
      <c r="M179" s="2">
        <v>5.5</v>
      </c>
      <c r="N179" s="2">
        <v>7.99</v>
      </c>
      <c r="O179" s="2" t="s">
        <v>517</v>
      </c>
      <c r="P179" s="2" t="s">
        <v>51</v>
      </c>
      <c r="Q179" s="2" t="s">
        <v>41</v>
      </c>
      <c r="R179" s="2" t="s">
        <v>52</v>
      </c>
      <c r="S179" s="2" t="s">
        <v>337</v>
      </c>
      <c r="T179" s="2"/>
      <c r="U179" s="2" t="str">
        <f t="shared" si="8"/>
        <v>Not Required</v>
      </c>
      <c r="V179" s="2" t="s">
        <v>518</v>
      </c>
    </row>
    <row r="180" spans="1:22" hidden="1" x14ac:dyDescent="0.3">
      <c r="A180" s="2" t="s">
        <v>519</v>
      </c>
      <c r="B180" s="12">
        <f t="shared" si="6"/>
        <v>46238.579269351852</v>
      </c>
      <c r="C180" s="13">
        <v>46238.579269351852</v>
      </c>
      <c r="D180" s="2" t="s">
        <v>466</v>
      </c>
      <c r="E180" s="2" t="str">
        <f t="shared" si="7"/>
        <v>Email Available</v>
      </c>
      <c r="F180" s="2" t="s">
        <v>467</v>
      </c>
      <c r="G180" s="2" t="s">
        <v>120</v>
      </c>
      <c r="H180" s="2" t="s">
        <v>23</v>
      </c>
      <c r="I180" s="2" t="s">
        <v>24</v>
      </c>
      <c r="J180" s="2">
        <v>1</v>
      </c>
      <c r="K180" s="2">
        <v>12.99</v>
      </c>
      <c r="L180" s="2" t="s">
        <v>39</v>
      </c>
      <c r="M180" s="2" t="s">
        <v>189</v>
      </c>
      <c r="N180" s="2">
        <v>0</v>
      </c>
      <c r="O180" s="2">
        <v>12.99</v>
      </c>
      <c r="P180" s="2" t="s">
        <v>40</v>
      </c>
      <c r="Q180" s="2" t="s">
        <v>41</v>
      </c>
      <c r="R180" s="2" t="s">
        <v>52</v>
      </c>
      <c r="S180" s="2" t="s">
        <v>228</v>
      </c>
      <c r="T180" s="2"/>
      <c r="U180" s="2" t="str">
        <f t="shared" si="8"/>
        <v>Not Required</v>
      </c>
      <c r="V180" s="2" t="s">
        <v>520</v>
      </c>
    </row>
    <row r="181" spans="1:22" hidden="1" x14ac:dyDescent="0.3">
      <c r="A181" s="2" t="s">
        <v>521</v>
      </c>
      <c r="B181" s="12">
        <f t="shared" si="6"/>
        <v>46238.581460740737</v>
      </c>
      <c r="C181" s="13">
        <v>46238.581460740737</v>
      </c>
      <c r="D181" s="2" t="s">
        <v>438</v>
      </c>
      <c r="E181" s="2" t="str">
        <f t="shared" si="7"/>
        <v>Email Available</v>
      </c>
      <c r="F181" s="2" t="s">
        <v>439</v>
      </c>
      <c r="G181" s="2" t="s">
        <v>36</v>
      </c>
      <c r="H181" s="2" t="s">
        <v>37</v>
      </c>
      <c r="I181" s="2" t="s">
        <v>38</v>
      </c>
      <c r="J181" s="2">
        <v>1</v>
      </c>
      <c r="K181" s="2">
        <v>21.99</v>
      </c>
      <c r="L181" s="2"/>
      <c r="M181" s="2">
        <v>0</v>
      </c>
      <c r="N181" s="2">
        <v>5.99</v>
      </c>
      <c r="O181" s="2">
        <v>27.98</v>
      </c>
      <c r="P181" s="2" t="s">
        <v>74</v>
      </c>
      <c r="Q181" s="2" t="s">
        <v>90</v>
      </c>
      <c r="R181" s="2" t="s">
        <v>42</v>
      </c>
      <c r="S181" s="2" t="s">
        <v>108</v>
      </c>
      <c r="T181" s="2"/>
      <c r="U181" s="2" t="str">
        <f t="shared" si="8"/>
        <v>Not Required</v>
      </c>
      <c r="V181" s="2" t="s">
        <v>522</v>
      </c>
    </row>
    <row r="182" spans="1:22" hidden="1" x14ac:dyDescent="0.3">
      <c r="A182" s="2" t="s">
        <v>523</v>
      </c>
      <c r="B182" s="12">
        <f t="shared" si="6"/>
        <v>46238.581291770832</v>
      </c>
      <c r="C182" s="13">
        <v>46238.581291770832</v>
      </c>
      <c r="D182" s="2" t="s">
        <v>524</v>
      </c>
      <c r="E182" s="2" t="str">
        <f t="shared" si="7"/>
        <v>Email Available</v>
      </c>
      <c r="F182" s="2" t="s">
        <v>525</v>
      </c>
      <c r="G182" s="2" t="s">
        <v>120</v>
      </c>
      <c r="H182" s="2" t="s">
        <v>23</v>
      </c>
      <c r="I182" s="2" t="s">
        <v>24</v>
      </c>
      <c r="J182" s="2">
        <v>1</v>
      </c>
      <c r="K182" s="2">
        <v>12.99</v>
      </c>
      <c r="L182" s="2" t="s">
        <v>121</v>
      </c>
      <c r="M182" s="2">
        <v>3.25</v>
      </c>
      <c r="N182" s="2">
        <v>4.99</v>
      </c>
      <c r="O182" s="2">
        <v>14.73</v>
      </c>
      <c r="P182" s="2" t="s">
        <v>27</v>
      </c>
      <c r="Q182" s="2" t="s">
        <v>114</v>
      </c>
      <c r="R182" s="2" t="s">
        <v>52</v>
      </c>
      <c r="S182" s="2" t="s">
        <v>30</v>
      </c>
      <c r="T182" s="2" t="s">
        <v>347</v>
      </c>
      <c r="U182" s="2" t="str">
        <f t="shared" si="8"/>
        <v>Valid</v>
      </c>
      <c r="V182" s="2" t="s">
        <v>526</v>
      </c>
    </row>
    <row r="183" spans="1:22" hidden="1" x14ac:dyDescent="0.3">
      <c r="A183" s="2" t="s">
        <v>527</v>
      </c>
      <c r="B183" s="12">
        <f t="shared" si="6"/>
        <v>46238.586120810192</v>
      </c>
      <c r="C183" s="13">
        <v>46238.586120810192</v>
      </c>
      <c r="D183" s="2" t="s">
        <v>480</v>
      </c>
      <c r="E183" s="2" t="str">
        <f t="shared" si="7"/>
        <v>Email Available</v>
      </c>
      <c r="F183" s="2" t="s">
        <v>481</v>
      </c>
      <c r="G183" s="2" t="s">
        <v>133</v>
      </c>
      <c r="H183" s="2" t="s">
        <v>106</v>
      </c>
      <c r="I183" s="2" t="s">
        <v>134</v>
      </c>
      <c r="J183" s="2">
        <v>1</v>
      </c>
      <c r="K183" s="2">
        <v>16.989999999999998</v>
      </c>
      <c r="L183" s="2"/>
      <c r="M183" s="2">
        <v>0</v>
      </c>
      <c r="N183" s="2">
        <v>5.99</v>
      </c>
      <c r="O183" s="2">
        <v>22.98</v>
      </c>
      <c r="P183" s="2" t="s">
        <v>74</v>
      </c>
      <c r="Q183" s="2" t="s">
        <v>41</v>
      </c>
      <c r="R183" s="2" t="s">
        <v>29</v>
      </c>
      <c r="S183" s="2" t="s">
        <v>75</v>
      </c>
      <c r="T183" s="2"/>
      <c r="U183" s="2" t="str">
        <f t="shared" si="8"/>
        <v>Not Required</v>
      </c>
      <c r="V183" s="2" t="s">
        <v>528</v>
      </c>
    </row>
    <row r="184" spans="1:22" hidden="1" x14ac:dyDescent="0.3">
      <c r="A184" s="2" t="s">
        <v>529</v>
      </c>
      <c r="B184" s="12">
        <f t="shared" si="6"/>
        <v>46238.580952557873</v>
      </c>
      <c r="C184" s="13">
        <v>46238.580952557873</v>
      </c>
      <c r="D184" s="2" t="s">
        <v>177</v>
      </c>
      <c r="E184" s="2" t="str">
        <f t="shared" si="7"/>
        <v>Email Available</v>
      </c>
      <c r="F184" s="2" t="s">
        <v>178</v>
      </c>
      <c r="G184" s="2" t="s">
        <v>171</v>
      </c>
      <c r="H184" s="2" t="s">
        <v>106</v>
      </c>
      <c r="I184" s="2" t="s">
        <v>172</v>
      </c>
      <c r="J184" s="2">
        <v>1</v>
      </c>
      <c r="K184" s="2">
        <v>32.99</v>
      </c>
      <c r="L184" s="2" t="s">
        <v>39</v>
      </c>
      <c r="M184" s="2">
        <v>0</v>
      </c>
      <c r="N184" s="2">
        <v>0</v>
      </c>
      <c r="O184" s="2">
        <v>32.99</v>
      </c>
      <c r="P184" s="2" t="s">
        <v>40</v>
      </c>
      <c r="Q184" s="2" t="s">
        <v>41</v>
      </c>
      <c r="R184" s="2" t="s">
        <v>52</v>
      </c>
      <c r="S184" s="2" t="s">
        <v>30</v>
      </c>
      <c r="T184" s="2" t="s">
        <v>60</v>
      </c>
      <c r="U184" s="2" t="str">
        <f t="shared" si="8"/>
        <v>Valid</v>
      </c>
      <c r="V184" s="2" t="s">
        <v>530</v>
      </c>
    </row>
    <row r="185" spans="1:22" hidden="1" x14ac:dyDescent="0.3">
      <c r="A185" s="2" t="s">
        <v>531</v>
      </c>
      <c r="B185" s="12">
        <f t="shared" si="6"/>
        <v>46238.586465439817</v>
      </c>
      <c r="C185" s="13">
        <v>46238.586465439817</v>
      </c>
      <c r="D185" s="2" t="s">
        <v>532</v>
      </c>
      <c r="E185" s="2" t="str">
        <f t="shared" si="7"/>
        <v>Email Available</v>
      </c>
      <c r="F185" s="2" t="s">
        <v>533</v>
      </c>
      <c r="G185" s="2" t="s">
        <v>226</v>
      </c>
      <c r="H185" s="2" t="s">
        <v>23</v>
      </c>
      <c r="I185" s="2" t="s">
        <v>227</v>
      </c>
      <c r="J185" s="2">
        <v>1</v>
      </c>
      <c r="K185" s="2">
        <v>17.989999999999998</v>
      </c>
      <c r="L185" s="2" t="s">
        <v>39</v>
      </c>
      <c r="M185" s="2">
        <v>0</v>
      </c>
      <c r="N185" s="2">
        <v>0</v>
      </c>
      <c r="O185" s="2">
        <v>17.989999999999998</v>
      </c>
      <c r="P185" s="2" t="s">
        <v>51</v>
      </c>
      <c r="Q185" s="2" t="s">
        <v>90</v>
      </c>
      <c r="R185" s="2" t="s">
        <v>99</v>
      </c>
      <c r="S185" s="2" t="s">
        <v>228</v>
      </c>
      <c r="T185" s="2"/>
      <c r="U185" s="2" t="str">
        <f t="shared" si="8"/>
        <v>Not Required</v>
      </c>
      <c r="V185" s="2" t="s">
        <v>534</v>
      </c>
    </row>
    <row r="186" spans="1:22" hidden="1" x14ac:dyDescent="0.3">
      <c r="A186" s="2" t="s">
        <v>535</v>
      </c>
      <c r="B186" s="12">
        <f t="shared" si="6"/>
        <v>46120</v>
      </c>
      <c r="C186" s="13" t="s">
        <v>142</v>
      </c>
      <c r="D186" s="2" t="s">
        <v>536</v>
      </c>
      <c r="E186" s="2" t="str">
        <f t="shared" si="7"/>
        <v>Email Available</v>
      </c>
      <c r="F186" s="2" t="s">
        <v>537</v>
      </c>
      <c r="G186" s="2" t="s">
        <v>151</v>
      </c>
      <c r="H186" s="2" t="s">
        <v>49</v>
      </c>
      <c r="I186" s="2" t="s">
        <v>152</v>
      </c>
      <c r="J186" s="2">
        <v>2</v>
      </c>
      <c r="K186" s="2">
        <v>34.99</v>
      </c>
      <c r="L186" s="2"/>
      <c r="M186" s="2">
        <v>0</v>
      </c>
      <c r="N186" s="2">
        <v>4.99</v>
      </c>
      <c r="O186" s="2">
        <v>74.97</v>
      </c>
      <c r="P186" s="2" t="s">
        <v>74</v>
      </c>
      <c r="Q186" s="2" t="s">
        <v>114</v>
      </c>
      <c r="R186" s="2" t="s">
        <v>99</v>
      </c>
      <c r="S186" s="2" t="s">
        <v>30</v>
      </c>
      <c r="T186" s="2" t="s">
        <v>53</v>
      </c>
      <c r="U186" s="2" t="str">
        <f t="shared" si="8"/>
        <v>Valid</v>
      </c>
      <c r="V186" s="2" t="s">
        <v>538</v>
      </c>
    </row>
    <row r="187" spans="1:22" hidden="1" x14ac:dyDescent="0.3">
      <c r="A187" s="2" t="s">
        <v>539</v>
      </c>
      <c r="B187" s="12">
        <f t="shared" si="6"/>
        <v>46238.586723703702</v>
      </c>
      <c r="C187" s="13">
        <v>46238.586723703702</v>
      </c>
      <c r="D187" s="2" t="s">
        <v>540</v>
      </c>
      <c r="E187" s="2" t="str">
        <f t="shared" si="7"/>
        <v>Email Available</v>
      </c>
      <c r="F187" s="2" t="s">
        <v>541</v>
      </c>
      <c r="G187" s="2" t="s">
        <v>241</v>
      </c>
      <c r="H187" s="2" t="s">
        <v>242</v>
      </c>
      <c r="I187" s="2" t="s">
        <v>243</v>
      </c>
      <c r="J187" s="2">
        <v>2</v>
      </c>
      <c r="K187" s="2">
        <v>27.99</v>
      </c>
      <c r="L187" s="2" t="s">
        <v>39</v>
      </c>
      <c r="M187" s="2">
        <v>0</v>
      </c>
      <c r="N187" s="2">
        <v>0</v>
      </c>
      <c r="O187" s="2">
        <v>55.98</v>
      </c>
      <c r="P187" s="2" t="s">
        <v>74</v>
      </c>
      <c r="Q187" s="2" t="s">
        <v>114</v>
      </c>
      <c r="R187" s="2" t="s">
        <v>52</v>
      </c>
      <c r="S187" s="2" t="s">
        <v>75</v>
      </c>
      <c r="T187" s="2"/>
      <c r="U187" s="2" t="str">
        <f t="shared" si="8"/>
        <v>Not Required</v>
      </c>
      <c r="V187" s="2" t="s">
        <v>542</v>
      </c>
    </row>
    <row r="188" spans="1:22" hidden="1" x14ac:dyDescent="0.3">
      <c r="A188" s="2" t="s">
        <v>543</v>
      </c>
      <c r="B188" s="12">
        <f t="shared" si="6"/>
        <v>46238.581821979169</v>
      </c>
      <c r="C188" s="13">
        <v>46238.581821979169</v>
      </c>
      <c r="D188" s="2" t="s">
        <v>544</v>
      </c>
      <c r="E188" s="2" t="str">
        <f t="shared" si="7"/>
        <v>Email Available</v>
      </c>
      <c r="F188" s="2" t="s">
        <v>545</v>
      </c>
      <c r="G188" s="2" t="s">
        <v>36</v>
      </c>
      <c r="H188" s="2" t="s">
        <v>37</v>
      </c>
      <c r="I188" s="2" t="s">
        <v>38</v>
      </c>
      <c r="J188" s="2">
        <v>2</v>
      </c>
      <c r="K188" s="2">
        <v>21.99</v>
      </c>
      <c r="L188" s="2" t="s">
        <v>39</v>
      </c>
      <c r="M188" s="2">
        <v>0</v>
      </c>
      <c r="N188" s="2">
        <v>0</v>
      </c>
      <c r="O188" s="2" t="s">
        <v>546</v>
      </c>
      <c r="P188" s="2" t="s">
        <v>27</v>
      </c>
      <c r="Q188" s="2" t="s">
        <v>28</v>
      </c>
      <c r="R188" s="2" t="s">
        <v>29</v>
      </c>
      <c r="S188" s="2" t="s">
        <v>228</v>
      </c>
      <c r="T188" s="2"/>
      <c r="U188" s="2" t="str">
        <f t="shared" si="8"/>
        <v>Not Required</v>
      </c>
      <c r="V188" s="2" t="s">
        <v>547</v>
      </c>
    </row>
    <row r="189" spans="1:22" hidden="1" x14ac:dyDescent="0.3">
      <c r="A189" s="2" t="s">
        <v>548</v>
      </c>
      <c r="B189" s="12">
        <f t="shared" si="6"/>
        <v>46238.585312442126</v>
      </c>
      <c r="C189" s="13">
        <v>46238.585312442126</v>
      </c>
      <c r="D189" s="2" t="s">
        <v>549</v>
      </c>
      <c r="E189" s="2" t="str">
        <f t="shared" si="7"/>
        <v>Email Available</v>
      </c>
      <c r="F189" s="2" t="s">
        <v>550</v>
      </c>
      <c r="G189" s="2" t="s">
        <v>266</v>
      </c>
      <c r="H189" s="2" t="s">
        <v>37</v>
      </c>
      <c r="I189" s="2" t="s">
        <v>267</v>
      </c>
      <c r="J189" s="2">
        <v>1</v>
      </c>
      <c r="K189" s="2">
        <v>15.49</v>
      </c>
      <c r="L189" s="2" t="s">
        <v>39</v>
      </c>
      <c r="M189" s="2">
        <v>0</v>
      </c>
      <c r="N189" s="2">
        <v>0</v>
      </c>
      <c r="O189" s="2">
        <v>15.49</v>
      </c>
      <c r="P189" s="2" t="s">
        <v>74</v>
      </c>
      <c r="Q189" s="2" t="s">
        <v>114</v>
      </c>
      <c r="R189" s="2" t="s">
        <v>52</v>
      </c>
      <c r="S189" s="2" t="s">
        <v>108</v>
      </c>
      <c r="T189" s="2"/>
      <c r="U189" s="2" t="str">
        <f t="shared" si="8"/>
        <v>Not Required</v>
      </c>
      <c r="V189" s="2" t="s">
        <v>551</v>
      </c>
    </row>
    <row r="190" spans="1:22" hidden="1" x14ac:dyDescent="0.3">
      <c r="A190" s="2" t="s">
        <v>552</v>
      </c>
      <c r="B190" s="12">
        <f t="shared" si="6"/>
        <v>46120</v>
      </c>
      <c r="C190" s="13" t="s">
        <v>142</v>
      </c>
      <c r="D190" s="2" t="s">
        <v>553</v>
      </c>
      <c r="E190" s="2" t="str">
        <f t="shared" si="7"/>
        <v>Email Available</v>
      </c>
      <c r="F190" s="2" t="s">
        <v>554</v>
      </c>
      <c r="G190" s="2" t="s">
        <v>65</v>
      </c>
      <c r="H190" s="2" t="s">
        <v>49</v>
      </c>
      <c r="I190" s="2" t="s">
        <v>66</v>
      </c>
      <c r="J190" s="2">
        <v>1</v>
      </c>
      <c r="K190" s="2">
        <v>14.99</v>
      </c>
      <c r="L190" s="2" t="s">
        <v>25</v>
      </c>
      <c r="M190" s="2">
        <v>3</v>
      </c>
      <c r="N190" s="2">
        <v>5.99</v>
      </c>
      <c r="O190" s="2" t="s">
        <v>555</v>
      </c>
      <c r="P190" s="2" t="s">
        <v>68</v>
      </c>
      <c r="Q190" s="2" t="s">
        <v>28</v>
      </c>
      <c r="R190" s="2" t="s">
        <v>99</v>
      </c>
      <c r="S190" s="2" t="s">
        <v>228</v>
      </c>
      <c r="T190" s="2"/>
      <c r="U190" s="2" t="str">
        <f t="shared" si="8"/>
        <v>Not Required</v>
      </c>
      <c r="V190" s="2" t="s">
        <v>556</v>
      </c>
    </row>
    <row r="191" spans="1:22" hidden="1" x14ac:dyDescent="0.3">
      <c r="A191" s="2" t="s">
        <v>557</v>
      </c>
      <c r="B191" s="12">
        <f t="shared" si="6"/>
        <v>46238.588280810189</v>
      </c>
      <c r="C191" s="13">
        <v>46238.588280810189</v>
      </c>
      <c r="D191" s="2" t="s">
        <v>558</v>
      </c>
      <c r="E191" s="2" t="str">
        <f t="shared" si="7"/>
        <v>Email Available</v>
      </c>
      <c r="F191" s="2" t="s">
        <v>559</v>
      </c>
      <c r="G191" s="2" t="s">
        <v>151</v>
      </c>
      <c r="H191" s="2" t="s">
        <v>49</v>
      </c>
      <c r="I191" s="2" t="s">
        <v>152</v>
      </c>
      <c r="J191" s="2">
        <v>1</v>
      </c>
      <c r="K191" s="2">
        <v>34.99</v>
      </c>
      <c r="L191" s="2"/>
      <c r="M191" s="2">
        <v>0</v>
      </c>
      <c r="N191" s="2">
        <v>5.99</v>
      </c>
      <c r="O191" s="2">
        <v>40.98</v>
      </c>
      <c r="P191" s="2" t="s">
        <v>74</v>
      </c>
      <c r="Q191" s="2" t="s">
        <v>114</v>
      </c>
      <c r="R191" s="2" t="s">
        <v>52</v>
      </c>
      <c r="S191" s="2" t="s">
        <v>30</v>
      </c>
      <c r="T191" s="2" t="s">
        <v>145</v>
      </c>
      <c r="U191" s="2" t="str">
        <f t="shared" si="8"/>
        <v>Valid</v>
      </c>
      <c r="V191" s="2" t="s">
        <v>560</v>
      </c>
    </row>
    <row r="192" spans="1:22" hidden="1" x14ac:dyDescent="0.3">
      <c r="A192" s="2" t="s">
        <v>561</v>
      </c>
      <c r="B192" s="12">
        <f t="shared" si="6"/>
        <v>46238.585509490738</v>
      </c>
      <c r="C192" s="13">
        <v>46238.585509490738</v>
      </c>
      <c r="D192" s="2" t="s">
        <v>562</v>
      </c>
      <c r="E192" s="2" t="str">
        <f t="shared" si="7"/>
        <v>Email Available</v>
      </c>
      <c r="F192" s="2" t="s">
        <v>47</v>
      </c>
      <c r="G192" s="2" t="s">
        <v>151</v>
      </c>
      <c r="H192" s="2" t="s">
        <v>49</v>
      </c>
      <c r="I192" s="2" t="s">
        <v>152</v>
      </c>
      <c r="J192" s="2">
        <v>2</v>
      </c>
      <c r="K192" s="2">
        <v>34.99</v>
      </c>
      <c r="L192" s="2"/>
      <c r="M192" s="2">
        <v>0</v>
      </c>
      <c r="N192" s="2">
        <v>4.99</v>
      </c>
      <c r="O192" s="2">
        <v>74.97</v>
      </c>
      <c r="P192" s="2" t="s">
        <v>40</v>
      </c>
      <c r="Q192" s="2" t="s">
        <v>41</v>
      </c>
      <c r="R192" s="2" t="s">
        <v>52</v>
      </c>
      <c r="S192" s="2" t="s">
        <v>30</v>
      </c>
      <c r="T192" s="2" t="s">
        <v>69</v>
      </c>
      <c r="U192" s="2" t="str">
        <f t="shared" si="8"/>
        <v>Valid</v>
      </c>
      <c r="V192" s="2" t="s">
        <v>563</v>
      </c>
    </row>
    <row r="193" spans="1:22" hidden="1" x14ac:dyDescent="0.3">
      <c r="A193" s="2" t="s">
        <v>564</v>
      </c>
      <c r="B193" s="12">
        <f t="shared" si="6"/>
        <v>46120</v>
      </c>
      <c r="C193" s="13" t="s">
        <v>142</v>
      </c>
      <c r="D193" s="2" t="s">
        <v>565</v>
      </c>
      <c r="E193" s="2" t="str">
        <f t="shared" si="7"/>
        <v>Email Available</v>
      </c>
      <c r="F193" s="2" t="s">
        <v>566</v>
      </c>
      <c r="G193" s="2" t="s">
        <v>120</v>
      </c>
      <c r="H193" s="2" t="s">
        <v>23</v>
      </c>
      <c r="I193" s="2" t="s">
        <v>24</v>
      </c>
      <c r="J193" s="2">
        <v>1</v>
      </c>
      <c r="K193" s="2">
        <v>12.99</v>
      </c>
      <c r="L193" s="2" t="s">
        <v>39</v>
      </c>
      <c r="M193" s="2">
        <v>0</v>
      </c>
      <c r="N193" s="2">
        <v>0</v>
      </c>
      <c r="O193" s="2">
        <v>12.99</v>
      </c>
      <c r="P193" s="2" t="s">
        <v>68</v>
      </c>
      <c r="Q193" s="2" t="s">
        <v>28</v>
      </c>
      <c r="R193" s="2" t="s">
        <v>52</v>
      </c>
      <c r="S193" s="2" t="s">
        <v>43</v>
      </c>
      <c r="T193" s="2"/>
      <c r="U193" s="2" t="str">
        <f t="shared" si="8"/>
        <v>Not Required</v>
      </c>
      <c r="V193" s="2" t="s">
        <v>567</v>
      </c>
    </row>
    <row r="194" spans="1:22" hidden="1" x14ac:dyDescent="0.3">
      <c r="A194" s="2" t="s">
        <v>568</v>
      </c>
      <c r="B194" s="12">
        <f t="shared" si="6"/>
        <v>46238.580781701392</v>
      </c>
      <c r="C194" s="13">
        <v>46238.580781701392</v>
      </c>
      <c r="D194" s="2" t="s">
        <v>569</v>
      </c>
      <c r="E194" s="2" t="str">
        <f t="shared" si="7"/>
        <v>Email Available</v>
      </c>
      <c r="F194" s="2" t="s">
        <v>570</v>
      </c>
      <c r="G194" s="2" t="s">
        <v>36</v>
      </c>
      <c r="H194" s="2" t="s">
        <v>37</v>
      </c>
      <c r="I194" s="2" t="s">
        <v>38</v>
      </c>
      <c r="J194" s="2">
        <v>2</v>
      </c>
      <c r="K194" s="2" t="s">
        <v>571</v>
      </c>
      <c r="L194" s="2" t="s">
        <v>39</v>
      </c>
      <c r="M194" s="2">
        <v>0</v>
      </c>
      <c r="N194" s="2">
        <v>0</v>
      </c>
      <c r="O194" s="2">
        <v>43.98</v>
      </c>
      <c r="P194" s="2" t="s">
        <v>27</v>
      </c>
      <c r="Q194" s="2" t="s">
        <v>28</v>
      </c>
      <c r="R194" s="2" t="s">
        <v>52</v>
      </c>
      <c r="S194" s="2" t="s">
        <v>337</v>
      </c>
      <c r="T194" s="2"/>
      <c r="U194" s="2" t="str">
        <f t="shared" si="8"/>
        <v>Not Required</v>
      </c>
      <c r="V194" s="2" t="s">
        <v>572</v>
      </c>
    </row>
    <row r="195" spans="1:22" hidden="1" x14ac:dyDescent="0.3">
      <c r="A195" s="2" t="s">
        <v>573</v>
      </c>
      <c r="B195" s="12">
        <f t="shared" ref="B195:B258" si="9">IF(ISNUMBER(C195),C195,DATEVALUE(SUBSTITUTE(TRIM(C195),CHAR(160)," ")))</f>
        <v>46238.584644930554</v>
      </c>
      <c r="C195" s="13">
        <v>46238.584644930554</v>
      </c>
      <c r="D195" s="2" t="s">
        <v>574</v>
      </c>
      <c r="E195" s="2" t="str">
        <f t="shared" ref="E195:E258" si="10">IF(TRIM(F195)="","Missing Email","Email Available")</f>
        <v>Email Available</v>
      </c>
      <c r="F195" s="2" t="s">
        <v>575</v>
      </c>
      <c r="G195" s="2" t="s">
        <v>241</v>
      </c>
      <c r="H195" s="2" t="s">
        <v>242</v>
      </c>
      <c r="I195" s="2" t="s">
        <v>243</v>
      </c>
      <c r="J195" s="2">
        <v>1</v>
      </c>
      <c r="K195" s="2">
        <v>27.99</v>
      </c>
      <c r="L195" s="2" t="s">
        <v>25</v>
      </c>
      <c r="M195" s="2">
        <v>5.6</v>
      </c>
      <c r="N195" s="2">
        <v>4.99</v>
      </c>
      <c r="O195" s="2">
        <v>27.38</v>
      </c>
      <c r="P195" s="2" t="s">
        <v>74</v>
      </c>
      <c r="Q195" s="2" t="s">
        <v>28</v>
      </c>
      <c r="R195" s="2" t="s">
        <v>29</v>
      </c>
      <c r="S195" s="2" t="s">
        <v>108</v>
      </c>
      <c r="T195" s="2"/>
      <c r="U195" s="2" t="str">
        <f t="shared" ref="U195:U258" si="11">IF(AND(S195="United States",T195=""),"Missing state",IF(T195="","Not Required","Valid"))</f>
        <v>Not Required</v>
      </c>
      <c r="V195" s="2" t="s">
        <v>352</v>
      </c>
    </row>
    <row r="196" spans="1:22" hidden="1" x14ac:dyDescent="0.3">
      <c r="A196" s="2" t="s">
        <v>576</v>
      </c>
      <c r="B196" s="12">
        <f t="shared" si="9"/>
        <v>46238</v>
      </c>
      <c r="C196" s="13" t="s">
        <v>102</v>
      </c>
      <c r="D196" s="2" t="s">
        <v>577</v>
      </c>
      <c r="E196" s="2" t="str">
        <f t="shared" si="10"/>
        <v>Email Available</v>
      </c>
      <c r="F196" s="2" t="s">
        <v>578</v>
      </c>
      <c r="G196" s="2" t="s">
        <v>80</v>
      </c>
      <c r="H196" s="2" t="s">
        <v>81</v>
      </c>
      <c r="I196" s="2" t="s">
        <v>82</v>
      </c>
      <c r="J196" s="2">
        <v>1</v>
      </c>
      <c r="K196" s="2" t="s">
        <v>579</v>
      </c>
      <c r="L196" s="2"/>
      <c r="M196" s="2">
        <v>0</v>
      </c>
      <c r="N196" s="2">
        <v>0</v>
      </c>
      <c r="O196" s="2">
        <v>89.99</v>
      </c>
      <c r="P196" s="2" t="s">
        <v>74</v>
      </c>
      <c r="Q196" s="2" t="s">
        <v>90</v>
      </c>
      <c r="R196" s="2" t="s">
        <v>52</v>
      </c>
      <c r="S196" s="2" t="s">
        <v>108</v>
      </c>
      <c r="T196" s="2"/>
      <c r="U196" s="2" t="str">
        <f t="shared" si="11"/>
        <v>Not Required</v>
      </c>
      <c r="V196" s="2" t="s">
        <v>580</v>
      </c>
    </row>
    <row r="197" spans="1:22" x14ac:dyDescent="0.3">
      <c r="A197" s="2" t="s">
        <v>581</v>
      </c>
      <c r="B197" s="12">
        <f t="shared" si="9"/>
        <v>46238.583784826391</v>
      </c>
      <c r="C197" s="13">
        <v>46238.583784826391</v>
      </c>
      <c r="D197" s="2" t="s">
        <v>582</v>
      </c>
      <c r="E197" s="2" t="str">
        <f t="shared" si="10"/>
        <v>Missing Email</v>
      </c>
      <c r="F197" s="2"/>
      <c r="G197" s="2" t="s">
        <v>284</v>
      </c>
      <c r="H197" s="2" t="s">
        <v>23</v>
      </c>
      <c r="I197" s="2" t="s">
        <v>285</v>
      </c>
      <c r="J197" s="2">
        <v>1</v>
      </c>
      <c r="K197" s="2">
        <v>24.99</v>
      </c>
      <c r="L197" s="2"/>
      <c r="M197" s="2">
        <v>0</v>
      </c>
      <c r="N197" s="2">
        <v>4.99</v>
      </c>
      <c r="O197" s="2">
        <v>29.98</v>
      </c>
      <c r="P197" s="2" t="s">
        <v>74</v>
      </c>
      <c r="Q197" s="2" t="s">
        <v>28</v>
      </c>
      <c r="R197" s="2" t="s">
        <v>52</v>
      </c>
      <c r="S197" s="2" t="s">
        <v>30</v>
      </c>
      <c r="T197" s="2" t="s">
        <v>91</v>
      </c>
      <c r="U197" s="2" t="str">
        <f t="shared" si="11"/>
        <v>Valid</v>
      </c>
      <c r="V197" s="2" t="s">
        <v>583</v>
      </c>
    </row>
    <row r="198" spans="1:22" hidden="1" x14ac:dyDescent="0.3">
      <c r="A198" s="2" t="s">
        <v>584</v>
      </c>
      <c r="B198" s="12">
        <f t="shared" si="9"/>
        <v>46238.579009988433</v>
      </c>
      <c r="C198" s="13">
        <v>46238.579009988433</v>
      </c>
      <c r="D198" s="2" t="s">
        <v>585</v>
      </c>
      <c r="E198" s="2" t="str">
        <f t="shared" si="10"/>
        <v>Email Available</v>
      </c>
      <c r="F198" s="2" t="s">
        <v>586</v>
      </c>
      <c r="G198" s="2" t="s">
        <v>315</v>
      </c>
      <c r="H198" s="2" t="s">
        <v>37</v>
      </c>
      <c r="I198" s="2" t="s">
        <v>316</v>
      </c>
      <c r="J198" s="2">
        <v>2</v>
      </c>
      <c r="K198" s="2">
        <v>8.99</v>
      </c>
      <c r="L198" s="2" t="s">
        <v>121</v>
      </c>
      <c r="M198" s="2">
        <v>4.5</v>
      </c>
      <c r="N198" s="2">
        <v>5.99</v>
      </c>
      <c r="O198" s="2">
        <v>19.47</v>
      </c>
      <c r="P198" s="2" t="s">
        <v>68</v>
      </c>
      <c r="Q198" s="2" t="s">
        <v>41</v>
      </c>
      <c r="R198" s="2" t="s">
        <v>52</v>
      </c>
      <c r="S198" s="2" t="s">
        <v>337</v>
      </c>
      <c r="T198" s="2"/>
      <c r="U198" s="2" t="str">
        <f t="shared" si="11"/>
        <v>Not Required</v>
      </c>
      <c r="V198" s="2" t="s">
        <v>587</v>
      </c>
    </row>
    <row r="199" spans="1:22" hidden="1" x14ac:dyDescent="0.3">
      <c r="A199" s="2" t="s">
        <v>588</v>
      </c>
      <c r="B199" s="12">
        <f t="shared" si="9"/>
        <v>46238.585485358803</v>
      </c>
      <c r="C199" s="13">
        <v>46238.585485358803</v>
      </c>
      <c r="D199" s="2" t="s">
        <v>589</v>
      </c>
      <c r="E199" s="2" t="str">
        <f t="shared" si="10"/>
        <v>Email Available</v>
      </c>
      <c r="F199" s="2" t="s">
        <v>590</v>
      </c>
      <c r="G199" s="2" t="s">
        <v>272</v>
      </c>
      <c r="H199" s="2" t="s">
        <v>23</v>
      </c>
      <c r="I199" s="2" t="s">
        <v>273</v>
      </c>
      <c r="J199" s="2">
        <v>1</v>
      </c>
      <c r="K199" s="2">
        <v>18.989999999999998</v>
      </c>
      <c r="L199" s="2"/>
      <c r="M199" s="2">
        <v>0</v>
      </c>
      <c r="N199" s="2">
        <v>7.99</v>
      </c>
      <c r="O199" s="2" t="s">
        <v>591</v>
      </c>
      <c r="P199" s="2" t="s">
        <v>51</v>
      </c>
      <c r="Q199" s="2" t="s">
        <v>41</v>
      </c>
      <c r="R199" s="2" t="s">
        <v>52</v>
      </c>
      <c r="S199" s="2" t="s">
        <v>30</v>
      </c>
      <c r="T199" s="2" t="s">
        <v>115</v>
      </c>
      <c r="U199" s="2" t="str">
        <f t="shared" si="11"/>
        <v>Valid</v>
      </c>
      <c r="V199" s="2" t="s">
        <v>592</v>
      </c>
    </row>
    <row r="200" spans="1:22" hidden="1" x14ac:dyDescent="0.3">
      <c r="A200" s="2" t="s">
        <v>593</v>
      </c>
      <c r="B200" s="12">
        <f t="shared" si="9"/>
        <v>46238.588570462962</v>
      </c>
      <c r="C200" s="13">
        <v>46238.588570462962</v>
      </c>
      <c r="D200" s="2" t="s">
        <v>594</v>
      </c>
      <c r="E200" s="2" t="str">
        <f t="shared" si="10"/>
        <v>Email Available</v>
      </c>
      <c r="F200" s="2" t="s">
        <v>595</v>
      </c>
      <c r="G200" s="2" t="s">
        <v>133</v>
      </c>
      <c r="H200" s="2" t="s">
        <v>106</v>
      </c>
      <c r="I200" s="2" t="s">
        <v>134</v>
      </c>
      <c r="J200" s="2">
        <v>1</v>
      </c>
      <c r="K200" s="2">
        <v>16.989999999999998</v>
      </c>
      <c r="L200" s="2" t="s">
        <v>208</v>
      </c>
      <c r="M200" s="2">
        <v>2.5499999999999998</v>
      </c>
      <c r="N200" s="2">
        <v>7.99</v>
      </c>
      <c r="O200" s="2">
        <v>22.43</v>
      </c>
      <c r="P200" s="2" t="s">
        <v>74</v>
      </c>
      <c r="Q200" s="2" t="s">
        <v>28</v>
      </c>
      <c r="R200" s="2" t="s">
        <v>52</v>
      </c>
      <c r="S200" s="2" t="s">
        <v>30</v>
      </c>
      <c r="T200" s="2" t="s">
        <v>31</v>
      </c>
      <c r="U200" s="2" t="str">
        <f t="shared" si="11"/>
        <v>Valid</v>
      </c>
      <c r="V200" s="2" t="s">
        <v>596</v>
      </c>
    </row>
    <row r="201" spans="1:22" hidden="1" x14ac:dyDescent="0.3">
      <c r="A201" s="2" t="s">
        <v>597</v>
      </c>
      <c r="B201" s="12">
        <f t="shared" si="9"/>
        <v>46238.581638020827</v>
      </c>
      <c r="C201" s="13">
        <v>46238.581638020827</v>
      </c>
      <c r="D201" s="2" t="s">
        <v>345</v>
      </c>
      <c r="E201" s="2" t="str">
        <f t="shared" si="10"/>
        <v>Email Available</v>
      </c>
      <c r="F201" s="2" t="s">
        <v>452</v>
      </c>
      <c r="G201" s="2" t="s">
        <v>187</v>
      </c>
      <c r="H201" s="2" t="s">
        <v>37</v>
      </c>
      <c r="I201" s="2" t="s">
        <v>188</v>
      </c>
      <c r="J201" s="2">
        <v>1</v>
      </c>
      <c r="K201" s="2">
        <v>11.99</v>
      </c>
      <c r="L201" s="2"/>
      <c r="M201" s="2">
        <v>0</v>
      </c>
      <c r="N201" s="2">
        <v>7.99</v>
      </c>
      <c r="O201" s="2">
        <v>19.98</v>
      </c>
      <c r="P201" s="2" t="s">
        <v>51</v>
      </c>
      <c r="Q201" s="2" t="s">
        <v>28</v>
      </c>
      <c r="R201" s="2" t="s">
        <v>52</v>
      </c>
      <c r="S201" s="2" t="s">
        <v>30</v>
      </c>
      <c r="T201" s="2" t="s">
        <v>60</v>
      </c>
      <c r="U201" s="2" t="str">
        <f t="shared" si="11"/>
        <v>Valid</v>
      </c>
      <c r="V201" s="2" t="s">
        <v>598</v>
      </c>
    </row>
    <row r="202" spans="1:22" hidden="1" x14ac:dyDescent="0.3">
      <c r="A202" s="2" t="s">
        <v>599</v>
      </c>
      <c r="B202" s="12">
        <f t="shared" si="9"/>
        <v>46238.580238946757</v>
      </c>
      <c r="C202" s="13">
        <v>46238.580238946757</v>
      </c>
      <c r="D202" s="2" t="s">
        <v>600</v>
      </c>
      <c r="E202" s="2" t="str">
        <f t="shared" si="10"/>
        <v>Email Available</v>
      </c>
      <c r="F202" s="2" t="s">
        <v>601</v>
      </c>
      <c r="G202" s="2" t="s">
        <v>272</v>
      </c>
      <c r="H202" s="2" t="s">
        <v>23</v>
      </c>
      <c r="I202" s="2" t="s">
        <v>273</v>
      </c>
      <c r="J202" s="2">
        <v>1</v>
      </c>
      <c r="K202" s="2">
        <v>18.989999999999998</v>
      </c>
      <c r="L202" s="2" t="s">
        <v>67</v>
      </c>
      <c r="M202" s="2" t="s">
        <v>602</v>
      </c>
      <c r="N202" s="2">
        <v>5.99</v>
      </c>
      <c r="O202" s="2">
        <v>23.08</v>
      </c>
      <c r="P202" s="2" t="s">
        <v>51</v>
      </c>
      <c r="Q202" s="2" t="s">
        <v>28</v>
      </c>
      <c r="R202" s="2" t="s">
        <v>52</v>
      </c>
      <c r="S202" s="2" t="s">
        <v>30</v>
      </c>
      <c r="T202" s="2" t="s">
        <v>499</v>
      </c>
      <c r="U202" s="2" t="str">
        <f t="shared" si="11"/>
        <v>Valid</v>
      </c>
      <c r="V202" s="2" t="s">
        <v>603</v>
      </c>
    </row>
    <row r="203" spans="1:22" hidden="1" x14ac:dyDescent="0.3">
      <c r="A203" s="2" t="s">
        <v>604</v>
      </c>
      <c r="B203" s="12">
        <f t="shared" si="9"/>
        <v>46238.584284849538</v>
      </c>
      <c r="C203" s="13">
        <v>46238.584284849538</v>
      </c>
      <c r="D203" s="2" t="s">
        <v>605</v>
      </c>
      <c r="E203" s="2" t="str">
        <f t="shared" si="10"/>
        <v>Email Available</v>
      </c>
      <c r="F203" s="2" t="s">
        <v>606</v>
      </c>
      <c r="G203" s="2" t="s">
        <v>241</v>
      </c>
      <c r="H203" s="2" t="s">
        <v>242</v>
      </c>
      <c r="I203" s="2" t="s">
        <v>243</v>
      </c>
      <c r="J203" s="2">
        <v>3</v>
      </c>
      <c r="K203" s="2">
        <v>27.99</v>
      </c>
      <c r="L203" s="2" t="s">
        <v>25</v>
      </c>
      <c r="M203" s="2" t="s">
        <v>607</v>
      </c>
      <c r="N203" s="2">
        <v>0</v>
      </c>
      <c r="O203" s="2">
        <v>67.180000000000007</v>
      </c>
      <c r="P203" s="2" t="s">
        <v>40</v>
      </c>
      <c r="Q203" s="2" t="s">
        <v>41</v>
      </c>
      <c r="R203" s="2" t="s">
        <v>52</v>
      </c>
      <c r="S203" s="2" t="s">
        <v>30</v>
      </c>
      <c r="T203" s="2" t="s">
        <v>53</v>
      </c>
      <c r="U203" s="2" t="str">
        <f t="shared" si="11"/>
        <v>Valid</v>
      </c>
      <c r="V203" s="2" t="s">
        <v>608</v>
      </c>
    </row>
    <row r="204" spans="1:22" hidden="1" x14ac:dyDescent="0.3">
      <c r="A204" s="2" t="s">
        <v>609</v>
      </c>
      <c r="B204" s="12">
        <f t="shared" si="9"/>
        <v>46120</v>
      </c>
      <c r="C204" s="13" t="s">
        <v>142</v>
      </c>
      <c r="D204" s="2" t="s">
        <v>610</v>
      </c>
      <c r="E204" s="2" t="str">
        <f t="shared" si="10"/>
        <v>Email Available</v>
      </c>
      <c r="F204" s="2" t="s">
        <v>611</v>
      </c>
      <c r="G204" s="2" t="s">
        <v>284</v>
      </c>
      <c r="H204" s="2" t="s">
        <v>23</v>
      </c>
      <c r="I204" s="2" t="s">
        <v>285</v>
      </c>
      <c r="J204" s="2">
        <v>1</v>
      </c>
      <c r="K204" s="2">
        <v>24.99</v>
      </c>
      <c r="L204" s="2" t="s">
        <v>208</v>
      </c>
      <c r="M204" s="2">
        <v>3.75</v>
      </c>
      <c r="N204" s="2">
        <v>4.99</v>
      </c>
      <c r="O204" s="2">
        <v>26.23</v>
      </c>
      <c r="P204" s="2" t="s">
        <v>68</v>
      </c>
      <c r="Q204" s="2" t="s">
        <v>114</v>
      </c>
      <c r="R204" s="2" t="s">
        <v>29</v>
      </c>
      <c r="S204" s="2" t="s">
        <v>43</v>
      </c>
      <c r="T204" s="2"/>
      <c r="U204" s="2" t="str">
        <f t="shared" si="11"/>
        <v>Not Required</v>
      </c>
      <c r="V204" s="2" t="s">
        <v>612</v>
      </c>
    </row>
    <row r="205" spans="1:22" hidden="1" x14ac:dyDescent="0.3">
      <c r="A205" s="2" t="s">
        <v>613</v>
      </c>
      <c r="B205" s="12">
        <f t="shared" si="9"/>
        <v>46238.582096006947</v>
      </c>
      <c r="C205" s="13">
        <v>46238.582096006947</v>
      </c>
      <c r="D205" s="2" t="s">
        <v>614</v>
      </c>
      <c r="E205" s="2" t="str">
        <f t="shared" si="10"/>
        <v>Email Available</v>
      </c>
      <c r="F205" s="2" t="s">
        <v>615</v>
      </c>
      <c r="G205" s="2" t="s">
        <v>187</v>
      </c>
      <c r="H205" s="2" t="s">
        <v>37</v>
      </c>
      <c r="I205" s="2" t="s">
        <v>188</v>
      </c>
      <c r="J205" s="2">
        <v>1</v>
      </c>
      <c r="K205" s="2">
        <v>11.99</v>
      </c>
      <c r="L205" s="2" t="s">
        <v>208</v>
      </c>
      <c r="M205" s="2">
        <v>1.8</v>
      </c>
      <c r="N205" s="2">
        <v>5.99</v>
      </c>
      <c r="O205" s="2">
        <v>16.18</v>
      </c>
      <c r="P205" s="2" t="s">
        <v>74</v>
      </c>
      <c r="Q205" s="2" t="s">
        <v>41</v>
      </c>
      <c r="R205" s="2" t="s">
        <v>42</v>
      </c>
      <c r="S205" s="2" t="s">
        <v>43</v>
      </c>
      <c r="T205" s="2"/>
      <c r="U205" s="2" t="str">
        <f t="shared" si="11"/>
        <v>Not Required</v>
      </c>
      <c r="V205" s="2" t="s">
        <v>616</v>
      </c>
    </row>
    <row r="206" spans="1:22" hidden="1" x14ac:dyDescent="0.3">
      <c r="A206" s="2" t="s">
        <v>617</v>
      </c>
      <c r="B206" s="12">
        <f t="shared" si="9"/>
        <v>46238.586027013887</v>
      </c>
      <c r="C206" s="13">
        <v>46238.586027013887</v>
      </c>
      <c r="D206" s="2" t="s">
        <v>165</v>
      </c>
      <c r="E206" s="2" t="str">
        <f t="shared" si="10"/>
        <v>Email Available</v>
      </c>
      <c r="F206" s="2" t="s">
        <v>166</v>
      </c>
      <c r="G206" s="2" t="s">
        <v>157</v>
      </c>
      <c r="H206" s="2" t="s">
        <v>37</v>
      </c>
      <c r="I206" s="2" t="s">
        <v>158</v>
      </c>
      <c r="J206" s="2">
        <v>1</v>
      </c>
      <c r="K206" s="2" t="s">
        <v>618</v>
      </c>
      <c r="L206" s="2"/>
      <c r="M206" s="2">
        <v>0</v>
      </c>
      <c r="N206" s="2">
        <v>4.99</v>
      </c>
      <c r="O206" s="2">
        <v>34.979999999999997</v>
      </c>
      <c r="P206" s="2" t="s">
        <v>40</v>
      </c>
      <c r="Q206" s="2" t="s">
        <v>114</v>
      </c>
      <c r="R206" s="2" t="s">
        <v>99</v>
      </c>
      <c r="S206" s="2" t="s">
        <v>30</v>
      </c>
      <c r="T206" s="2" t="s">
        <v>115</v>
      </c>
      <c r="U206" s="2" t="str">
        <f t="shared" si="11"/>
        <v>Valid</v>
      </c>
      <c r="V206" s="2" t="s">
        <v>619</v>
      </c>
    </row>
    <row r="207" spans="1:22" hidden="1" x14ac:dyDescent="0.3">
      <c r="A207" s="2" t="s">
        <v>620</v>
      </c>
      <c r="B207" s="12">
        <f t="shared" si="9"/>
        <v>46238.579707476849</v>
      </c>
      <c r="C207" s="13">
        <v>46238.579707476849</v>
      </c>
      <c r="D207" s="2" t="s">
        <v>621</v>
      </c>
      <c r="E207" s="2" t="str">
        <f t="shared" si="10"/>
        <v>Email Available</v>
      </c>
      <c r="F207" s="2" t="s">
        <v>622</v>
      </c>
      <c r="G207" s="2" t="s">
        <v>151</v>
      </c>
      <c r="H207" s="2" t="s">
        <v>49</v>
      </c>
      <c r="I207" s="2" t="s">
        <v>152</v>
      </c>
      <c r="J207" s="2">
        <v>1</v>
      </c>
      <c r="K207" s="2">
        <v>34.99</v>
      </c>
      <c r="L207" s="2" t="s">
        <v>121</v>
      </c>
      <c r="M207" s="2">
        <v>8.75</v>
      </c>
      <c r="N207" s="2">
        <v>4.99</v>
      </c>
      <c r="O207" s="2">
        <v>31.23</v>
      </c>
      <c r="P207" s="2" t="s">
        <v>27</v>
      </c>
      <c r="Q207" s="2" t="s">
        <v>114</v>
      </c>
      <c r="R207" s="2" t="s">
        <v>52</v>
      </c>
      <c r="S207" s="2" t="s">
        <v>30</v>
      </c>
      <c r="T207" s="2" t="s">
        <v>145</v>
      </c>
      <c r="U207" s="2" t="str">
        <f t="shared" si="11"/>
        <v>Valid</v>
      </c>
      <c r="V207" s="2" t="s">
        <v>623</v>
      </c>
    </row>
    <row r="208" spans="1:22" hidden="1" x14ac:dyDescent="0.3">
      <c r="A208" s="2" t="s">
        <v>624</v>
      </c>
      <c r="B208" s="12">
        <f t="shared" si="9"/>
        <v>46238.588248425927</v>
      </c>
      <c r="C208" s="13">
        <v>46238.588248425927</v>
      </c>
      <c r="D208" s="2" t="s">
        <v>625</v>
      </c>
      <c r="E208" s="2" t="str">
        <f t="shared" si="10"/>
        <v>Email Available</v>
      </c>
      <c r="F208" s="2" t="s">
        <v>626</v>
      </c>
      <c r="G208" s="2" t="s">
        <v>151</v>
      </c>
      <c r="H208" s="2" t="s">
        <v>49</v>
      </c>
      <c r="I208" s="2" t="s">
        <v>152</v>
      </c>
      <c r="J208" s="2">
        <v>1</v>
      </c>
      <c r="K208" s="2">
        <v>34.99</v>
      </c>
      <c r="L208" s="2" t="s">
        <v>67</v>
      </c>
      <c r="M208" s="2">
        <v>3.5</v>
      </c>
      <c r="N208" s="2">
        <v>7.99</v>
      </c>
      <c r="O208" s="2">
        <v>39.479999999999997</v>
      </c>
      <c r="P208" s="2" t="s">
        <v>27</v>
      </c>
      <c r="Q208" s="2" t="s">
        <v>28</v>
      </c>
      <c r="R208" s="2" t="s">
        <v>52</v>
      </c>
      <c r="S208" s="2" t="s">
        <v>108</v>
      </c>
      <c r="T208" s="2"/>
      <c r="U208" s="2" t="str">
        <f t="shared" si="11"/>
        <v>Not Required</v>
      </c>
      <c r="V208" s="2" t="s">
        <v>627</v>
      </c>
    </row>
    <row r="209" spans="1:22" hidden="1" x14ac:dyDescent="0.3">
      <c r="A209" s="2" t="s">
        <v>628</v>
      </c>
      <c r="B209" s="12">
        <f t="shared" si="9"/>
        <v>46238.582763217593</v>
      </c>
      <c r="C209" s="13">
        <v>46238.582763217593</v>
      </c>
      <c r="D209" s="2" t="s">
        <v>629</v>
      </c>
      <c r="E209" s="2" t="str">
        <f t="shared" si="10"/>
        <v>Email Available</v>
      </c>
      <c r="F209" s="2" t="s">
        <v>630</v>
      </c>
      <c r="G209" s="2" t="s">
        <v>87</v>
      </c>
      <c r="H209" s="2" t="s">
        <v>88</v>
      </c>
      <c r="I209" s="2" t="s">
        <v>89</v>
      </c>
      <c r="J209" s="2">
        <v>1</v>
      </c>
      <c r="K209" s="2">
        <v>54.99</v>
      </c>
      <c r="L209" s="2" t="s">
        <v>233</v>
      </c>
      <c r="M209" s="2">
        <v>8.25</v>
      </c>
      <c r="N209" s="2">
        <v>4.99</v>
      </c>
      <c r="O209" s="2">
        <v>51.73</v>
      </c>
      <c r="P209" s="2" t="s">
        <v>74</v>
      </c>
      <c r="Q209" s="2" t="s">
        <v>90</v>
      </c>
      <c r="R209" s="2" t="s">
        <v>52</v>
      </c>
      <c r="S209" s="2" t="s">
        <v>30</v>
      </c>
      <c r="T209" s="2" t="s">
        <v>115</v>
      </c>
      <c r="U209" s="2" t="str">
        <f t="shared" si="11"/>
        <v>Valid</v>
      </c>
      <c r="V209" s="2" t="s">
        <v>631</v>
      </c>
    </row>
    <row r="210" spans="1:22" hidden="1" x14ac:dyDescent="0.3">
      <c r="A210" s="2" t="s">
        <v>632</v>
      </c>
      <c r="B210" s="12">
        <f t="shared" si="9"/>
        <v>46238.579130879632</v>
      </c>
      <c r="C210" s="13">
        <v>46238.579130879632</v>
      </c>
      <c r="D210" s="2" t="s">
        <v>633</v>
      </c>
      <c r="E210" s="2" t="str">
        <f t="shared" si="10"/>
        <v>Email Available</v>
      </c>
      <c r="F210" s="2" t="s">
        <v>634</v>
      </c>
      <c r="G210" s="2" t="s">
        <v>266</v>
      </c>
      <c r="H210" s="2" t="s">
        <v>37</v>
      </c>
      <c r="I210" s="2" t="s">
        <v>267</v>
      </c>
      <c r="J210" s="2">
        <v>1</v>
      </c>
      <c r="K210" s="2">
        <v>15.49</v>
      </c>
      <c r="L210" s="2"/>
      <c r="M210" s="2">
        <v>0</v>
      </c>
      <c r="N210" s="2">
        <v>4.99</v>
      </c>
      <c r="O210" s="2">
        <v>20.48</v>
      </c>
      <c r="P210" s="2" t="s">
        <v>40</v>
      </c>
      <c r="Q210" s="2" t="s">
        <v>41</v>
      </c>
      <c r="R210" s="2" t="s">
        <v>52</v>
      </c>
      <c r="S210" s="2" t="s">
        <v>30</v>
      </c>
      <c r="T210" s="2" t="s">
        <v>69</v>
      </c>
      <c r="U210" s="2" t="str">
        <f t="shared" si="11"/>
        <v>Valid</v>
      </c>
      <c r="V210" s="2" t="s">
        <v>635</v>
      </c>
    </row>
    <row r="211" spans="1:22" hidden="1" x14ac:dyDescent="0.3">
      <c r="A211" s="2" t="s">
        <v>636</v>
      </c>
      <c r="B211" s="12">
        <f t="shared" si="9"/>
        <v>46120</v>
      </c>
      <c r="C211" s="13" t="s">
        <v>142</v>
      </c>
      <c r="D211" s="2" t="s">
        <v>637</v>
      </c>
      <c r="E211" s="2" t="str">
        <f t="shared" si="10"/>
        <v>Email Available</v>
      </c>
      <c r="F211" s="2" t="s">
        <v>638</v>
      </c>
      <c r="G211" s="2" t="s">
        <v>272</v>
      </c>
      <c r="H211" s="2" t="s">
        <v>23</v>
      </c>
      <c r="I211" s="2" t="s">
        <v>273</v>
      </c>
      <c r="J211" s="2">
        <v>1</v>
      </c>
      <c r="K211" s="2" t="s">
        <v>639</v>
      </c>
      <c r="L211" s="2" t="s">
        <v>67</v>
      </c>
      <c r="M211" s="2">
        <v>1.9</v>
      </c>
      <c r="N211" s="2">
        <v>5.99</v>
      </c>
      <c r="O211" s="2" t="s">
        <v>640</v>
      </c>
      <c r="P211" s="2" t="s">
        <v>51</v>
      </c>
      <c r="Q211" s="2" t="s">
        <v>28</v>
      </c>
      <c r="R211" s="2" t="s">
        <v>29</v>
      </c>
      <c r="S211" s="2" t="s">
        <v>30</v>
      </c>
      <c r="T211" s="2" t="s">
        <v>115</v>
      </c>
      <c r="U211" s="2" t="str">
        <f t="shared" si="11"/>
        <v>Valid</v>
      </c>
      <c r="V211" s="2" t="s">
        <v>641</v>
      </c>
    </row>
    <row r="212" spans="1:22" hidden="1" x14ac:dyDescent="0.3">
      <c r="A212" s="2" t="s">
        <v>642</v>
      </c>
      <c r="B212" s="12">
        <f t="shared" si="9"/>
        <v>46238.585360173609</v>
      </c>
      <c r="C212" s="13">
        <v>46238.585360173609</v>
      </c>
      <c r="D212" s="2" t="s">
        <v>643</v>
      </c>
      <c r="E212" s="2" t="str">
        <f t="shared" si="10"/>
        <v>Email Available</v>
      </c>
      <c r="F212" s="2" t="s">
        <v>644</v>
      </c>
      <c r="G212" s="2" t="s">
        <v>266</v>
      </c>
      <c r="H212" s="2" t="s">
        <v>37</v>
      </c>
      <c r="I212" s="2" t="s">
        <v>267</v>
      </c>
      <c r="J212" s="2">
        <v>3</v>
      </c>
      <c r="K212" s="2">
        <v>15.49</v>
      </c>
      <c r="L212" s="2"/>
      <c r="M212" s="2" t="s">
        <v>189</v>
      </c>
      <c r="N212" s="2">
        <v>5.99</v>
      </c>
      <c r="O212" s="2">
        <v>52.46</v>
      </c>
      <c r="P212" s="2" t="s">
        <v>74</v>
      </c>
      <c r="Q212" s="2" t="s">
        <v>28</v>
      </c>
      <c r="R212" s="2" t="s">
        <v>52</v>
      </c>
      <c r="S212" s="2" t="s">
        <v>30</v>
      </c>
      <c r="T212" s="2" t="s">
        <v>115</v>
      </c>
      <c r="U212" s="2" t="str">
        <f t="shared" si="11"/>
        <v>Valid</v>
      </c>
      <c r="V212" s="2" t="s">
        <v>645</v>
      </c>
    </row>
    <row r="213" spans="1:22" hidden="1" x14ac:dyDescent="0.3">
      <c r="A213" s="2" t="s">
        <v>646</v>
      </c>
      <c r="B213" s="12">
        <f t="shared" si="9"/>
        <v>46238.58513201389</v>
      </c>
      <c r="C213" s="13">
        <v>46238.58513201389</v>
      </c>
      <c r="D213" s="2" t="s">
        <v>647</v>
      </c>
      <c r="E213" s="2" t="str">
        <f t="shared" si="10"/>
        <v>Email Available</v>
      </c>
      <c r="F213" s="2" t="s">
        <v>648</v>
      </c>
      <c r="G213" s="2" t="s">
        <v>266</v>
      </c>
      <c r="H213" s="2" t="s">
        <v>37</v>
      </c>
      <c r="I213" s="2" t="s">
        <v>267</v>
      </c>
      <c r="J213" s="2">
        <v>1</v>
      </c>
      <c r="K213" s="2">
        <v>15.49</v>
      </c>
      <c r="L213" s="2" t="s">
        <v>25</v>
      </c>
      <c r="M213" s="2">
        <v>3.1</v>
      </c>
      <c r="N213" s="2">
        <v>5.99</v>
      </c>
      <c r="O213" s="2">
        <v>18.38</v>
      </c>
      <c r="P213" s="2" t="s">
        <v>40</v>
      </c>
      <c r="Q213" s="2" t="s">
        <v>28</v>
      </c>
      <c r="R213" s="2" t="s">
        <v>52</v>
      </c>
      <c r="S213" s="2" t="s">
        <v>30</v>
      </c>
      <c r="T213" s="2" t="s">
        <v>31</v>
      </c>
      <c r="U213" s="2" t="str">
        <f t="shared" si="11"/>
        <v>Valid</v>
      </c>
      <c r="V213" s="2" t="s">
        <v>649</v>
      </c>
    </row>
    <row r="214" spans="1:22" hidden="1" x14ac:dyDescent="0.3">
      <c r="A214" s="2" t="s">
        <v>650</v>
      </c>
      <c r="B214" s="12">
        <f t="shared" si="9"/>
        <v>46238.586027245372</v>
      </c>
      <c r="C214" s="13">
        <v>46238.586027245372</v>
      </c>
      <c r="D214" s="2" t="s">
        <v>651</v>
      </c>
      <c r="E214" s="2" t="str">
        <f t="shared" si="10"/>
        <v>Email Available</v>
      </c>
      <c r="F214" s="2" t="s">
        <v>652</v>
      </c>
      <c r="G214" s="2" t="s">
        <v>157</v>
      </c>
      <c r="H214" s="2" t="s">
        <v>37</v>
      </c>
      <c r="I214" s="2" t="s">
        <v>158</v>
      </c>
      <c r="J214" s="2">
        <v>1</v>
      </c>
      <c r="K214" s="2">
        <v>29.99</v>
      </c>
      <c r="L214" s="2"/>
      <c r="M214" s="2">
        <v>0</v>
      </c>
      <c r="N214" s="2">
        <v>5.99</v>
      </c>
      <c r="O214" s="2">
        <v>35.979999999999997</v>
      </c>
      <c r="P214" s="2" t="s">
        <v>74</v>
      </c>
      <c r="Q214" s="2" t="s">
        <v>114</v>
      </c>
      <c r="R214" s="2" t="s">
        <v>52</v>
      </c>
      <c r="S214" s="2" t="s">
        <v>30</v>
      </c>
      <c r="T214" s="2" t="s">
        <v>60</v>
      </c>
      <c r="U214" s="2" t="str">
        <f t="shared" si="11"/>
        <v>Valid</v>
      </c>
      <c r="V214" s="2" t="s">
        <v>653</v>
      </c>
    </row>
    <row r="215" spans="1:22" hidden="1" x14ac:dyDescent="0.3">
      <c r="A215" s="2" t="s">
        <v>654</v>
      </c>
      <c r="B215" s="12">
        <f t="shared" si="9"/>
        <v>46238.582609988429</v>
      </c>
      <c r="C215" s="13">
        <v>46238.582609988429</v>
      </c>
      <c r="D215" s="2" t="s">
        <v>655</v>
      </c>
      <c r="E215" s="2" t="str">
        <f t="shared" si="10"/>
        <v>Email Available</v>
      </c>
      <c r="F215" s="2" t="s">
        <v>656</v>
      </c>
      <c r="G215" s="2" t="s">
        <v>241</v>
      </c>
      <c r="H215" s="2" t="s">
        <v>242</v>
      </c>
      <c r="I215" s="2" t="s">
        <v>243</v>
      </c>
      <c r="J215" s="2">
        <v>1</v>
      </c>
      <c r="K215" s="2">
        <v>27.99</v>
      </c>
      <c r="L215" s="2"/>
      <c r="M215" s="2">
        <v>0</v>
      </c>
      <c r="N215" s="2">
        <v>7.99</v>
      </c>
      <c r="O215" s="2">
        <v>35.979999999999997</v>
      </c>
      <c r="P215" s="2" t="s">
        <v>40</v>
      </c>
      <c r="Q215" s="2" t="s">
        <v>28</v>
      </c>
      <c r="R215" s="2" t="s">
        <v>99</v>
      </c>
      <c r="S215" s="2" t="s">
        <v>228</v>
      </c>
      <c r="T215" s="2"/>
      <c r="U215" s="2" t="str">
        <f t="shared" si="11"/>
        <v>Not Required</v>
      </c>
      <c r="V215" s="2" t="s">
        <v>657</v>
      </c>
    </row>
    <row r="216" spans="1:22" hidden="1" x14ac:dyDescent="0.3">
      <c r="A216" s="2" t="s">
        <v>658</v>
      </c>
      <c r="B216" s="12">
        <f t="shared" si="9"/>
        <v>46238.582541990741</v>
      </c>
      <c r="C216" s="13">
        <v>46238.582541990741</v>
      </c>
      <c r="D216" s="2" t="s">
        <v>659</v>
      </c>
      <c r="E216" s="2" t="str">
        <f t="shared" si="10"/>
        <v>Email Available</v>
      </c>
      <c r="F216" s="2" t="s">
        <v>638</v>
      </c>
      <c r="G216" s="2" t="s">
        <v>171</v>
      </c>
      <c r="H216" s="2" t="s">
        <v>106</v>
      </c>
      <c r="I216" s="2" t="s">
        <v>172</v>
      </c>
      <c r="J216" s="2">
        <v>1</v>
      </c>
      <c r="K216" s="2">
        <v>32.99</v>
      </c>
      <c r="L216" s="2" t="s">
        <v>39</v>
      </c>
      <c r="M216" s="2">
        <v>0</v>
      </c>
      <c r="N216" s="2">
        <v>0</v>
      </c>
      <c r="O216" s="2">
        <v>32.99</v>
      </c>
      <c r="P216" s="2" t="s">
        <v>51</v>
      </c>
      <c r="Q216" s="2" t="s">
        <v>90</v>
      </c>
      <c r="R216" s="2" t="s">
        <v>42</v>
      </c>
      <c r="S216" s="2" t="s">
        <v>30</v>
      </c>
      <c r="T216" s="2" t="s">
        <v>347</v>
      </c>
      <c r="U216" s="2" t="str">
        <f t="shared" si="11"/>
        <v>Valid</v>
      </c>
      <c r="V216" s="2" t="s">
        <v>660</v>
      </c>
    </row>
    <row r="217" spans="1:22" hidden="1" x14ac:dyDescent="0.3">
      <c r="A217" s="2" t="s">
        <v>661</v>
      </c>
      <c r="B217" s="12">
        <f t="shared" si="9"/>
        <v>46120</v>
      </c>
      <c r="C217" s="13" t="s">
        <v>142</v>
      </c>
      <c r="D217" s="2" t="s">
        <v>662</v>
      </c>
      <c r="E217" s="2" t="str">
        <f t="shared" si="10"/>
        <v>Email Available</v>
      </c>
      <c r="F217" s="2" t="s">
        <v>663</v>
      </c>
      <c r="G217" s="2" t="s">
        <v>226</v>
      </c>
      <c r="H217" s="2" t="s">
        <v>23</v>
      </c>
      <c r="I217" s="2" t="s">
        <v>227</v>
      </c>
      <c r="J217" s="2">
        <v>1</v>
      </c>
      <c r="K217" s="2">
        <v>17.989999999999998</v>
      </c>
      <c r="L217" s="2"/>
      <c r="M217" s="2">
        <v>0</v>
      </c>
      <c r="N217" s="2">
        <v>4.99</v>
      </c>
      <c r="O217" s="2">
        <v>22.98</v>
      </c>
      <c r="P217" s="2" t="s">
        <v>27</v>
      </c>
      <c r="Q217" s="2" t="s">
        <v>41</v>
      </c>
      <c r="R217" s="2" t="s">
        <v>52</v>
      </c>
      <c r="S217" s="2" t="s">
        <v>30</v>
      </c>
      <c r="T217" s="2" t="s">
        <v>31</v>
      </c>
      <c r="U217" s="2" t="str">
        <f t="shared" si="11"/>
        <v>Valid</v>
      </c>
      <c r="V217" s="2" t="s">
        <v>664</v>
      </c>
    </row>
    <row r="218" spans="1:22" hidden="1" x14ac:dyDescent="0.3">
      <c r="A218" s="2" t="s">
        <v>665</v>
      </c>
      <c r="B218" s="12">
        <f t="shared" si="9"/>
        <v>46120</v>
      </c>
      <c r="C218" s="13" t="s">
        <v>142</v>
      </c>
      <c r="D218" s="2" t="s">
        <v>666</v>
      </c>
      <c r="E218" s="2" t="str">
        <f t="shared" si="10"/>
        <v>Email Available</v>
      </c>
      <c r="F218" s="2" t="s">
        <v>667</v>
      </c>
      <c r="G218" s="2" t="s">
        <v>127</v>
      </c>
      <c r="H218" s="2" t="s">
        <v>81</v>
      </c>
      <c r="I218" s="2" t="s">
        <v>128</v>
      </c>
      <c r="J218" s="2">
        <v>1</v>
      </c>
      <c r="K218" s="2">
        <v>13.99</v>
      </c>
      <c r="L218" s="2" t="s">
        <v>121</v>
      </c>
      <c r="M218" s="2">
        <v>3.5</v>
      </c>
      <c r="N218" s="2">
        <v>5.99</v>
      </c>
      <c r="O218" s="2">
        <v>16.48</v>
      </c>
      <c r="P218" s="2" t="s">
        <v>74</v>
      </c>
      <c r="Q218" s="2" t="s">
        <v>28</v>
      </c>
      <c r="R218" s="2" t="s">
        <v>52</v>
      </c>
      <c r="S218" s="2" t="s">
        <v>75</v>
      </c>
      <c r="T218" s="2"/>
      <c r="U218" s="2" t="str">
        <f t="shared" si="11"/>
        <v>Not Required</v>
      </c>
      <c r="V218" s="2" t="s">
        <v>668</v>
      </c>
    </row>
    <row r="219" spans="1:22" hidden="1" x14ac:dyDescent="0.3">
      <c r="A219" s="2" t="s">
        <v>669</v>
      </c>
      <c r="B219" s="12">
        <f t="shared" si="9"/>
        <v>46238.584555717593</v>
      </c>
      <c r="C219" s="13">
        <v>46238.584555717593</v>
      </c>
      <c r="D219" s="2" t="s">
        <v>670</v>
      </c>
      <c r="E219" s="2" t="str">
        <f t="shared" si="10"/>
        <v>Email Available</v>
      </c>
      <c r="F219" s="2" t="s">
        <v>671</v>
      </c>
      <c r="G219" s="2" t="s">
        <v>65</v>
      </c>
      <c r="H219" s="2" t="s">
        <v>49</v>
      </c>
      <c r="I219" s="2" t="s">
        <v>66</v>
      </c>
      <c r="J219" s="2">
        <v>1</v>
      </c>
      <c r="K219" s="2">
        <v>14.99</v>
      </c>
      <c r="L219" s="2"/>
      <c r="M219" s="2">
        <v>0</v>
      </c>
      <c r="N219" s="2">
        <v>4.99</v>
      </c>
      <c r="O219" s="2">
        <v>19.98</v>
      </c>
      <c r="P219" s="2" t="s">
        <v>68</v>
      </c>
      <c r="Q219" s="2" t="s">
        <v>114</v>
      </c>
      <c r="R219" s="2" t="s">
        <v>42</v>
      </c>
      <c r="S219" s="2" t="s">
        <v>337</v>
      </c>
      <c r="T219" s="2"/>
      <c r="U219" s="2" t="str">
        <f t="shared" si="11"/>
        <v>Not Required</v>
      </c>
      <c r="V219" s="2" t="s">
        <v>672</v>
      </c>
    </row>
    <row r="220" spans="1:22" hidden="1" x14ac:dyDescent="0.3">
      <c r="A220" s="2" t="s">
        <v>673</v>
      </c>
      <c r="B220" s="12">
        <f t="shared" si="9"/>
        <v>46238.588818090277</v>
      </c>
      <c r="C220" s="13">
        <v>46238.588818090277</v>
      </c>
      <c r="D220" s="2" t="s">
        <v>674</v>
      </c>
      <c r="E220" s="2" t="str">
        <f t="shared" si="10"/>
        <v>Email Available</v>
      </c>
      <c r="F220" s="2" t="s">
        <v>675</v>
      </c>
      <c r="G220" s="2" t="s">
        <v>272</v>
      </c>
      <c r="H220" s="2" t="s">
        <v>23</v>
      </c>
      <c r="I220" s="2" t="s">
        <v>273</v>
      </c>
      <c r="J220" s="2">
        <v>1</v>
      </c>
      <c r="K220" s="2">
        <v>18.989999999999998</v>
      </c>
      <c r="L220" s="2"/>
      <c r="M220" s="2">
        <v>0</v>
      </c>
      <c r="N220" s="2">
        <v>7.99</v>
      </c>
      <c r="O220" s="2">
        <v>26.98</v>
      </c>
      <c r="P220" s="2" t="s">
        <v>68</v>
      </c>
      <c r="Q220" s="2" t="s">
        <v>90</v>
      </c>
      <c r="R220" s="2" t="s">
        <v>42</v>
      </c>
      <c r="S220" s="2" t="s">
        <v>228</v>
      </c>
      <c r="T220" s="2"/>
      <c r="U220" s="2" t="str">
        <f t="shared" si="11"/>
        <v>Not Required</v>
      </c>
      <c r="V220" s="2" t="s">
        <v>676</v>
      </c>
    </row>
    <row r="221" spans="1:22" hidden="1" x14ac:dyDescent="0.3">
      <c r="A221" s="2" t="s">
        <v>677</v>
      </c>
      <c r="B221" s="12">
        <f t="shared" si="9"/>
        <v>46238.583369178239</v>
      </c>
      <c r="C221" s="13">
        <v>46238.583369178239</v>
      </c>
      <c r="D221" s="2"/>
      <c r="E221" s="2" t="str">
        <f t="shared" si="10"/>
        <v>Email Available</v>
      </c>
      <c r="F221" s="2" t="s">
        <v>678</v>
      </c>
      <c r="G221" s="2" t="s">
        <v>127</v>
      </c>
      <c r="H221" s="2" t="s">
        <v>81</v>
      </c>
      <c r="I221" s="2" t="s">
        <v>128</v>
      </c>
      <c r="J221" s="2">
        <v>2</v>
      </c>
      <c r="K221" s="2">
        <v>13.99</v>
      </c>
      <c r="L221" s="2" t="s">
        <v>39</v>
      </c>
      <c r="M221" s="2">
        <v>0</v>
      </c>
      <c r="N221" s="2">
        <v>0</v>
      </c>
      <c r="O221" s="2">
        <v>27.98</v>
      </c>
      <c r="P221" s="2" t="s">
        <v>51</v>
      </c>
      <c r="Q221" s="2" t="s">
        <v>114</v>
      </c>
      <c r="R221" s="2" t="s">
        <v>52</v>
      </c>
      <c r="S221" s="2" t="s">
        <v>30</v>
      </c>
      <c r="T221" s="2" t="s">
        <v>351</v>
      </c>
      <c r="U221" s="2" t="str">
        <f t="shared" si="11"/>
        <v>Valid</v>
      </c>
      <c r="V221" s="2" t="s">
        <v>679</v>
      </c>
    </row>
    <row r="222" spans="1:22" hidden="1" x14ac:dyDescent="0.3">
      <c r="A222" s="2" t="s">
        <v>680</v>
      </c>
      <c r="B222" s="12">
        <f t="shared" si="9"/>
        <v>46238.587865949077</v>
      </c>
      <c r="C222" s="13">
        <v>46238.587865949077</v>
      </c>
      <c r="D222" s="2" t="s">
        <v>681</v>
      </c>
      <c r="E222" s="2" t="str">
        <f t="shared" si="10"/>
        <v>Email Available</v>
      </c>
      <c r="F222" s="2" t="s">
        <v>682</v>
      </c>
      <c r="G222" s="2" t="s">
        <v>105</v>
      </c>
      <c r="H222" s="2" t="s">
        <v>106</v>
      </c>
      <c r="I222" s="2" t="s">
        <v>107</v>
      </c>
      <c r="J222" s="2">
        <v>3</v>
      </c>
      <c r="K222" s="2">
        <v>19.989999999999998</v>
      </c>
      <c r="L222" s="2" t="s">
        <v>25</v>
      </c>
      <c r="M222" s="2">
        <v>11.99</v>
      </c>
      <c r="N222" s="2">
        <v>5.99</v>
      </c>
      <c r="O222" s="2">
        <v>53.97</v>
      </c>
      <c r="P222" s="2" t="s">
        <v>40</v>
      </c>
      <c r="Q222" s="2" t="s">
        <v>28</v>
      </c>
      <c r="R222" s="2" t="s">
        <v>52</v>
      </c>
      <c r="S222" s="2" t="s">
        <v>75</v>
      </c>
      <c r="T222" s="2"/>
      <c r="U222" s="2" t="str">
        <f t="shared" si="11"/>
        <v>Not Required</v>
      </c>
      <c r="V222" s="2" t="s">
        <v>683</v>
      </c>
    </row>
    <row r="223" spans="1:22" hidden="1" x14ac:dyDescent="0.3">
      <c r="A223" s="2" t="s">
        <v>684</v>
      </c>
      <c r="B223" s="12">
        <f t="shared" si="9"/>
        <v>46238.588466770831</v>
      </c>
      <c r="C223" s="13">
        <v>46238.588466770831</v>
      </c>
      <c r="D223" s="2" t="s">
        <v>685</v>
      </c>
      <c r="E223" s="2" t="str">
        <f t="shared" si="10"/>
        <v>Email Available</v>
      </c>
      <c r="F223" s="2" t="s">
        <v>485</v>
      </c>
      <c r="G223" s="2" t="s">
        <v>272</v>
      </c>
      <c r="H223" s="2" t="s">
        <v>23</v>
      </c>
      <c r="I223" s="2" t="s">
        <v>273</v>
      </c>
      <c r="J223" s="2">
        <v>1</v>
      </c>
      <c r="K223" s="2">
        <v>18.989999999999998</v>
      </c>
      <c r="L223" s="2"/>
      <c r="M223" s="2">
        <v>0</v>
      </c>
      <c r="N223" s="2">
        <v>4.99</v>
      </c>
      <c r="O223" s="2">
        <v>23.98</v>
      </c>
      <c r="P223" s="2" t="s">
        <v>40</v>
      </c>
      <c r="Q223" s="2" t="s">
        <v>28</v>
      </c>
      <c r="R223" s="2" t="s">
        <v>29</v>
      </c>
      <c r="S223" s="2" t="s">
        <v>30</v>
      </c>
      <c r="T223" s="2" t="s">
        <v>351</v>
      </c>
      <c r="U223" s="2" t="str">
        <f t="shared" si="11"/>
        <v>Valid</v>
      </c>
      <c r="V223" s="2" t="s">
        <v>686</v>
      </c>
    </row>
    <row r="224" spans="1:22" hidden="1" x14ac:dyDescent="0.3">
      <c r="A224" s="2" t="s">
        <v>687</v>
      </c>
      <c r="B224" s="12">
        <f t="shared" si="9"/>
        <v>46238</v>
      </c>
      <c r="C224" s="13" t="s">
        <v>148</v>
      </c>
      <c r="D224" s="2" t="s">
        <v>288</v>
      </c>
      <c r="E224" s="2" t="str">
        <f t="shared" si="10"/>
        <v>Email Available</v>
      </c>
      <c r="F224" s="2" t="s">
        <v>289</v>
      </c>
      <c r="G224" s="2" t="s">
        <v>127</v>
      </c>
      <c r="H224" s="2" t="s">
        <v>81</v>
      </c>
      <c r="I224" s="2" t="s">
        <v>128</v>
      </c>
      <c r="J224" s="2">
        <v>1</v>
      </c>
      <c r="K224" s="2">
        <v>13.99</v>
      </c>
      <c r="L224" s="2" t="s">
        <v>25</v>
      </c>
      <c r="M224" s="2">
        <v>2.8</v>
      </c>
      <c r="N224" s="2">
        <v>7.99</v>
      </c>
      <c r="O224" s="2">
        <v>19.18</v>
      </c>
      <c r="P224" s="2" t="s">
        <v>68</v>
      </c>
      <c r="Q224" s="2" t="s">
        <v>90</v>
      </c>
      <c r="R224" s="2" t="s">
        <v>52</v>
      </c>
      <c r="S224" s="2" t="s">
        <v>30</v>
      </c>
      <c r="T224" s="2" t="s">
        <v>454</v>
      </c>
      <c r="U224" s="2" t="str">
        <f t="shared" si="11"/>
        <v>Valid</v>
      </c>
      <c r="V224" s="2" t="s">
        <v>688</v>
      </c>
    </row>
    <row r="225" spans="1:22" hidden="1" x14ac:dyDescent="0.3">
      <c r="A225" s="2" t="s">
        <v>689</v>
      </c>
      <c r="B225" s="12">
        <f t="shared" si="9"/>
        <v>46238.580562118063</v>
      </c>
      <c r="C225" s="13">
        <v>46238.580562118063</v>
      </c>
      <c r="D225" s="2" t="s">
        <v>373</v>
      </c>
      <c r="E225" s="2" t="str">
        <f t="shared" si="10"/>
        <v>Email Available</v>
      </c>
      <c r="F225" s="2" t="s">
        <v>374</v>
      </c>
      <c r="G225" s="2" t="s">
        <v>80</v>
      </c>
      <c r="H225" s="2" t="s">
        <v>81</v>
      </c>
      <c r="I225" s="2" t="s">
        <v>82</v>
      </c>
      <c r="J225" s="2">
        <v>1</v>
      </c>
      <c r="K225" s="2">
        <v>89.99</v>
      </c>
      <c r="L225" s="2" t="s">
        <v>67</v>
      </c>
      <c r="M225" s="2">
        <v>9</v>
      </c>
      <c r="N225" s="2">
        <v>0</v>
      </c>
      <c r="O225" s="2">
        <v>80.989999999999995</v>
      </c>
      <c r="P225" s="2" t="s">
        <v>51</v>
      </c>
      <c r="Q225" s="2" t="s">
        <v>114</v>
      </c>
      <c r="R225" s="2" t="s">
        <v>52</v>
      </c>
      <c r="S225" s="2" t="s">
        <v>337</v>
      </c>
      <c r="T225" s="2"/>
      <c r="U225" s="2" t="str">
        <f t="shared" si="11"/>
        <v>Not Required</v>
      </c>
      <c r="V225" s="2" t="s">
        <v>690</v>
      </c>
    </row>
    <row r="226" spans="1:22" hidden="1" x14ac:dyDescent="0.3">
      <c r="A226" s="2" t="s">
        <v>691</v>
      </c>
      <c r="B226" s="12">
        <f t="shared" si="9"/>
        <v>46238.583484050927</v>
      </c>
      <c r="C226" s="13">
        <v>46238.583484050927</v>
      </c>
      <c r="D226" s="2" t="s">
        <v>681</v>
      </c>
      <c r="E226" s="2" t="str">
        <f t="shared" si="10"/>
        <v>Email Available</v>
      </c>
      <c r="F226" s="2" t="s">
        <v>682</v>
      </c>
      <c r="G226" s="2" t="s">
        <v>368</v>
      </c>
      <c r="H226" s="2" t="s">
        <v>88</v>
      </c>
      <c r="I226" s="2" t="s">
        <v>369</v>
      </c>
      <c r="J226" s="2">
        <v>1</v>
      </c>
      <c r="K226" s="2">
        <v>54.99</v>
      </c>
      <c r="L226" s="2"/>
      <c r="M226" s="2">
        <v>0</v>
      </c>
      <c r="N226" s="2">
        <v>7.99</v>
      </c>
      <c r="O226" s="2">
        <v>62.98</v>
      </c>
      <c r="P226" s="2" t="s">
        <v>74</v>
      </c>
      <c r="Q226" s="2" t="s">
        <v>114</v>
      </c>
      <c r="R226" s="2" t="s">
        <v>52</v>
      </c>
      <c r="S226" s="2" t="s">
        <v>75</v>
      </c>
      <c r="T226" s="2"/>
      <c r="U226" s="2" t="str">
        <f t="shared" si="11"/>
        <v>Not Required</v>
      </c>
      <c r="V226" s="2" t="s">
        <v>692</v>
      </c>
    </row>
    <row r="227" spans="1:22" hidden="1" x14ac:dyDescent="0.3">
      <c r="A227" s="2" t="s">
        <v>693</v>
      </c>
      <c r="B227" s="12">
        <f t="shared" si="9"/>
        <v>46238.584703425928</v>
      </c>
      <c r="C227" s="13">
        <v>46238.584703425928</v>
      </c>
      <c r="D227" s="2" t="s">
        <v>694</v>
      </c>
      <c r="E227" s="2" t="str">
        <f t="shared" si="10"/>
        <v>Email Available</v>
      </c>
      <c r="F227" s="2" t="s">
        <v>695</v>
      </c>
      <c r="G227" s="2" t="s">
        <v>87</v>
      </c>
      <c r="H227" s="2" t="s">
        <v>88</v>
      </c>
      <c r="I227" s="2" t="s">
        <v>89</v>
      </c>
      <c r="J227" s="2">
        <v>1</v>
      </c>
      <c r="K227" s="2">
        <v>54.99</v>
      </c>
      <c r="L227" s="2" t="s">
        <v>67</v>
      </c>
      <c r="M227" s="2">
        <v>5.5</v>
      </c>
      <c r="N227" s="2">
        <v>5.99</v>
      </c>
      <c r="O227" s="2">
        <v>55.48</v>
      </c>
      <c r="P227" s="2" t="s">
        <v>40</v>
      </c>
      <c r="Q227" s="2" t="s">
        <v>41</v>
      </c>
      <c r="R227" s="2" t="s">
        <v>52</v>
      </c>
      <c r="S227" s="2" t="s">
        <v>30</v>
      </c>
      <c r="T227" s="2" t="s">
        <v>294</v>
      </c>
      <c r="U227" s="2" t="str">
        <f t="shared" si="11"/>
        <v>Valid</v>
      </c>
      <c r="V227" s="2" t="s">
        <v>696</v>
      </c>
    </row>
    <row r="228" spans="1:22" hidden="1" x14ac:dyDescent="0.3">
      <c r="A228" s="2" t="s">
        <v>697</v>
      </c>
      <c r="B228" s="12">
        <f t="shared" si="9"/>
        <v>46238.579050925917</v>
      </c>
      <c r="C228" s="13">
        <v>46238.579050925917</v>
      </c>
      <c r="D228" s="2" t="s">
        <v>698</v>
      </c>
      <c r="E228" s="2" t="str">
        <f t="shared" si="10"/>
        <v>Email Available</v>
      </c>
      <c r="F228" s="2" t="s">
        <v>699</v>
      </c>
      <c r="G228" s="2" t="s">
        <v>65</v>
      </c>
      <c r="H228" s="2" t="s">
        <v>49</v>
      </c>
      <c r="I228" s="2" t="s">
        <v>66</v>
      </c>
      <c r="J228" s="2">
        <v>1</v>
      </c>
      <c r="K228" s="2">
        <v>14.99</v>
      </c>
      <c r="L228" s="2" t="s">
        <v>121</v>
      </c>
      <c r="M228" s="2">
        <v>3.75</v>
      </c>
      <c r="N228" s="2">
        <v>5.99</v>
      </c>
      <c r="O228" s="2">
        <v>17.23</v>
      </c>
      <c r="P228" s="2" t="s">
        <v>68</v>
      </c>
      <c r="Q228" s="2" t="s">
        <v>114</v>
      </c>
      <c r="R228" s="2" t="s">
        <v>52</v>
      </c>
      <c r="S228" s="2" t="s">
        <v>30</v>
      </c>
      <c r="T228" s="2" t="s">
        <v>69</v>
      </c>
      <c r="U228" s="2" t="str">
        <f t="shared" si="11"/>
        <v>Valid</v>
      </c>
      <c r="V228" s="2" t="s">
        <v>700</v>
      </c>
    </row>
    <row r="229" spans="1:22" hidden="1" x14ac:dyDescent="0.3">
      <c r="A229" s="2" t="s">
        <v>701</v>
      </c>
      <c r="B229" s="12">
        <f t="shared" si="9"/>
        <v>46238.584710277777</v>
      </c>
      <c r="C229" s="13">
        <v>46238.584710277777</v>
      </c>
      <c r="D229" s="2" t="s">
        <v>373</v>
      </c>
      <c r="E229" s="2" t="str">
        <f t="shared" si="10"/>
        <v>Email Available</v>
      </c>
      <c r="F229" s="2" t="s">
        <v>374</v>
      </c>
      <c r="G229" s="2" t="s">
        <v>87</v>
      </c>
      <c r="H229" s="2" t="s">
        <v>88</v>
      </c>
      <c r="I229" s="2" t="s">
        <v>89</v>
      </c>
      <c r="J229" s="2">
        <v>1</v>
      </c>
      <c r="K229" s="2">
        <v>54.99</v>
      </c>
      <c r="L229" s="2" t="s">
        <v>121</v>
      </c>
      <c r="M229" s="2">
        <v>13.75</v>
      </c>
      <c r="N229" s="2">
        <v>7.99</v>
      </c>
      <c r="O229" s="2">
        <v>49.23</v>
      </c>
      <c r="P229" s="2" t="s">
        <v>51</v>
      </c>
      <c r="Q229" s="2" t="s">
        <v>28</v>
      </c>
      <c r="R229" s="2" t="s">
        <v>42</v>
      </c>
      <c r="S229" s="2" t="s">
        <v>337</v>
      </c>
      <c r="T229" s="2"/>
      <c r="U229" s="2" t="str">
        <f t="shared" si="11"/>
        <v>Not Required</v>
      </c>
      <c r="V229" s="2" t="s">
        <v>702</v>
      </c>
    </row>
    <row r="230" spans="1:22" hidden="1" x14ac:dyDescent="0.3">
      <c r="A230" s="2" t="s">
        <v>703</v>
      </c>
      <c r="B230" s="12">
        <f t="shared" si="9"/>
        <v>46238.583014282412</v>
      </c>
      <c r="C230" s="13">
        <v>46238.583014282412</v>
      </c>
      <c r="D230" s="2" t="s">
        <v>193</v>
      </c>
      <c r="E230" s="2" t="str">
        <f t="shared" si="10"/>
        <v>Email Available</v>
      </c>
      <c r="F230" s="2" t="s">
        <v>194</v>
      </c>
      <c r="G230" s="2" t="s">
        <v>105</v>
      </c>
      <c r="H230" s="2" t="s">
        <v>106</v>
      </c>
      <c r="I230" s="2" t="s">
        <v>107</v>
      </c>
      <c r="J230" s="2">
        <v>1</v>
      </c>
      <c r="K230" s="2">
        <v>19.989999999999998</v>
      </c>
      <c r="L230" s="2" t="s">
        <v>39</v>
      </c>
      <c r="M230" s="2">
        <v>0</v>
      </c>
      <c r="N230" s="2">
        <v>0</v>
      </c>
      <c r="O230" s="2">
        <v>19.989999999999998</v>
      </c>
      <c r="P230" s="2" t="s">
        <v>74</v>
      </c>
      <c r="Q230" s="2" t="s">
        <v>28</v>
      </c>
      <c r="R230" s="2" t="s">
        <v>99</v>
      </c>
      <c r="S230" s="2" t="s">
        <v>30</v>
      </c>
      <c r="T230" s="2" t="s">
        <v>248</v>
      </c>
      <c r="U230" s="2" t="str">
        <f t="shared" si="11"/>
        <v>Valid</v>
      </c>
      <c r="V230" s="2" t="s">
        <v>704</v>
      </c>
    </row>
    <row r="231" spans="1:22" hidden="1" x14ac:dyDescent="0.3">
      <c r="A231" s="2" t="s">
        <v>705</v>
      </c>
      <c r="B231" s="12">
        <f t="shared" si="9"/>
        <v>46238.587592488417</v>
      </c>
      <c r="C231" s="13">
        <v>46238.587592488417</v>
      </c>
      <c r="D231" s="2" t="s">
        <v>706</v>
      </c>
      <c r="E231" s="2" t="str">
        <f t="shared" si="10"/>
        <v>Email Available</v>
      </c>
      <c r="F231" s="2" t="s">
        <v>707</v>
      </c>
      <c r="G231" s="2" t="s">
        <v>226</v>
      </c>
      <c r="H231" s="2" t="s">
        <v>23</v>
      </c>
      <c r="I231" s="2" t="s">
        <v>227</v>
      </c>
      <c r="J231" s="2">
        <v>1</v>
      </c>
      <c r="K231" s="2" t="s">
        <v>708</v>
      </c>
      <c r="L231" s="2" t="s">
        <v>67</v>
      </c>
      <c r="M231" s="2">
        <v>1.8</v>
      </c>
      <c r="N231" s="2">
        <v>4.99</v>
      </c>
      <c r="O231" s="2">
        <v>21.18</v>
      </c>
      <c r="P231" s="2" t="s">
        <v>51</v>
      </c>
      <c r="Q231" s="2" t="s">
        <v>41</v>
      </c>
      <c r="R231" s="2" t="s">
        <v>42</v>
      </c>
      <c r="S231" s="2" t="s">
        <v>30</v>
      </c>
      <c r="T231" s="2" t="s">
        <v>53</v>
      </c>
      <c r="U231" s="2" t="str">
        <f t="shared" si="11"/>
        <v>Valid</v>
      </c>
      <c r="V231" s="2" t="s">
        <v>709</v>
      </c>
    </row>
    <row r="232" spans="1:22" hidden="1" x14ac:dyDescent="0.3">
      <c r="A232" s="2" t="s">
        <v>710</v>
      </c>
      <c r="B232" s="12">
        <f t="shared" si="9"/>
        <v>46238.585858495368</v>
      </c>
      <c r="C232" s="13">
        <v>46238.585858495368</v>
      </c>
      <c r="D232" s="2" t="s">
        <v>565</v>
      </c>
      <c r="E232" s="2" t="str">
        <f t="shared" si="10"/>
        <v>Email Available</v>
      </c>
      <c r="F232" s="2" t="s">
        <v>566</v>
      </c>
      <c r="G232" s="2" t="s">
        <v>48</v>
      </c>
      <c r="H232" s="2" t="s">
        <v>49</v>
      </c>
      <c r="I232" s="2" t="s">
        <v>50</v>
      </c>
      <c r="J232" s="2">
        <v>1</v>
      </c>
      <c r="K232" s="2">
        <v>39.99</v>
      </c>
      <c r="L232" s="2" t="s">
        <v>208</v>
      </c>
      <c r="M232" s="2">
        <v>6</v>
      </c>
      <c r="N232" s="2">
        <v>7.99</v>
      </c>
      <c r="O232" s="2">
        <v>41.98</v>
      </c>
      <c r="P232" s="2" t="s">
        <v>40</v>
      </c>
      <c r="Q232" s="2" t="s">
        <v>28</v>
      </c>
      <c r="R232" s="2" t="s">
        <v>99</v>
      </c>
      <c r="S232" s="2" t="s">
        <v>43</v>
      </c>
      <c r="T232" s="2"/>
      <c r="U232" s="2" t="str">
        <f t="shared" si="11"/>
        <v>Not Required</v>
      </c>
      <c r="V232" s="2" t="s">
        <v>711</v>
      </c>
    </row>
    <row r="233" spans="1:22" hidden="1" x14ac:dyDescent="0.3">
      <c r="A233" s="2" t="s">
        <v>712</v>
      </c>
      <c r="B233" s="12">
        <f t="shared" si="9"/>
        <v>46238.580098969913</v>
      </c>
      <c r="C233" s="13">
        <v>46238.580098969913</v>
      </c>
      <c r="D233" s="2" t="s">
        <v>713</v>
      </c>
      <c r="E233" s="2" t="str">
        <f t="shared" si="10"/>
        <v>Email Available</v>
      </c>
      <c r="F233" s="2" t="s">
        <v>714</v>
      </c>
      <c r="G233" s="2" t="s">
        <v>226</v>
      </c>
      <c r="H233" s="2" t="s">
        <v>23</v>
      </c>
      <c r="I233" s="2" t="s">
        <v>227</v>
      </c>
      <c r="J233" s="2">
        <v>1</v>
      </c>
      <c r="K233" s="2">
        <v>17.989999999999998</v>
      </c>
      <c r="L233" s="2" t="s">
        <v>25</v>
      </c>
      <c r="M233" s="2" t="s">
        <v>715</v>
      </c>
      <c r="N233" s="2">
        <v>5.99</v>
      </c>
      <c r="O233" s="2">
        <v>20.38</v>
      </c>
      <c r="P233" s="2" t="s">
        <v>27</v>
      </c>
      <c r="Q233" s="2" t="s">
        <v>90</v>
      </c>
      <c r="R233" s="2" t="s">
        <v>29</v>
      </c>
      <c r="S233" s="2" t="s">
        <v>337</v>
      </c>
      <c r="T233" s="2"/>
      <c r="U233" s="2" t="str">
        <f t="shared" si="11"/>
        <v>Not Required</v>
      </c>
      <c r="V233" s="2" t="s">
        <v>716</v>
      </c>
    </row>
    <row r="234" spans="1:22" hidden="1" x14ac:dyDescent="0.3">
      <c r="A234" s="2" t="s">
        <v>717</v>
      </c>
      <c r="B234" s="12">
        <f t="shared" si="9"/>
        <v>46238.583874305557</v>
      </c>
      <c r="C234" s="13">
        <v>46238.583874305557</v>
      </c>
      <c r="D234" s="2" t="s">
        <v>718</v>
      </c>
      <c r="E234" s="2" t="str">
        <f t="shared" si="10"/>
        <v>Email Available</v>
      </c>
      <c r="F234" s="2" t="s">
        <v>719</v>
      </c>
      <c r="G234" s="2" t="s">
        <v>65</v>
      </c>
      <c r="H234" s="2" t="s">
        <v>49</v>
      </c>
      <c r="I234" s="2" t="s">
        <v>66</v>
      </c>
      <c r="J234" s="2">
        <v>2</v>
      </c>
      <c r="K234" s="2">
        <v>14.99</v>
      </c>
      <c r="L234" s="2"/>
      <c r="M234" s="2">
        <v>0</v>
      </c>
      <c r="N234" s="2">
        <v>4.99</v>
      </c>
      <c r="O234" s="2">
        <v>34.97</v>
      </c>
      <c r="P234" s="2" t="s">
        <v>74</v>
      </c>
      <c r="Q234" s="2" t="s">
        <v>41</v>
      </c>
      <c r="R234" s="2" t="s">
        <v>52</v>
      </c>
      <c r="S234" s="2" t="s">
        <v>30</v>
      </c>
      <c r="T234" s="2" t="s">
        <v>53</v>
      </c>
      <c r="U234" s="2" t="str">
        <f t="shared" si="11"/>
        <v>Valid</v>
      </c>
      <c r="V234" s="2" t="s">
        <v>720</v>
      </c>
    </row>
    <row r="235" spans="1:22" hidden="1" x14ac:dyDescent="0.3">
      <c r="A235" s="2" t="s">
        <v>721</v>
      </c>
      <c r="B235" s="12">
        <f t="shared" si="9"/>
        <v>46238</v>
      </c>
      <c r="C235" s="13" t="s">
        <v>722</v>
      </c>
      <c r="D235" s="2" t="s">
        <v>723</v>
      </c>
      <c r="E235" s="2" t="str">
        <f t="shared" si="10"/>
        <v>Email Available</v>
      </c>
      <c r="F235" s="2" t="s">
        <v>724</v>
      </c>
      <c r="G235" s="2" t="s">
        <v>187</v>
      </c>
      <c r="H235" s="2" t="s">
        <v>37</v>
      </c>
      <c r="I235" s="2" t="s">
        <v>188</v>
      </c>
      <c r="J235" s="2">
        <v>1</v>
      </c>
      <c r="K235" s="2">
        <v>11.99</v>
      </c>
      <c r="L235" s="2"/>
      <c r="M235" s="2">
        <v>0</v>
      </c>
      <c r="N235" s="2">
        <v>5.99</v>
      </c>
      <c r="O235" s="2">
        <v>17.98</v>
      </c>
      <c r="P235" s="2" t="s">
        <v>27</v>
      </c>
      <c r="Q235" s="2" t="s">
        <v>114</v>
      </c>
      <c r="R235" s="2" t="s">
        <v>52</v>
      </c>
      <c r="S235" s="2" t="s">
        <v>30</v>
      </c>
      <c r="T235" s="2" t="s">
        <v>347</v>
      </c>
      <c r="U235" s="2" t="str">
        <f t="shared" si="11"/>
        <v>Valid</v>
      </c>
      <c r="V235" s="2" t="s">
        <v>725</v>
      </c>
    </row>
    <row r="236" spans="1:22" hidden="1" x14ac:dyDescent="0.3">
      <c r="A236" s="2" t="s">
        <v>726</v>
      </c>
      <c r="B236" s="12">
        <f t="shared" si="9"/>
        <v>46238.588586979167</v>
      </c>
      <c r="C236" s="13">
        <v>46238.588586979167</v>
      </c>
      <c r="D236" s="2" t="s">
        <v>651</v>
      </c>
      <c r="E236" s="2" t="str">
        <f t="shared" si="10"/>
        <v>Email Available</v>
      </c>
      <c r="F236" s="2" t="s">
        <v>652</v>
      </c>
      <c r="G236" s="2" t="s">
        <v>187</v>
      </c>
      <c r="H236" s="2" t="s">
        <v>37</v>
      </c>
      <c r="I236" s="2" t="s">
        <v>188</v>
      </c>
      <c r="J236" s="2">
        <v>1</v>
      </c>
      <c r="K236" s="2" t="s">
        <v>409</v>
      </c>
      <c r="L236" s="2"/>
      <c r="M236" s="2">
        <v>0</v>
      </c>
      <c r="N236" s="2">
        <v>5.99</v>
      </c>
      <c r="O236" s="2">
        <v>17.98</v>
      </c>
      <c r="P236" s="2" t="s">
        <v>68</v>
      </c>
      <c r="Q236" s="2" t="s">
        <v>28</v>
      </c>
      <c r="R236" s="2" t="s">
        <v>99</v>
      </c>
      <c r="S236" s="2" t="s">
        <v>30</v>
      </c>
      <c r="T236" s="2" t="s">
        <v>60</v>
      </c>
      <c r="U236" s="2" t="str">
        <f t="shared" si="11"/>
        <v>Valid</v>
      </c>
      <c r="V236" s="2" t="s">
        <v>727</v>
      </c>
    </row>
    <row r="237" spans="1:22" x14ac:dyDescent="0.3">
      <c r="A237" s="2" t="s">
        <v>728</v>
      </c>
      <c r="B237" s="12">
        <f t="shared" si="9"/>
        <v>46238.583655208327</v>
      </c>
      <c r="C237" s="13">
        <v>46238.583655208327</v>
      </c>
      <c r="D237" s="2" t="s">
        <v>662</v>
      </c>
      <c r="E237" s="2" t="str">
        <f t="shared" si="10"/>
        <v>Missing Email</v>
      </c>
      <c r="F237" s="2"/>
      <c r="G237" s="2" t="s">
        <v>368</v>
      </c>
      <c r="H237" s="2" t="s">
        <v>88</v>
      </c>
      <c r="I237" s="2" t="s">
        <v>369</v>
      </c>
      <c r="J237" s="2">
        <v>1</v>
      </c>
      <c r="K237" s="2">
        <v>54.99</v>
      </c>
      <c r="L237" s="2"/>
      <c r="M237" s="2">
        <v>0</v>
      </c>
      <c r="N237" s="2">
        <v>7.99</v>
      </c>
      <c r="O237" s="2">
        <v>62.98</v>
      </c>
      <c r="P237" s="2" t="s">
        <v>51</v>
      </c>
      <c r="Q237" s="2" t="s">
        <v>28</v>
      </c>
      <c r="R237" s="2" t="s">
        <v>52</v>
      </c>
      <c r="S237" s="2" t="s">
        <v>30</v>
      </c>
      <c r="T237" s="2" t="s">
        <v>69</v>
      </c>
      <c r="U237" s="2" t="str">
        <f t="shared" si="11"/>
        <v>Valid</v>
      </c>
      <c r="V237" s="2" t="s">
        <v>729</v>
      </c>
    </row>
    <row r="238" spans="1:22" hidden="1" x14ac:dyDescent="0.3">
      <c r="A238" s="2" t="s">
        <v>730</v>
      </c>
      <c r="B238" s="12">
        <f t="shared" si="9"/>
        <v>46238.579972754633</v>
      </c>
      <c r="C238" s="13">
        <v>46238.579972754633</v>
      </c>
      <c r="D238" s="2" t="s">
        <v>651</v>
      </c>
      <c r="E238" s="2" t="str">
        <f t="shared" si="10"/>
        <v>Email Available</v>
      </c>
      <c r="F238" s="2" t="s">
        <v>652</v>
      </c>
      <c r="G238" s="2" t="s">
        <v>80</v>
      </c>
      <c r="H238" s="2" t="s">
        <v>81</v>
      </c>
      <c r="I238" s="2" t="s">
        <v>82</v>
      </c>
      <c r="J238" s="2">
        <v>1</v>
      </c>
      <c r="K238" s="2">
        <v>89.99</v>
      </c>
      <c r="L238" s="2"/>
      <c r="M238" s="2">
        <v>0</v>
      </c>
      <c r="N238" s="2">
        <v>0</v>
      </c>
      <c r="O238" s="2">
        <v>89.99</v>
      </c>
      <c r="P238" s="2" t="s">
        <v>74</v>
      </c>
      <c r="Q238" s="2" t="s">
        <v>114</v>
      </c>
      <c r="R238" s="2" t="s">
        <v>52</v>
      </c>
      <c r="S238" s="2" t="s">
        <v>30</v>
      </c>
      <c r="T238" s="2" t="s">
        <v>115</v>
      </c>
      <c r="U238" s="2" t="str">
        <f t="shared" si="11"/>
        <v>Valid</v>
      </c>
      <c r="V238" s="2" t="s">
        <v>731</v>
      </c>
    </row>
    <row r="239" spans="1:22" hidden="1" x14ac:dyDescent="0.3">
      <c r="A239" s="2" t="s">
        <v>732</v>
      </c>
      <c r="B239" s="12">
        <f t="shared" si="9"/>
        <v>46238.58318814815</v>
      </c>
      <c r="C239" s="13">
        <v>46238.58318814815</v>
      </c>
      <c r="D239" s="2" t="s">
        <v>733</v>
      </c>
      <c r="E239" s="2" t="str">
        <f t="shared" si="10"/>
        <v>Email Available</v>
      </c>
      <c r="F239" s="2" t="s">
        <v>734</v>
      </c>
      <c r="G239" s="2" t="s">
        <v>151</v>
      </c>
      <c r="H239" s="2" t="s">
        <v>49</v>
      </c>
      <c r="I239" s="2" t="s">
        <v>152</v>
      </c>
      <c r="J239" s="2">
        <v>2</v>
      </c>
      <c r="K239" s="2">
        <v>34.99</v>
      </c>
      <c r="L239" s="2"/>
      <c r="M239" s="2">
        <v>0</v>
      </c>
      <c r="N239" s="2">
        <v>5.99</v>
      </c>
      <c r="O239" s="2">
        <v>75.97</v>
      </c>
      <c r="P239" s="2" t="s">
        <v>27</v>
      </c>
      <c r="Q239" s="2" t="s">
        <v>28</v>
      </c>
      <c r="R239" s="2" t="s">
        <v>52</v>
      </c>
      <c r="S239" s="2" t="s">
        <v>108</v>
      </c>
      <c r="T239" s="2"/>
      <c r="U239" s="2" t="str">
        <f t="shared" si="11"/>
        <v>Not Required</v>
      </c>
      <c r="V239" s="2" t="s">
        <v>735</v>
      </c>
    </row>
    <row r="240" spans="1:22" hidden="1" x14ac:dyDescent="0.3">
      <c r="A240" s="2" t="s">
        <v>736</v>
      </c>
      <c r="B240" s="12">
        <f t="shared" si="9"/>
        <v>46238.583681412027</v>
      </c>
      <c r="C240" s="13">
        <v>46238.583681412027</v>
      </c>
      <c r="D240" s="2" t="s">
        <v>737</v>
      </c>
      <c r="E240" s="2" t="str">
        <f t="shared" si="10"/>
        <v>Email Available</v>
      </c>
      <c r="F240" s="2" t="s">
        <v>516</v>
      </c>
      <c r="G240" s="2" t="s">
        <v>368</v>
      </c>
      <c r="H240" s="2" t="s">
        <v>88</v>
      </c>
      <c r="I240" s="2" t="s">
        <v>369</v>
      </c>
      <c r="J240" s="2">
        <v>1</v>
      </c>
      <c r="K240" s="2">
        <v>54.99</v>
      </c>
      <c r="L240" s="2" t="s">
        <v>67</v>
      </c>
      <c r="M240" s="2">
        <v>5.5</v>
      </c>
      <c r="N240" s="2">
        <v>5.99</v>
      </c>
      <c r="O240" s="2">
        <v>55.48</v>
      </c>
      <c r="P240" s="2" t="s">
        <v>68</v>
      </c>
      <c r="Q240" s="2" t="s">
        <v>90</v>
      </c>
      <c r="R240" s="2" t="s">
        <v>52</v>
      </c>
      <c r="S240" s="2" t="s">
        <v>337</v>
      </c>
      <c r="T240" s="2"/>
      <c r="U240" s="2" t="str">
        <f t="shared" si="11"/>
        <v>Not Required</v>
      </c>
      <c r="V240" s="2" t="s">
        <v>738</v>
      </c>
    </row>
    <row r="241" spans="1:22" hidden="1" x14ac:dyDescent="0.3">
      <c r="A241" s="2" t="s">
        <v>739</v>
      </c>
      <c r="B241" s="12">
        <f t="shared" si="9"/>
        <v>46120</v>
      </c>
      <c r="C241" s="13" t="s">
        <v>142</v>
      </c>
      <c r="D241" s="2" t="s">
        <v>740</v>
      </c>
      <c r="E241" s="2" t="str">
        <f t="shared" si="10"/>
        <v>Email Available</v>
      </c>
      <c r="F241" s="2" t="s">
        <v>741</v>
      </c>
      <c r="G241" s="2" t="s">
        <v>266</v>
      </c>
      <c r="H241" s="2" t="s">
        <v>37</v>
      </c>
      <c r="I241" s="2" t="s">
        <v>267</v>
      </c>
      <c r="J241" s="2">
        <v>1</v>
      </c>
      <c r="K241" s="2">
        <v>15.49</v>
      </c>
      <c r="L241" s="2"/>
      <c r="M241" s="2">
        <v>0</v>
      </c>
      <c r="N241" s="2">
        <v>7.99</v>
      </c>
      <c r="O241" s="2">
        <v>23.48</v>
      </c>
      <c r="P241" s="2" t="s">
        <v>27</v>
      </c>
      <c r="Q241" s="2" t="s">
        <v>28</v>
      </c>
      <c r="R241" s="2" t="s">
        <v>99</v>
      </c>
      <c r="S241" s="2" t="s">
        <v>108</v>
      </c>
      <c r="T241" s="2"/>
      <c r="U241" s="2" t="str">
        <f t="shared" si="11"/>
        <v>Not Required</v>
      </c>
      <c r="V241" s="2" t="s">
        <v>742</v>
      </c>
    </row>
    <row r="242" spans="1:22" hidden="1" x14ac:dyDescent="0.3">
      <c r="A242" s="2" t="s">
        <v>743</v>
      </c>
      <c r="B242" s="12">
        <f t="shared" si="9"/>
        <v>46238.581016226854</v>
      </c>
      <c r="C242" s="13">
        <v>46238.581016226854</v>
      </c>
      <c r="D242" s="2" t="s">
        <v>744</v>
      </c>
      <c r="E242" s="2" t="str">
        <f t="shared" si="10"/>
        <v>Email Available</v>
      </c>
      <c r="F242" s="2" t="s">
        <v>745</v>
      </c>
      <c r="G242" s="2" t="s">
        <v>315</v>
      </c>
      <c r="H242" s="2" t="s">
        <v>37</v>
      </c>
      <c r="I242" s="2" t="s">
        <v>316</v>
      </c>
      <c r="J242" s="2">
        <v>1</v>
      </c>
      <c r="K242" s="2">
        <v>8.99</v>
      </c>
      <c r="L242" s="2"/>
      <c r="M242" s="2">
        <v>0</v>
      </c>
      <c r="N242" s="2">
        <v>7.99</v>
      </c>
      <c r="O242" s="2">
        <v>16.98</v>
      </c>
      <c r="P242" s="2" t="s">
        <v>40</v>
      </c>
      <c r="Q242" s="2" t="s">
        <v>41</v>
      </c>
      <c r="R242" s="2" t="s">
        <v>52</v>
      </c>
      <c r="S242" s="2" t="s">
        <v>30</v>
      </c>
      <c r="T242" s="2" t="s">
        <v>31</v>
      </c>
      <c r="U242" s="2" t="str">
        <f t="shared" si="11"/>
        <v>Valid</v>
      </c>
      <c r="V242" s="2" t="s">
        <v>746</v>
      </c>
    </row>
    <row r="243" spans="1:22" hidden="1" x14ac:dyDescent="0.3">
      <c r="A243" s="2" t="s">
        <v>747</v>
      </c>
      <c r="B243" s="12">
        <f t="shared" si="9"/>
        <v>46238.586802060177</v>
      </c>
      <c r="C243" s="13">
        <v>46238.586802060177</v>
      </c>
      <c r="D243" s="2" t="s">
        <v>748</v>
      </c>
      <c r="E243" s="2" t="str">
        <f t="shared" si="10"/>
        <v>Email Available</v>
      </c>
      <c r="F243" s="2" t="s">
        <v>749</v>
      </c>
      <c r="G243" s="2" t="s">
        <v>241</v>
      </c>
      <c r="H243" s="2" t="s">
        <v>242</v>
      </c>
      <c r="I243" s="2" t="s">
        <v>243</v>
      </c>
      <c r="J243" s="2">
        <v>1</v>
      </c>
      <c r="K243" s="2">
        <v>27.99</v>
      </c>
      <c r="L243" s="2" t="s">
        <v>67</v>
      </c>
      <c r="M243" s="2">
        <v>2.8</v>
      </c>
      <c r="N243" s="2">
        <v>5.99</v>
      </c>
      <c r="O243" s="2">
        <v>31.18</v>
      </c>
      <c r="P243" s="2" t="s">
        <v>74</v>
      </c>
      <c r="Q243" s="2" t="s">
        <v>90</v>
      </c>
      <c r="R243" s="2" t="s">
        <v>99</v>
      </c>
      <c r="S243" s="2" t="s">
        <v>108</v>
      </c>
      <c r="T243" s="2"/>
      <c r="U243" s="2" t="str">
        <f t="shared" si="11"/>
        <v>Not Required</v>
      </c>
      <c r="V243" s="2" t="s">
        <v>750</v>
      </c>
    </row>
    <row r="244" spans="1:22" hidden="1" x14ac:dyDescent="0.3">
      <c r="A244" s="2" t="s">
        <v>751</v>
      </c>
      <c r="B244" s="12">
        <f t="shared" si="9"/>
        <v>46238.585401979173</v>
      </c>
      <c r="C244" s="13">
        <v>46238.585401979173</v>
      </c>
      <c r="D244" s="2" t="s">
        <v>327</v>
      </c>
      <c r="E244" s="2" t="str">
        <f t="shared" si="10"/>
        <v>Email Available</v>
      </c>
      <c r="F244" s="2" t="s">
        <v>328</v>
      </c>
      <c r="G244" s="2" t="s">
        <v>133</v>
      </c>
      <c r="H244" s="2" t="s">
        <v>106</v>
      </c>
      <c r="I244" s="2" t="s">
        <v>134</v>
      </c>
      <c r="J244" s="2">
        <v>2</v>
      </c>
      <c r="K244" s="2">
        <v>16.989999999999998</v>
      </c>
      <c r="L244" s="2"/>
      <c r="M244" s="2">
        <v>0</v>
      </c>
      <c r="N244" s="2">
        <v>7.99</v>
      </c>
      <c r="O244" s="2">
        <v>41.97</v>
      </c>
      <c r="P244" s="2" t="s">
        <v>27</v>
      </c>
      <c r="Q244" s="2" t="s">
        <v>90</v>
      </c>
      <c r="R244" s="2" t="s">
        <v>52</v>
      </c>
      <c r="S244" s="2" t="s">
        <v>228</v>
      </c>
      <c r="T244" s="2"/>
      <c r="U244" s="2" t="str">
        <f t="shared" si="11"/>
        <v>Not Required</v>
      </c>
      <c r="V244" s="2" t="s">
        <v>752</v>
      </c>
    </row>
    <row r="245" spans="1:22" x14ac:dyDescent="0.3">
      <c r="A245" s="2" t="s">
        <v>753</v>
      </c>
      <c r="B245" s="12">
        <f t="shared" si="9"/>
        <v>46120</v>
      </c>
      <c r="C245" s="13" t="s">
        <v>142</v>
      </c>
      <c r="D245" s="2" t="s">
        <v>384</v>
      </c>
      <c r="E245" s="2" t="str">
        <f t="shared" si="10"/>
        <v>Missing Email</v>
      </c>
      <c r="F245" s="2"/>
      <c r="G245" s="2" t="s">
        <v>36</v>
      </c>
      <c r="H245" s="2" t="s">
        <v>37</v>
      </c>
      <c r="I245" s="2" t="s">
        <v>38</v>
      </c>
      <c r="J245" s="2">
        <v>1</v>
      </c>
      <c r="K245" s="2" t="s">
        <v>571</v>
      </c>
      <c r="L245" s="2" t="s">
        <v>97</v>
      </c>
      <c r="M245" s="2">
        <v>4.4000000000000004</v>
      </c>
      <c r="N245" s="2">
        <v>7.99</v>
      </c>
      <c r="O245" s="2">
        <v>25.58</v>
      </c>
      <c r="P245" s="2" t="s">
        <v>40</v>
      </c>
      <c r="Q245" s="2" t="s">
        <v>28</v>
      </c>
      <c r="R245" s="2" t="s">
        <v>42</v>
      </c>
      <c r="S245" s="2" t="s">
        <v>75</v>
      </c>
      <c r="T245" s="2"/>
      <c r="U245" s="2" t="str">
        <f t="shared" si="11"/>
        <v>Not Required</v>
      </c>
      <c r="V245" s="2" t="s">
        <v>754</v>
      </c>
    </row>
    <row r="246" spans="1:22" hidden="1" x14ac:dyDescent="0.3">
      <c r="A246" s="2" t="s">
        <v>755</v>
      </c>
      <c r="B246" s="12">
        <f t="shared" si="9"/>
        <v>46238.58460869213</v>
      </c>
      <c r="C246" s="13">
        <v>46238.58460869213</v>
      </c>
      <c r="D246" s="2" t="s">
        <v>756</v>
      </c>
      <c r="E246" s="2" t="str">
        <f t="shared" si="10"/>
        <v>Email Available</v>
      </c>
      <c r="F246" s="2" t="s">
        <v>757</v>
      </c>
      <c r="G246" s="2" t="s">
        <v>368</v>
      </c>
      <c r="H246" s="2" t="s">
        <v>88</v>
      </c>
      <c r="I246" s="2" t="s">
        <v>369</v>
      </c>
      <c r="J246" s="2">
        <v>1</v>
      </c>
      <c r="K246" s="2" t="s">
        <v>370</v>
      </c>
      <c r="L246" s="2" t="s">
        <v>121</v>
      </c>
      <c r="M246" s="2">
        <v>13.75</v>
      </c>
      <c r="N246" s="2">
        <v>4.99</v>
      </c>
      <c r="O246" s="2">
        <v>46.23</v>
      </c>
      <c r="P246" s="2" t="s">
        <v>51</v>
      </c>
      <c r="Q246" s="2" t="s">
        <v>28</v>
      </c>
      <c r="R246" s="2" t="s">
        <v>52</v>
      </c>
      <c r="S246" s="2" t="s">
        <v>30</v>
      </c>
      <c r="T246" s="2" t="s">
        <v>347</v>
      </c>
      <c r="U246" s="2" t="str">
        <f t="shared" si="11"/>
        <v>Valid</v>
      </c>
      <c r="V246" s="2" t="s">
        <v>758</v>
      </c>
    </row>
    <row r="247" spans="1:22" hidden="1" x14ac:dyDescent="0.3">
      <c r="A247" s="2" t="s">
        <v>759</v>
      </c>
      <c r="B247" s="12">
        <f t="shared" si="9"/>
        <v>46238.579053900467</v>
      </c>
      <c r="C247" s="13">
        <v>46238.579053900467</v>
      </c>
      <c r="D247" s="2" t="s">
        <v>760</v>
      </c>
      <c r="E247" s="2" t="str">
        <f t="shared" si="10"/>
        <v>Email Available</v>
      </c>
      <c r="F247" s="2" t="s">
        <v>761</v>
      </c>
      <c r="G247" s="2" t="s">
        <v>368</v>
      </c>
      <c r="H247" s="2" t="s">
        <v>88</v>
      </c>
      <c r="I247" s="2" t="s">
        <v>369</v>
      </c>
      <c r="J247" s="2">
        <v>1</v>
      </c>
      <c r="K247" s="2">
        <v>54.99</v>
      </c>
      <c r="L247" s="2" t="s">
        <v>208</v>
      </c>
      <c r="M247" s="2">
        <v>8.25</v>
      </c>
      <c r="N247" s="2">
        <v>7.99</v>
      </c>
      <c r="O247" s="2">
        <v>54.73</v>
      </c>
      <c r="P247" s="2" t="s">
        <v>40</v>
      </c>
      <c r="Q247" s="2" t="s">
        <v>41</v>
      </c>
      <c r="R247" s="2" t="s">
        <v>52</v>
      </c>
      <c r="S247" s="2" t="s">
        <v>30</v>
      </c>
      <c r="T247" s="2" t="s">
        <v>53</v>
      </c>
      <c r="U247" s="2" t="str">
        <f t="shared" si="11"/>
        <v>Valid</v>
      </c>
      <c r="V247" s="2" t="s">
        <v>762</v>
      </c>
    </row>
    <row r="248" spans="1:22" hidden="1" x14ac:dyDescent="0.3">
      <c r="A248" s="2" t="s">
        <v>763</v>
      </c>
      <c r="B248" s="12">
        <f t="shared" si="9"/>
        <v>46238.588269143518</v>
      </c>
      <c r="C248" s="13">
        <v>46238.588269143518</v>
      </c>
      <c r="D248" s="2" t="s">
        <v>764</v>
      </c>
      <c r="E248" s="2" t="str">
        <f t="shared" si="10"/>
        <v>Email Available</v>
      </c>
      <c r="F248" s="2" t="s">
        <v>765</v>
      </c>
      <c r="G248" s="2" t="s">
        <v>112</v>
      </c>
      <c r="H248" s="2" t="s">
        <v>81</v>
      </c>
      <c r="I248" s="2" t="s">
        <v>113</v>
      </c>
      <c r="J248" s="2">
        <v>1</v>
      </c>
      <c r="K248" s="2">
        <v>22.99</v>
      </c>
      <c r="L248" s="2" t="s">
        <v>121</v>
      </c>
      <c r="M248" s="2">
        <v>5.75</v>
      </c>
      <c r="N248" s="2">
        <v>5.99</v>
      </c>
      <c r="O248" s="2">
        <v>23.23</v>
      </c>
      <c r="P248" s="2" t="s">
        <v>27</v>
      </c>
      <c r="Q248" s="2" t="s">
        <v>41</v>
      </c>
      <c r="R248" s="2" t="s">
        <v>52</v>
      </c>
      <c r="S248" s="2" t="s">
        <v>30</v>
      </c>
      <c r="T248" s="2" t="s">
        <v>766</v>
      </c>
      <c r="U248" s="2" t="str">
        <f t="shared" si="11"/>
        <v>Valid</v>
      </c>
      <c r="V248" s="2" t="s">
        <v>767</v>
      </c>
    </row>
    <row r="249" spans="1:22" hidden="1" x14ac:dyDescent="0.3">
      <c r="A249" s="2" t="s">
        <v>768</v>
      </c>
      <c r="B249" s="12">
        <f t="shared" si="9"/>
        <v>46120</v>
      </c>
      <c r="C249" s="13" t="s">
        <v>142</v>
      </c>
      <c r="D249" s="2" t="s">
        <v>769</v>
      </c>
      <c r="E249" s="2" t="str">
        <f t="shared" si="10"/>
        <v>Email Available</v>
      </c>
      <c r="F249" s="2" t="s">
        <v>770</v>
      </c>
      <c r="G249" s="2" t="s">
        <v>36</v>
      </c>
      <c r="H249" s="2" t="s">
        <v>37</v>
      </c>
      <c r="I249" s="2" t="s">
        <v>38</v>
      </c>
      <c r="J249" s="2">
        <v>3</v>
      </c>
      <c r="K249" s="2">
        <v>21.99</v>
      </c>
      <c r="L249" s="2"/>
      <c r="M249" s="2">
        <v>0</v>
      </c>
      <c r="N249" s="2">
        <v>7.99</v>
      </c>
      <c r="O249" s="2">
        <v>73.959999999999994</v>
      </c>
      <c r="P249" s="2" t="s">
        <v>40</v>
      </c>
      <c r="Q249" s="2" t="s">
        <v>114</v>
      </c>
      <c r="R249" s="2" t="s">
        <v>52</v>
      </c>
      <c r="S249" s="2" t="s">
        <v>30</v>
      </c>
      <c r="T249" s="2" t="s">
        <v>31</v>
      </c>
      <c r="U249" s="2" t="str">
        <f t="shared" si="11"/>
        <v>Valid</v>
      </c>
      <c r="V249" s="2" t="s">
        <v>771</v>
      </c>
    </row>
    <row r="250" spans="1:22" hidden="1" x14ac:dyDescent="0.3">
      <c r="A250" s="2" t="s">
        <v>772</v>
      </c>
      <c r="B250" s="12">
        <f t="shared" si="9"/>
        <v>46238.588318495371</v>
      </c>
      <c r="C250" s="13">
        <v>46238.588318495371</v>
      </c>
      <c r="D250" s="2" t="s">
        <v>655</v>
      </c>
      <c r="E250" s="2" t="str">
        <f t="shared" si="10"/>
        <v>Email Available</v>
      </c>
      <c r="F250" s="2" t="s">
        <v>656</v>
      </c>
      <c r="G250" s="2" t="s">
        <v>127</v>
      </c>
      <c r="H250" s="2" t="s">
        <v>81</v>
      </c>
      <c r="I250" s="2" t="s">
        <v>128</v>
      </c>
      <c r="J250" s="2">
        <v>1</v>
      </c>
      <c r="K250" s="2">
        <v>13.99</v>
      </c>
      <c r="L250" s="2"/>
      <c r="M250" s="2">
        <v>0</v>
      </c>
      <c r="N250" s="2">
        <v>5.99</v>
      </c>
      <c r="O250" s="2">
        <v>19.98</v>
      </c>
      <c r="P250" s="2" t="s">
        <v>27</v>
      </c>
      <c r="Q250" s="2" t="s">
        <v>41</v>
      </c>
      <c r="R250" s="2" t="s">
        <v>52</v>
      </c>
      <c r="S250" s="2" t="s">
        <v>228</v>
      </c>
      <c r="T250" s="2"/>
      <c r="U250" s="2" t="str">
        <f t="shared" si="11"/>
        <v>Not Required</v>
      </c>
      <c r="V250" s="2" t="s">
        <v>773</v>
      </c>
    </row>
    <row r="251" spans="1:22" hidden="1" x14ac:dyDescent="0.3">
      <c r="A251" s="2" t="s">
        <v>777</v>
      </c>
      <c r="B251" s="12">
        <f t="shared" si="9"/>
        <v>46238.588538773147</v>
      </c>
      <c r="C251" s="13">
        <v>46238.588538773147</v>
      </c>
      <c r="D251" s="2" t="s">
        <v>778</v>
      </c>
      <c r="E251" s="2" t="str">
        <f t="shared" si="10"/>
        <v>Email Available</v>
      </c>
      <c r="F251" s="2" t="s">
        <v>779</v>
      </c>
      <c r="G251" s="2" t="s">
        <v>87</v>
      </c>
      <c r="H251" s="2" t="s">
        <v>88</v>
      </c>
      <c r="I251" s="2" t="s">
        <v>89</v>
      </c>
      <c r="J251" s="2">
        <v>1</v>
      </c>
      <c r="K251" s="2">
        <v>54.99</v>
      </c>
      <c r="L251" s="2"/>
      <c r="M251" s="2">
        <v>0</v>
      </c>
      <c r="N251" s="2">
        <v>4.99</v>
      </c>
      <c r="O251" s="2">
        <v>59.98</v>
      </c>
      <c r="P251" s="2" t="s">
        <v>51</v>
      </c>
      <c r="Q251" s="2" t="s">
        <v>28</v>
      </c>
      <c r="R251" s="2" t="s">
        <v>52</v>
      </c>
      <c r="S251" s="2" t="s">
        <v>108</v>
      </c>
      <c r="T251" s="2"/>
      <c r="U251" s="2" t="str">
        <f t="shared" si="11"/>
        <v>Not Required</v>
      </c>
      <c r="V251" s="2" t="s">
        <v>780</v>
      </c>
    </row>
    <row r="252" spans="1:22" hidden="1" x14ac:dyDescent="0.3">
      <c r="A252" s="2" t="s">
        <v>781</v>
      </c>
      <c r="B252" s="12">
        <f t="shared" si="9"/>
        <v>46238.581562546293</v>
      </c>
      <c r="C252" s="13">
        <v>46238.581562546293</v>
      </c>
      <c r="D252" s="2" t="s">
        <v>155</v>
      </c>
      <c r="E252" s="2" t="str">
        <f t="shared" si="10"/>
        <v>Email Available</v>
      </c>
      <c r="F252" s="2" t="s">
        <v>156</v>
      </c>
      <c r="G252" s="2" t="s">
        <v>195</v>
      </c>
      <c r="H252" s="2" t="s">
        <v>196</v>
      </c>
      <c r="I252" s="2" t="s">
        <v>197</v>
      </c>
      <c r="J252" s="2">
        <v>1</v>
      </c>
      <c r="K252" s="2">
        <v>13.49</v>
      </c>
      <c r="L252" s="2"/>
      <c r="M252" s="2">
        <v>0</v>
      </c>
      <c r="N252" s="2">
        <v>5.99</v>
      </c>
      <c r="O252" s="2">
        <v>19.48</v>
      </c>
      <c r="P252" s="2" t="s">
        <v>51</v>
      </c>
      <c r="Q252" s="2" t="s">
        <v>28</v>
      </c>
      <c r="R252" s="2" t="s">
        <v>99</v>
      </c>
      <c r="S252" s="2" t="s">
        <v>30</v>
      </c>
      <c r="T252" s="2" t="s">
        <v>69</v>
      </c>
      <c r="U252" s="2" t="str">
        <f t="shared" si="11"/>
        <v>Valid</v>
      </c>
      <c r="V252" s="2" t="s">
        <v>782</v>
      </c>
    </row>
    <row r="253" spans="1:22" hidden="1" x14ac:dyDescent="0.3">
      <c r="A253" s="2" t="s">
        <v>783</v>
      </c>
      <c r="B253" s="12">
        <f t="shared" si="9"/>
        <v>46238.579316863434</v>
      </c>
      <c r="C253" s="13">
        <v>46238.579316863434</v>
      </c>
      <c r="D253" s="2" t="s">
        <v>169</v>
      </c>
      <c r="E253" s="2" t="str">
        <f t="shared" si="10"/>
        <v>Email Available</v>
      </c>
      <c r="F253" s="2" t="s">
        <v>170</v>
      </c>
      <c r="G253" s="2" t="s">
        <v>272</v>
      </c>
      <c r="H253" s="2" t="s">
        <v>23</v>
      </c>
      <c r="I253" s="2" t="s">
        <v>273</v>
      </c>
      <c r="J253" s="2">
        <v>2</v>
      </c>
      <c r="K253" s="2">
        <v>18.989999999999998</v>
      </c>
      <c r="L253" s="2" t="s">
        <v>39</v>
      </c>
      <c r="M253" s="2">
        <v>0</v>
      </c>
      <c r="N253" s="2">
        <v>0</v>
      </c>
      <c r="O253" s="2">
        <v>37.979999999999997</v>
      </c>
      <c r="P253" s="2" t="s">
        <v>74</v>
      </c>
      <c r="Q253" s="2" t="s">
        <v>28</v>
      </c>
      <c r="R253" s="2" t="s">
        <v>52</v>
      </c>
      <c r="S253" s="2" t="s">
        <v>108</v>
      </c>
      <c r="T253" s="2"/>
      <c r="U253" s="2" t="str">
        <f t="shared" si="11"/>
        <v>Not Required</v>
      </c>
      <c r="V253" s="2" t="s">
        <v>784</v>
      </c>
    </row>
    <row r="254" spans="1:22" hidden="1" x14ac:dyDescent="0.3">
      <c r="A254" s="2" t="s">
        <v>785</v>
      </c>
      <c r="B254" s="12">
        <f t="shared" si="9"/>
        <v>46238.585254699072</v>
      </c>
      <c r="C254" s="13">
        <v>46238.585254699072</v>
      </c>
      <c r="D254" s="2" t="s">
        <v>480</v>
      </c>
      <c r="E254" s="2" t="str">
        <f t="shared" si="10"/>
        <v>Email Available</v>
      </c>
      <c r="F254" s="2" t="s">
        <v>481</v>
      </c>
      <c r="G254" s="2" t="s">
        <v>206</v>
      </c>
      <c r="H254" s="2" t="s">
        <v>196</v>
      </c>
      <c r="I254" s="2" t="s">
        <v>207</v>
      </c>
      <c r="J254" s="2">
        <v>2</v>
      </c>
      <c r="K254" s="2">
        <v>24.99</v>
      </c>
      <c r="L254" s="2"/>
      <c r="M254" s="2">
        <v>0</v>
      </c>
      <c r="N254" s="2">
        <v>5.99</v>
      </c>
      <c r="O254" s="2">
        <v>55.97</v>
      </c>
      <c r="P254" s="2" t="s">
        <v>74</v>
      </c>
      <c r="Q254" s="2" t="s">
        <v>28</v>
      </c>
      <c r="R254" s="2" t="s">
        <v>52</v>
      </c>
      <c r="S254" s="2" t="s">
        <v>75</v>
      </c>
      <c r="T254" s="2"/>
      <c r="U254" s="2" t="str">
        <f t="shared" si="11"/>
        <v>Not Required</v>
      </c>
      <c r="V254" s="2" t="s">
        <v>786</v>
      </c>
    </row>
    <row r="255" spans="1:22" hidden="1" x14ac:dyDescent="0.3">
      <c r="A255" s="2" t="s">
        <v>787</v>
      </c>
      <c r="B255" s="12">
        <f t="shared" si="9"/>
        <v>46238.583694895831</v>
      </c>
      <c r="C255" s="13">
        <v>46238.583694895831</v>
      </c>
      <c r="D255" s="2" t="s">
        <v>428</v>
      </c>
      <c r="E255" s="2" t="str">
        <f t="shared" si="10"/>
        <v>Email Available</v>
      </c>
      <c r="F255" s="2" t="s">
        <v>429</v>
      </c>
      <c r="G255" s="2" t="s">
        <v>87</v>
      </c>
      <c r="H255" s="2" t="s">
        <v>88</v>
      </c>
      <c r="I255" s="2" t="s">
        <v>89</v>
      </c>
      <c r="J255" s="2">
        <v>1</v>
      </c>
      <c r="K255" s="2">
        <v>54.99</v>
      </c>
      <c r="L255" s="2" t="s">
        <v>121</v>
      </c>
      <c r="M255" s="2">
        <v>13.75</v>
      </c>
      <c r="N255" s="2">
        <v>5.99</v>
      </c>
      <c r="O255" s="2">
        <v>47.23</v>
      </c>
      <c r="P255" s="2" t="s">
        <v>74</v>
      </c>
      <c r="Q255" s="2" t="s">
        <v>41</v>
      </c>
      <c r="R255" s="2" t="s">
        <v>52</v>
      </c>
      <c r="S255" s="2" t="s">
        <v>30</v>
      </c>
      <c r="T255" s="2" t="s">
        <v>145</v>
      </c>
      <c r="U255" s="2" t="str">
        <f t="shared" si="11"/>
        <v>Valid</v>
      </c>
      <c r="V255" s="2" t="s">
        <v>788</v>
      </c>
    </row>
    <row r="256" spans="1:22" hidden="1" x14ac:dyDescent="0.3">
      <c r="A256" s="2" t="s">
        <v>789</v>
      </c>
      <c r="B256" s="12">
        <f t="shared" si="9"/>
        <v>46238.581924409722</v>
      </c>
      <c r="C256" s="13">
        <v>46238.581924409722</v>
      </c>
      <c r="D256" s="2" t="s">
        <v>790</v>
      </c>
      <c r="E256" s="2" t="str">
        <f t="shared" si="10"/>
        <v>Email Available</v>
      </c>
      <c r="F256" s="2" t="s">
        <v>791</v>
      </c>
      <c r="G256" s="2" t="s">
        <v>226</v>
      </c>
      <c r="H256" s="2" t="s">
        <v>23</v>
      </c>
      <c r="I256" s="2" t="s">
        <v>227</v>
      </c>
      <c r="J256" s="2">
        <v>2</v>
      </c>
      <c r="K256" s="2">
        <v>17.989999999999998</v>
      </c>
      <c r="L256" s="2" t="s">
        <v>39</v>
      </c>
      <c r="M256" s="2">
        <v>0</v>
      </c>
      <c r="N256" s="2">
        <v>0</v>
      </c>
      <c r="O256" s="2" t="s">
        <v>792</v>
      </c>
      <c r="P256" s="2" t="s">
        <v>68</v>
      </c>
      <c r="Q256" s="2" t="s">
        <v>90</v>
      </c>
      <c r="R256" s="2" t="s">
        <v>52</v>
      </c>
      <c r="S256" s="2" t="s">
        <v>228</v>
      </c>
      <c r="T256" s="2"/>
      <c r="U256" s="2" t="str">
        <f t="shared" si="11"/>
        <v>Not Required</v>
      </c>
      <c r="V256" s="2" t="s">
        <v>793</v>
      </c>
    </row>
    <row r="257" spans="1:22" hidden="1" x14ac:dyDescent="0.3">
      <c r="A257" s="2" t="s">
        <v>794</v>
      </c>
      <c r="B257" s="12">
        <f t="shared" si="9"/>
        <v>46238.584352280093</v>
      </c>
      <c r="C257" s="13">
        <v>46238.584352280093</v>
      </c>
      <c r="D257" s="2" t="s">
        <v>420</v>
      </c>
      <c r="E257" s="2" t="str">
        <f t="shared" si="10"/>
        <v>Email Available</v>
      </c>
      <c r="F257" s="2" t="s">
        <v>421</v>
      </c>
      <c r="G257" s="2" t="s">
        <v>36</v>
      </c>
      <c r="H257" s="2" t="s">
        <v>37</v>
      </c>
      <c r="I257" s="2" t="s">
        <v>38</v>
      </c>
      <c r="J257" s="2">
        <v>1</v>
      </c>
      <c r="K257" s="2">
        <v>21.99</v>
      </c>
      <c r="L257" s="2"/>
      <c r="M257" s="2">
        <v>0</v>
      </c>
      <c r="N257" s="2">
        <v>4.99</v>
      </c>
      <c r="O257" s="2">
        <v>26.98</v>
      </c>
      <c r="P257" s="2" t="s">
        <v>68</v>
      </c>
      <c r="Q257" s="2" t="s">
        <v>90</v>
      </c>
      <c r="R257" s="2" t="s">
        <v>52</v>
      </c>
      <c r="S257" s="2" t="s">
        <v>337</v>
      </c>
      <c r="T257" s="2"/>
      <c r="U257" s="2" t="str">
        <f t="shared" si="11"/>
        <v>Not Required</v>
      </c>
      <c r="V257" s="2" t="s">
        <v>795</v>
      </c>
    </row>
    <row r="258" spans="1:22" hidden="1" x14ac:dyDescent="0.3">
      <c r="A258" s="2" t="s">
        <v>796</v>
      </c>
      <c r="B258" s="12">
        <f t="shared" si="9"/>
        <v>46120</v>
      </c>
      <c r="C258" s="13" t="s">
        <v>142</v>
      </c>
      <c r="D258" s="2" t="s">
        <v>797</v>
      </c>
      <c r="E258" s="2" t="str">
        <f t="shared" si="10"/>
        <v>Email Available</v>
      </c>
      <c r="F258" s="2" t="s">
        <v>798</v>
      </c>
      <c r="G258" s="2" t="s">
        <v>120</v>
      </c>
      <c r="H258" s="2" t="s">
        <v>23</v>
      </c>
      <c r="I258" s="2" t="s">
        <v>24</v>
      </c>
      <c r="J258" s="2">
        <v>2</v>
      </c>
      <c r="K258" s="2">
        <v>12.99</v>
      </c>
      <c r="L258" s="2" t="s">
        <v>208</v>
      </c>
      <c r="M258" s="2">
        <v>3.9</v>
      </c>
      <c r="N258" s="2">
        <v>7.99</v>
      </c>
      <c r="O258" s="2">
        <v>30.07</v>
      </c>
      <c r="P258" s="2" t="s">
        <v>27</v>
      </c>
      <c r="Q258" s="2" t="s">
        <v>114</v>
      </c>
      <c r="R258" s="2" t="s">
        <v>52</v>
      </c>
      <c r="S258" s="2" t="s">
        <v>337</v>
      </c>
      <c r="T258" s="2"/>
      <c r="U258" s="2" t="str">
        <f t="shared" si="11"/>
        <v>Not Required</v>
      </c>
      <c r="V258" s="2" t="s">
        <v>799</v>
      </c>
    </row>
    <row r="259" spans="1:22" hidden="1" x14ac:dyDescent="0.3">
      <c r="A259" s="2" t="s">
        <v>800</v>
      </c>
      <c r="B259" s="12">
        <f t="shared" ref="B259:B322" si="12">IF(ISNUMBER(C259),C259,DATEVALUE(SUBSTITUTE(TRIM(C259),CHAR(160)," ")))</f>
        <v>46120</v>
      </c>
      <c r="C259" s="13" t="s">
        <v>142</v>
      </c>
      <c r="D259" s="2" t="s">
        <v>466</v>
      </c>
      <c r="E259" s="2" t="str">
        <f t="shared" ref="E259:E322" si="13">IF(TRIM(F259)="","Missing Email","Email Available")</f>
        <v>Email Available</v>
      </c>
      <c r="F259" s="2" t="s">
        <v>467</v>
      </c>
      <c r="G259" s="2" t="s">
        <v>65</v>
      </c>
      <c r="H259" s="2" t="s">
        <v>49</v>
      </c>
      <c r="I259" s="2" t="s">
        <v>66</v>
      </c>
      <c r="J259" s="2">
        <v>1</v>
      </c>
      <c r="K259" s="2">
        <v>14.99</v>
      </c>
      <c r="L259" s="2"/>
      <c r="M259" s="2">
        <v>0</v>
      </c>
      <c r="N259" s="2">
        <v>5.99</v>
      </c>
      <c r="O259" s="2">
        <v>20.98</v>
      </c>
      <c r="P259" s="2" t="s">
        <v>51</v>
      </c>
      <c r="Q259" s="2" t="s">
        <v>41</v>
      </c>
      <c r="R259" s="2" t="s">
        <v>52</v>
      </c>
      <c r="S259" s="2" t="s">
        <v>228</v>
      </c>
      <c r="T259" s="2"/>
      <c r="U259" s="2" t="str">
        <f t="shared" ref="U259:U322" si="14">IF(AND(S259="United States",T259=""),"Missing state",IF(T259="","Not Required","Valid"))</f>
        <v>Not Required</v>
      </c>
      <c r="V259" s="2" t="s">
        <v>801</v>
      </c>
    </row>
    <row r="260" spans="1:22" hidden="1" x14ac:dyDescent="0.3">
      <c r="A260" s="2" t="s">
        <v>802</v>
      </c>
      <c r="B260" s="12">
        <f t="shared" si="12"/>
        <v>46238.582338506953</v>
      </c>
      <c r="C260" s="13">
        <v>46238.582338506953</v>
      </c>
      <c r="D260" s="2" t="s">
        <v>456</v>
      </c>
      <c r="E260" s="2" t="str">
        <f t="shared" si="13"/>
        <v>Email Available</v>
      </c>
      <c r="F260" s="2" t="s">
        <v>457</v>
      </c>
      <c r="G260" s="2" t="s">
        <v>112</v>
      </c>
      <c r="H260" s="2" t="s">
        <v>81</v>
      </c>
      <c r="I260" s="2" t="s">
        <v>113</v>
      </c>
      <c r="J260" s="2">
        <v>1</v>
      </c>
      <c r="K260" s="2">
        <v>22.99</v>
      </c>
      <c r="L260" s="2" t="s">
        <v>121</v>
      </c>
      <c r="M260" s="2">
        <v>5.75</v>
      </c>
      <c r="N260" s="2">
        <v>7.99</v>
      </c>
      <c r="O260" s="2">
        <v>25.23</v>
      </c>
      <c r="P260" s="2" t="s">
        <v>51</v>
      </c>
      <c r="Q260" s="2" t="s">
        <v>28</v>
      </c>
      <c r="R260" s="2" t="s">
        <v>99</v>
      </c>
      <c r="S260" s="2" t="s">
        <v>30</v>
      </c>
      <c r="T260" s="2" t="s">
        <v>31</v>
      </c>
      <c r="U260" s="2" t="str">
        <f t="shared" si="14"/>
        <v>Valid</v>
      </c>
      <c r="V260" s="2" t="s">
        <v>803</v>
      </c>
    </row>
    <row r="261" spans="1:22" hidden="1" x14ac:dyDescent="0.3">
      <c r="A261" s="2" t="s">
        <v>804</v>
      </c>
      <c r="B261" s="12">
        <f>DATE(VALUE(RIGHT(C261,4)),MATCH(LEFT(C261,3),{"Jan","Feb","Mar","Apr","May","Jun","Jul","Aug","Sep","Oct","Nov","Dec"},0),VALUE(MID(C261,5,2)))</f>
        <v>46238</v>
      </c>
      <c r="C261" s="13" t="s">
        <v>176</v>
      </c>
      <c r="D261" s="2" t="s">
        <v>805</v>
      </c>
      <c r="E261" s="2" t="str">
        <f t="shared" si="13"/>
        <v>Email Available</v>
      </c>
      <c r="F261" s="2" t="s">
        <v>806</v>
      </c>
      <c r="G261" s="2" t="s">
        <v>80</v>
      </c>
      <c r="H261" s="2" t="s">
        <v>81</v>
      </c>
      <c r="I261" s="2" t="s">
        <v>82</v>
      </c>
      <c r="J261" s="2">
        <v>1</v>
      </c>
      <c r="K261" s="2">
        <v>89.99</v>
      </c>
      <c r="L261" s="2" t="s">
        <v>25</v>
      </c>
      <c r="M261" s="2">
        <v>18</v>
      </c>
      <c r="N261" s="2">
        <v>0</v>
      </c>
      <c r="O261" s="2">
        <v>71.989999999999995</v>
      </c>
      <c r="P261" s="2" t="s">
        <v>27</v>
      </c>
      <c r="Q261" s="2" t="s">
        <v>90</v>
      </c>
      <c r="R261" s="2" t="s">
        <v>52</v>
      </c>
      <c r="S261" s="2" t="s">
        <v>43</v>
      </c>
      <c r="T261" s="2"/>
      <c r="U261" s="2" t="str">
        <f t="shared" si="14"/>
        <v>Not Required</v>
      </c>
      <c r="V261" s="2" t="s">
        <v>807</v>
      </c>
    </row>
    <row r="262" spans="1:22" hidden="1" x14ac:dyDescent="0.3">
      <c r="A262" s="2" t="s">
        <v>808</v>
      </c>
      <c r="B262" s="12">
        <f t="shared" si="12"/>
        <v>46238.585868032409</v>
      </c>
      <c r="C262" s="13">
        <v>46238.585868032409</v>
      </c>
      <c r="D262" s="2" t="s">
        <v>193</v>
      </c>
      <c r="E262" s="2" t="str">
        <f t="shared" si="13"/>
        <v>Email Available</v>
      </c>
      <c r="F262" s="2" t="s">
        <v>194</v>
      </c>
      <c r="G262" s="2" t="s">
        <v>151</v>
      </c>
      <c r="H262" s="2" t="s">
        <v>49</v>
      </c>
      <c r="I262" s="2" t="s">
        <v>152</v>
      </c>
      <c r="J262" s="2">
        <v>1</v>
      </c>
      <c r="K262" s="2">
        <v>34.99</v>
      </c>
      <c r="L262" s="2" t="s">
        <v>208</v>
      </c>
      <c r="M262" s="2" t="s">
        <v>809</v>
      </c>
      <c r="N262" s="2">
        <v>7.99</v>
      </c>
      <c r="O262" s="2" t="s">
        <v>810</v>
      </c>
      <c r="P262" s="2" t="s">
        <v>74</v>
      </c>
      <c r="Q262" s="2" t="s">
        <v>28</v>
      </c>
      <c r="R262" s="2" t="s">
        <v>52</v>
      </c>
      <c r="S262" s="2" t="s">
        <v>30</v>
      </c>
      <c r="T262" s="2" t="s">
        <v>351</v>
      </c>
      <c r="U262" s="2" t="str">
        <f t="shared" si="14"/>
        <v>Valid</v>
      </c>
      <c r="V262" s="2" t="s">
        <v>811</v>
      </c>
    </row>
    <row r="263" spans="1:22" hidden="1" x14ac:dyDescent="0.3">
      <c r="A263" s="2" t="s">
        <v>812</v>
      </c>
      <c r="B263" s="12">
        <f t="shared" si="12"/>
        <v>46120</v>
      </c>
      <c r="C263" s="13" t="s">
        <v>142</v>
      </c>
      <c r="D263" s="2" t="s">
        <v>769</v>
      </c>
      <c r="E263" s="2" t="str">
        <f t="shared" si="13"/>
        <v>Email Available</v>
      </c>
      <c r="F263" s="2" t="s">
        <v>770</v>
      </c>
      <c r="G263" s="2" t="s">
        <v>226</v>
      </c>
      <c r="H263" s="2" t="s">
        <v>23</v>
      </c>
      <c r="I263" s="2" t="s">
        <v>227</v>
      </c>
      <c r="J263" s="2">
        <v>1</v>
      </c>
      <c r="K263" s="2">
        <v>17.989999999999998</v>
      </c>
      <c r="L263" s="2"/>
      <c r="M263" s="2">
        <v>0</v>
      </c>
      <c r="N263" s="2">
        <v>7.99</v>
      </c>
      <c r="O263" s="2">
        <v>25.98</v>
      </c>
      <c r="P263" s="2" t="s">
        <v>27</v>
      </c>
      <c r="Q263" s="2" t="s">
        <v>28</v>
      </c>
      <c r="R263" s="2" t="s">
        <v>52</v>
      </c>
      <c r="S263" s="2" t="s">
        <v>30</v>
      </c>
      <c r="T263" s="2" t="s">
        <v>31</v>
      </c>
      <c r="U263" s="2" t="str">
        <f t="shared" si="14"/>
        <v>Valid</v>
      </c>
      <c r="V263" s="2" t="s">
        <v>813</v>
      </c>
    </row>
    <row r="264" spans="1:22" hidden="1" x14ac:dyDescent="0.3">
      <c r="A264" s="2" t="s">
        <v>814</v>
      </c>
      <c r="B264" s="12">
        <f t="shared" si="12"/>
        <v>46238.588013796303</v>
      </c>
      <c r="C264" s="13">
        <v>46238.588013796303</v>
      </c>
      <c r="D264" s="2" t="s">
        <v>815</v>
      </c>
      <c r="E264" s="2" t="str">
        <f t="shared" si="13"/>
        <v>Email Available</v>
      </c>
      <c r="F264" s="2" t="s">
        <v>816</v>
      </c>
      <c r="G264" s="2" t="s">
        <v>36</v>
      </c>
      <c r="H264" s="2" t="s">
        <v>37</v>
      </c>
      <c r="I264" s="2" t="s">
        <v>38</v>
      </c>
      <c r="J264" s="2">
        <v>1</v>
      </c>
      <c r="K264" s="2">
        <v>21.99</v>
      </c>
      <c r="L264" s="2"/>
      <c r="M264" s="2">
        <v>0</v>
      </c>
      <c r="N264" s="2">
        <v>4.99</v>
      </c>
      <c r="O264" s="2">
        <v>26.98</v>
      </c>
      <c r="P264" s="2" t="s">
        <v>40</v>
      </c>
      <c r="Q264" s="2" t="s">
        <v>28</v>
      </c>
      <c r="R264" s="2" t="s">
        <v>42</v>
      </c>
      <c r="S264" s="2" t="s">
        <v>30</v>
      </c>
      <c r="T264" s="2" t="s">
        <v>69</v>
      </c>
      <c r="U264" s="2" t="str">
        <f t="shared" si="14"/>
        <v>Valid</v>
      </c>
      <c r="V264" s="2" t="s">
        <v>817</v>
      </c>
    </row>
    <row r="265" spans="1:22" hidden="1" x14ac:dyDescent="0.3">
      <c r="A265" s="2" t="s">
        <v>818</v>
      </c>
      <c r="B265" s="12">
        <f t="shared" si="12"/>
        <v>46238.584662777779</v>
      </c>
      <c r="C265" s="13">
        <v>46238.584662777779</v>
      </c>
      <c r="D265" s="2" t="s">
        <v>819</v>
      </c>
      <c r="E265" s="2" t="str">
        <f t="shared" si="13"/>
        <v>Email Available</v>
      </c>
      <c r="F265" s="2" t="s">
        <v>820</v>
      </c>
      <c r="G265" s="2" t="s">
        <v>151</v>
      </c>
      <c r="H265" s="2" t="s">
        <v>49</v>
      </c>
      <c r="I265" s="2" t="s">
        <v>152</v>
      </c>
      <c r="J265" s="2">
        <v>2</v>
      </c>
      <c r="K265" s="2">
        <v>34.99</v>
      </c>
      <c r="L265" s="2" t="s">
        <v>208</v>
      </c>
      <c r="M265" s="2">
        <v>10.5</v>
      </c>
      <c r="N265" s="2">
        <v>5.99</v>
      </c>
      <c r="O265" s="2">
        <v>65.47</v>
      </c>
      <c r="P265" s="2" t="s">
        <v>40</v>
      </c>
      <c r="Q265" s="2" t="s">
        <v>114</v>
      </c>
      <c r="R265" s="2" t="s">
        <v>52</v>
      </c>
      <c r="S265" s="2" t="s">
        <v>30</v>
      </c>
      <c r="T265" s="2" t="s">
        <v>31</v>
      </c>
      <c r="U265" s="2" t="str">
        <f t="shared" si="14"/>
        <v>Valid</v>
      </c>
      <c r="V265" s="2" t="s">
        <v>821</v>
      </c>
    </row>
    <row r="266" spans="1:22" hidden="1" x14ac:dyDescent="0.3">
      <c r="A266" s="2" t="s">
        <v>822</v>
      </c>
      <c r="B266" s="12">
        <f t="shared" si="12"/>
        <v>46238.578993796298</v>
      </c>
      <c r="C266" s="13">
        <v>46238.578993796298</v>
      </c>
      <c r="D266" s="2" t="s">
        <v>292</v>
      </c>
      <c r="E266" s="2" t="str">
        <f t="shared" si="13"/>
        <v>Email Available</v>
      </c>
      <c r="F266" s="2" t="s">
        <v>293</v>
      </c>
      <c r="G266" s="2" t="s">
        <v>65</v>
      </c>
      <c r="H266" s="2" t="s">
        <v>49</v>
      </c>
      <c r="I266" s="2" t="s">
        <v>453</v>
      </c>
      <c r="J266" s="2">
        <v>2</v>
      </c>
      <c r="K266" s="2">
        <v>14.99</v>
      </c>
      <c r="L266" s="2" t="s">
        <v>25</v>
      </c>
      <c r="M266" s="2">
        <v>6</v>
      </c>
      <c r="N266" s="2">
        <v>4.99</v>
      </c>
      <c r="O266" s="2">
        <v>28.97</v>
      </c>
      <c r="P266" s="2" t="s">
        <v>74</v>
      </c>
      <c r="Q266" s="2" t="s">
        <v>28</v>
      </c>
      <c r="R266" s="2" t="s">
        <v>52</v>
      </c>
      <c r="S266" s="2" t="s">
        <v>30</v>
      </c>
      <c r="T266" s="2" t="s">
        <v>145</v>
      </c>
      <c r="U266" s="2" t="str">
        <f t="shared" si="14"/>
        <v>Valid</v>
      </c>
      <c r="V266" s="2" t="s">
        <v>823</v>
      </c>
    </row>
    <row r="267" spans="1:22" hidden="1" x14ac:dyDescent="0.3">
      <c r="A267" s="2" t="s">
        <v>824</v>
      </c>
      <c r="B267" s="12">
        <f t="shared" si="12"/>
        <v>46238.584060763889</v>
      </c>
      <c r="C267" s="13">
        <v>46238.584060763889</v>
      </c>
      <c r="D267" s="2" t="s">
        <v>825</v>
      </c>
      <c r="E267" s="2" t="str">
        <f t="shared" si="13"/>
        <v>Email Available</v>
      </c>
      <c r="F267" s="2" t="s">
        <v>826</v>
      </c>
      <c r="G267" s="2" t="s">
        <v>120</v>
      </c>
      <c r="H267" s="2" t="s">
        <v>23</v>
      </c>
      <c r="I267" s="2" t="s">
        <v>24</v>
      </c>
      <c r="J267" s="2">
        <v>3</v>
      </c>
      <c r="K267" s="2">
        <v>12.99</v>
      </c>
      <c r="L267" s="2" t="s">
        <v>25</v>
      </c>
      <c r="M267" s="2">
        <v>7.79</v>
      </c>
      <c r="N267" s="2">
        <v>4.99</v>
      </c>
      <c r="O267" s="2">
        <v>36.17</v>
      </c>
      <c r="P267" s="2" t="s">
        <v>51</v>
      </c>
      <c r="Q267" s="2" t="s">
        <v>28</v>
      </c>
      <c r="R267" s="2" t="s">
        <v>52</v>
      </c>
      <c r="S267" s="2" t="s">
        <v>75</v>
      </c>
      <c r="T267" s="2"/>
      <c r="U267" s="2" t="str">
        <f t="shared" si="14"/>
        <v>Not Required</v>
      </c>
      <c r="V267" s="2" t="s">
        <v>827</v>
      </c>
    </row>
    <row r="268" spans="1:22" hidden="1" x14ac:dyDescent="0.3">
      <c r="A268" s="2" t="s">
        <v>828</v>
      </c>
      <c r="B268" s="12">
        <f t="shared" si="12"/>
        <v>46120</v>
      </c>
      <c r="C268" s="13" t="s">
        <v>142</v>
      </c>
      <c r="D268" s="2" t="s">
        <v>829</v>
      </c>
      <c r="E268" s="2" t="str">
        <f t="shared" si="13"/>
        <v>Email Available</v>
      </c>
      <c r="F268" s="2" t="s">
        <v>830</v>
      </c>
      <c r="G268" s="2" t="s">
        <v>36</v>
      </c>
      <c r="H268" s="2" t="s">
        <v>37</v>
      </c>
      <c r="I268" s="2" t="s">
        <v>38</v>
      </c>
      <c r="J268" s="2">
        <v>1</v>
      </c>
      <c r="K268" s="2">
        <v>21.99</v>
      </c>
      <c r="L268" s="2" t="s">
        <v>67</v>
      </c>
      <c r="M268" s="2">
        <v>2.2000000000000002</v>
      </c>
      <c r="N268" s="2">
        <v>7.99</v>
      </c>
      <c r="O268" s="2">
        <v>27.78</v>
      </c>
      <c r="P268" s="2" t="s">
        <v>51</v>
      </c>
      <c r="Q268" s="2" t="s">
        <v>90</v>
      </c>
      <c r="R268" s="2" t="s">
        <v>52</v>
      </c>
      <c r="S268" s="2" t="s">
        <v>30</v>
      </c>
      <c r="T268" s="2" t="s">
        <v>454</v>
      </c>
      <c r="U268" s="2" t="str">
        <f t="shared" si="14"/>
        <v>Valid</v>
      </c>
      <c r="V268" s="2" t="s">
        <v>831</v>
      </c>
    </row>
    <row r="269" spans="1:22" hidden="1" x14ac:dyDescent="0.3">
      <c r="A269" s="2" t="s">
        <v>832</v>
      </c>
      <c r="B269" s="12">
        <f t="shared" si="12"/>
        <v>46238.579455335654</v>
      </c>
      <c r="C269" s="13">
        <v>46238.579455335654</v>
      </c>
      <c r="D269" s="2" t="s">
        <v>405</v>
      </c>
      <c r="E269" s="2" t="str">
        <f t="shared" si="13"/>
        <v>Email Available</v>
      </c>
      <c r="F269" s="2" t="s">
        <v>406</v>
      </c>
      <c r="G269" s="2" t="s">
        <v>58</v>
      </c>
      <c r="H269" s="2" t="s">
        <v>23</v>
      </c>
      <c r="I269" s="2" t="s">
        <v>59</v>
      </c>
      <c r="J269" s="2">
        <v>1</v>
      </c>
      <c r="K269" s="2">
        <v>9.99</v>
      </c>
      <c r="L269" s="2"/>
      <c r="M269" s="2">
        <v>0</v>
      </c>
      <c r="N269" s="2">
        <v>5.99</v>
      </c>
      <c r="O269" s="2">
        <v>15.98</v>
      </c>
      <c r="P269" s="2" t="s">
        <v>51</v>
      </c>
      <c r="Q269" s="2" t="s">
        <v>41</v>
      </c>
      <c r="R269" s="2" t="s">
        <v>52</v>
      </c>
      <c r="S269" s="2" t="s">
        <v>30</v>
      </c>
      <c r="T269" s="2" t="s">
        <v>145</v>
      </c>
      <c r="U269" s="2" t="str">
        <f t="shared" si="14"/>
        <v>Valid</v>
      </c>
      <c r="V269" s="2" t="s">
        <v>833</v>
      </c>
    </row>
    <row r="270" spans="1:22" hidden="1" x14ac:dyDescent="0.3">
      <c r="A270" s="2" t="s">
        <v>834</v>
      </c>
      <c r="B270" s="12">
        <f t="shared" si="12"/>
        <v>46238.584144444438</v>
      </c>
      <c r="C270" s="13">
        <v>46238.584144444438</v>
      </c>
      <c r="D270" s="2" t="s">
        <v>94</v>
      </c>
      <c r="E270" s="2" t="str">
        <f t="shared" si="13"/>
        <v>Email Available</v>
      </c>
      <c r="F270" s="2" t="s">
        <v>95</v>
      </c>
      <c r="G270" s="2" t="s">
        <v>58</v>
      </c>
      <c r="H270" s="2" t="s">
        <v>23</v>
      </c>
      <c r="I270" s="2" t="s">
        <v>59</v>
      </c>
      <c r="J270" s="2">
        <v>1</v>
      </c>
      <c r="K270" s="2">
        <v>9.99</v>
      </c>
      <c r="L270" s="2" t="s">
        <v>67</v>
      </c>
      <c r="M270" s="2">
        <v>1</v>
      </c>
      <c r="N270" s="2">
        <v>4.99</v>
      </c>
      <c r="O270" s="2">
        <v>13.98</v>
      </c>
      <c r="P270" s="2" t="s">
        <v>27</v>
      </c>
      <c r="Q270" s="2" t="s">
        <v>41</v>
      </c>
      <c r="R270" s="2" t="s">
        <v>52</v>
      </c>
      <c r="S270" s="2" t="s">
        <v>43</v>
      </c>
      <c r="T270" s="2"/>
      <c r="U270" s="2" t="str">
        <f t="shared" si="14"/>
        <v>Not Required</v>
      </c>
      <c r="V270" s="2" t="s">
        <v>835</v>
      </c>
    </row>
    <row r="271" spans="1:22" hidden="1" x14ac:dyDescent="0.3">
      <c r="A271" s="2" t="s">
        <v>836</v>
      </c>
      <c r="B271" s="12">
        <f t="shared" si="12"/>
        <v>46238.582882256953</v>
      </c>
      <c r="C271" s="13">
        <v>46238.582882256953</v>
      </c>
      <c r="D271" s="2" t="s">
        <v>224</v>
      </c>
      <c r="E271" s="2" t="str">
        <f t="shared" si="13"/>
        <v>Email Available</v>
      </c>
      <c r="F271" s="2" t="s">
        <v>225</v>
      </c>
      <c r="G271" s="2" t="s">
        <v>195</v>
      </c>
      <c r="H271" s="2" t="s">
        <v>196</v>
      </c>
      <c r="I271" s="2" t="s">
        <v>197</v>
      </c>
      <c r="J271" s="2">
        <v>1</v>
      </c>
      <c r="K271" s="2">
        <v>13.49</v>
      </c>
      <c r="L271" s="2"/>
      <c r="M271" s="2">
        <v>0</v>
      </c>
      <c r="N271" s="2">
        <v>7.99</v>
      </c>
      <c r="O271" s="2">
        <v>21.48</v>
      </c>
      <c r="P271" s="2" t="s">
        <v>74</v>
      </c>
      <c r="Q271" s="2" t="s">
        <v>28</v>
      </c>
      <c r="R271" s="2" t="s">
        <v>42</v>
      </c>
      <c r="S271" s="2" t="s">
        <v>228</v>
      </c>
      <c r="T271" s="2"/>
      <c r="U271" s="2" t="str">
        <f t="shared" si="14"/>
        <v>Not Required</v>
      </c>
      <c r="V271" s="2" t="s">
        <v>837</v>
      </c>
    </row>
    <row r="272" spans="1:22" hidden="1" x14ac:dyDescent="0.3">
      <c r="A272" s="2" t="s">
        <v>838</v>
      </c>
      <c r="B272" s="12">
        <f t="shared" si="12"/>
        <v>46120</v>
      </c>
      <c r="C272" s="13" t="s">
        <v>142</v>
      </c>
      <c r="D272" s="2" t="s">
        <v>610</v>
      </c>
      <c r="E272" s="2" t="str">
        <f t="shared" si="13"/>
        <v>Email Available</v>
      </c>
      <c r="F272" s="2" t="s">
        <v>611</v>
      </c>
      <c r="G272" s="2" t="s">
        <v>157</v>
      </c>
      <c r="H272" s="2" t="s">
        <v>37</v>
      </c>
      <c r="I272" s="2" t="s">
        <v>158</v>
      </c>
      <c r="J272" s="2">
        <v>2</v>
      </c>
      <c r="K272" s="2">
        <v>29.99</v>
      </c>
      <c r="L272" s="2" t="s">
        <v>121</v>
      </c>
      <c r="M272" s="2">
        <v>14.99</v>
      </c>
      <c r="N272" s="2">
        <v>5.99</v>
      </c>
      <c r="O272" s="2">
        <v>50.98</v>
      </c>
      <c r="P272" s="2" t="s">
        <v>27</v>
      </c>
      <c r="Q272" s="2" t="s">
        <v>41</v>
      </c>
      <c r="R272" s="2" t="s">
        <v>52</v>
      </c>
      <c r="S272" s="2" t="s">
        <v>43</v>
      </c>
      <c r="T272" s="2"/>
      <c r="U272" s="2" t="str">
        <f t="shared" si="14"/>
        <v>Not Required</v>
      </c>
      <c r="V272" s="2" t="s">
        <v>839</v>
      </c>
    </row>
    <row r="273" spans="1:22" hidden="1" x14ac:dyDescent="0.3">
      <c r="A273" s="2" t="s">
        <v>840</v>
      </c>
      <c r="B273" s="12">
        <f t="shared" si="12"/>
        <v>46238.580622094909</v>
      </c>
      <c r="C273" s="13">
        <v>46238.580622094909</v>
      </c>
      <c r="D273" s="2" t="s">
        <v>841</v>
      </c>
      <c r="E273" s="2" t="str">
        <f t="shared" si="13"/>
        <v>Email Available</v>
      </c>
      <c r="F273" s="2" t="s">
        <v>842</v>
      </c>
      <c r="G273" s="2" t="s">
        <v>120</v>
      </c>
      <c r="H273" s="2" t="s">
        <v>23</v>
      </c>
      <c r="I273" s="2" t="s">
        <v>24</v>
      </c>
      <c r="J273" s="2">
        <v>1</v>
      </c>
      <c r="K273" s="2">
        <v>12.99</v>
      </c>
      <c r="L273" s="2"/>
      <c r="M273" s="2">
        <v>0</v>
      </c>
      <c r="N273" s="2">
        <v>5.99</v>
      </c>
      <c r="O273" s="2">
        <v>18.98</v>
      </c>
      <c r="P273" s="2" t="s">
        <v>27</v>
      </c>
      <c r="Q273" s="2" t="s">
        <v>28</v>
      </c>
      <c r="R273" s="2" t="s">
        <v>52</v>
      </c>
      <c r="S273" s="2" t="s">
        <v>30</v>
      </c>
      <c r="T273" s="2" t="s">
        <v>60</v>
      </c>
      <c r="U273" s="2" t="str">
        <f t="shared" si="14"/>
        <v>Valid</v>
      </c>
      <c r="V273" s="2" t="s">
        <v>843</v>
      </c>
    </row>
    <row r="274" spans="1:22" hidden="1" x14ac:dyDescent="0.3">
      <c r="A274" s="2" t="s">
        <v>844</v>
      </c>
      <c r="B274" s="12">
        <f t="shared" si="12"/>
        <v>46238.583278425933</v>
      </c>
      <c r="C274" s="13">
        <v>46238.583278425933</v>
      </c>
      <c r="D274" s="2" t="s">
        <v>845</v>
      </c>
      <c r="E274" s="2" t="str">
        <f t="shared" si="13"/>
        <v>Email Available</v>
      </c>
      <c r="F274" s="2" t="s">
        <v>846</v>
      </c>
      <c r="G274" s="2" t="s">
        <v>284</v>
      </c>
      <c r="H274" s="2" t="s">
        <v>23</v>
      </c>
      <c r="I274" s="2" t="s">
        <v>285</v>
      </c>
      <c r="J274" s="2">
        <v>1</v>
      </c>
      <c r="K274" s="2">
        <v>24.99</v>
      </c>
      <c r="L274" s="2"/>
      <c r="M274" s="2" t="s">
        <v>189</v>
      </c>
      <c r="N274" s="2">
        <v>7.99</v>
      </c>
      <c r="O274" s="2">
        <v>32.979999999999997</v>
      </c>
      <c r="P274" s="2" t="s">
        <v>40</v>
      </c>
      <c r="Q274" s="2" t="s">
        <v>28</v>
      </c>
      <c r="R274" s="2" t="s">
        <v>52</v>
      </c>
      <c r="S274" s="2" t="s">
        <v>30</v>
      </c>
      <c r="T274" s="2" t="s">
        <v>454</v>
      </c>
      <c r="U274" s="2" t="str">
        <f t="shared" si="14"/>
        <v>Valid</v>
      </c>
      <c r="V274" s="2" t="s">
        <v>847</v>
      </c>
    </row>
    <row r="275" spans="1:22" hidden="1" x14ac:dyDescent="0.3">
      <c r="A275" s="2" t="s">
        <v>848</v>
      </c>
      <c r="B275" s="12">
        <f t="shared" si="12"/>
        <v>46238.583917361109</v>
      </c>
      <c r="C275" s="13">
        <v>46238.583917361109</v>
      </c>
      <c r="D275" s="2" t="s">
        <v>849</v>
      </c>
      <c r="E275" s="2" t="str">
        <f t="shared" si="13"/>
        <v>Email Available</v>
      </c>
      <c r="F275" s="2" t="s">
        <v>850</v>
      </c>
      <c r="G275" s="2" t="s">
        <v>80</v>
      </c>
      <c r="H275" s="2" t="s">
        <v>81</v>
      </c>
      <c r="I275" s="2" t="s">
        <v>82</v>
      </c>
      <c r="J275" s="2">
        <v>1</v>
      </c>
      <c r="K275" s="2">
        <v>89.99</v>
      </c>
      <c r="L275" s="2" t="s">
        <v>25</v>
      </c>
      <c r="M275" s="2">
        <v>18</v>
      </c>
      <c r="N275" s="2">
        <v>0</v>
      </c>
      <c r="O275" s="2">
        <v>71.989999999999995</v>
      </c>
      <c r="P275" s="2" t="s">
        <v>27</v>
      </c>
      <c r="Q275" s="2" t="s">
        <v>28</v>
      </c>
      <c r="R275" s="2" t="s">
        <v>29</v>
      </c>
      <c r="S275" s="2" t="s">
        <v>228</v>
      </c>
      <c r="T275" s="2"/>
      <c r="U275" s="2" t="str">
        <f t="shared" si="14"/>
        <v>Not Required</v>
      </c>
      <c r="V275" s="2" t="s">
        <v>851</v>
      </c>
    </row>
    <row r="276" spans="1:22" hidden="1" x14ac:dyDescent="0.3">
      <c r="A276" s="2" t="s">
        <v>852</v>
      </c>
      <c r="B276" s="12">
        <f t="shared" si="12"/>
        <v>46238.585170648148</v>
      </c>
      <c r="C276" s="13">
        <v>46238.585170648148</v>
      </c>
      <c r="D276" s="2" t="s">
        <v>853</v>
      </c>
      <c r="E276" s="2" t="str">
        <f t="shared" si="13"/>
        <v>Email Available</v>
      </c>
      <c r="F276" s="2" t="s">
        <v>854</v>
      </c>
      <c r="G276" s="2" t="s">
        <v>151</v>
      </c>
      <c r="H276" s="2" t="s">
        <v>49</v>
      </c>
      <c r="I276" s="2" t="s">
        <v>152</v>
      </c>
      <c r="J276" s="2">
        <v>2</v>
      </c>
      <c r="K276" s="2">
        <v>34.99</v>
      </c>
      <c r="L276" s="2" t="s">
        <v>39</v>
      </c>
      <c r="M276" s="2">
        <v>0</v>
      </c>
      <c r="N276" s="2">
        <v>0</v>
      </c>
      <c r="O276" s="2" t="s">
        <v>855</v>
      </c>
      <c r="P276" s="2" t="s">
        <v>68</v>
      </c>
      <c r="Q276" s="2" t="s">
        <v>28</v>
      </c>
      <c r="R276" s="2" t="s">
        <v>52</v>
      </c>
      <c r="S276" s="2" t="s">
        <v>30</v>
      </c>
      <c r="T276" s="2" t="s">
        <v>347</v>
      </c>
      <c r="U276" s="2" t="str">
        <f t="shared" si="14"/>
        <v>Valid</v>
      </c>
      <c r="V276" s="2" t="s">
        <v>856</v>
      </c>
    </row>
    <row r="277" spans="1:22" hidden="1" x14ac:dyDescent="0.3">
      <c r="A277" s="2" t="s">
        <v>857</v>
      </c>
      <c r="B277" s="12">
        <f t="shared" si="12"/>
        <v>46238.579688796293</v>
      </c>
      <c r="C277" s="13">
        <v>46238.579688796293</v>
      </c>
      <c r="D277" s="2" t="s">
        <v>302</v>
      </c>
      <c r="E277" s="2" t="str">
        <f t="shared" si="13"/>
        <v>Email Available</v>
      </c>
      <c r="F277" s="2" t="s">
        <v>303</v>
      </c>
      <c r="G277" s="2" t="s">
        <v>151</v>
      </c>
      <c r="H277" s="2" t="s">
        <v>49</v>
      </c>
      <c r="I277" s="2" t="s">
        <v>152</v>
      </c>
      <c r="J277" s="2">
        <v>1</v>
      </c>
      <c r="K277" s="2">
        <v>34.99</v>
      </c>
      <c r="L277" s="2" t="s">
        <v>121</v>
      </c>
      <c r="M277" s="2">
        <v>8.75</v>
      </c>
      <c r="N277" s="2">
        <v>7.99</v>
      </c>
      <c r="O277" s="2">
        <v>34.229999999999997</v>
      </c>
      <c r="P277" s="2" t="s">
        <v>74</v>
      </c>
      <c r="Q277" s="2" t="s">
        <v>41</v>
      </c>
      <c r="R277" s="2" t="s">
        <v>99</v>
      </c>
      <c r="S277" s="2" t="s">
        <v>108</v>
      </c>
      <c r="T277" s="2"/>
      <c r="U277" s="2" t="str">
        <f t="shared" si="14"/>
        <v>Not Required</v>
      </c>
      <c r="V277" s="2" t="s">
        <v>858</v>
      </c>
    </row>
    <row r="278" spans="1:22" hidden="1" x14ac:dyDescent="0.3">
      <c r="A278" s="2" t="s">
        <v>859</v>
      </c>
      <c r="B278" s="12">
        <f t="shared" si="12"/>
        <v>46238.58323384259</v>
      </c>
      <c r="C278" s="13">
        <v>46238.58323384259</v>
      </c>
      <c r="D278" s="2" t="s">
        <v>860</v>
      </c>
      <c r="E278" s="2" t="str">
        <f t="shared" si="13"/>
        <v>Email Available</v>
      </c>
      <c r="F278" s="2" t="s">
        <v>861</v>
      </c>
      <c r="G278" s="2" t="s">
        <v>272</v>
      </c>
      <c r="H278" s="2" t="s">
        <v>23</v>
      </c>
      <c r="I278" s="2" t="s">
        <v>273</v>
      </c>
      <c r="J278" s="2">
        <v>4</v>
      </c>
      <c r="K278" s="2">
        <v>18.989999999999998</v>
      </c>
      <c r="L278" s="2" t="s">
        <v>121</v>
      </c>
      <c r="M278" s="2">
        <v>18.989999999999998</v>
      </c>
      <c r="N278" s="2">
        <v>0</v>
      </c>
      <c r="O278" s="2">
        <v>56.97</v>
      </c>
      <c r="P278" s="2" t="s">
        <v>74</v>
      </c>
      <c r="Q278" s="2" t="s">
        <v>28</v>
      </c>
      <c r="R278" s="2" t="s">
        <v>52</v>
      </c>
      <c r="S278" s="2" t="s">
        <v>43</v>
      </c>
      <c r="T278" s="2"/>
      <c r="U278" s="2" t="str">
        <f t="shared" si="14"/>
        <v>Not Required</v>
      </c>
      <c r="V278" s="2" t="s">
        <v>862</v>
      </c>
    </row>
    <row r="279" spans="1:22" hidden="1" x14ac:dyDescent="0.3">
      <c r="A279" s="2" t="s">
        <v>863</v>
      </c>
      <c r="B279" s="12">
        <f t="shared" si="12"/>
        <v>46238.586459537037</v>
      </c>
      <c r="C279" s="13">
        <v>46238.586459537037</v>
      </c>
      <c r="D279" s="2" t="s">
        <v>443</v>
      </c>
      <c r="E279" s="2" t="str">
        <f t="shared" si="13"/>
        <v>Email Available</v>
      </c>
      <c r="F279" s="2" t="s">
        <v>444</v>
      </c>
      <c r="G279" s="2" t="s">
        <v>65</v>
      </c>
      <c r="H279" s="2" t="s">
        <v>49</v>
      </c>
      <c r="I279" s="2" t="s">
        <v>66</v>
      </c>
      <c r="J279" s="2">
        <v>1</v>
      </c>
      <c r="K279" s="2">
        <v>14.99</v>
      </c>
      <c r="L279" s="2" t="s">
        <v>121</v>
      </c>
      <c r="M279" s="2">
        <v>3.75</v>
      </c>
      <c r="N279" s="2">
        <v>5.99</v>
      </c>
      <c r="O279" s="2">
        <v>17.23</v>
      </c>
      <c r="P279" s="2" t="s">
        <v>27</v>
      </c>
      <c r="Q279" s="2" t="s">
        <v>28</v>
      </c>
      <c r="R279" s="2" t="s">
        <v>29</v>
      </c>
      <c r="S279" s="2" t="s">
        <v>43</v>
      </c>
      <c r="T279" s="2"/>
      <c r="U279" s="2" t="str">
        <f t="shared" si="14"/>
        <v>Not Required</v>
      </c>
      <c r="V279" s="2" t="s">
        <v>864</v>
      </c>
    </row>
    <row r="280" spans="1:22" hidden="1" x14ac:dyDescent="0.3">
      <c r="A280" s="2" t="s">
        <v>865</v>
      </c>
      <c r="B280" s="12">
        <f t="shared" si="12"/>
        <v>46238.581189791657</v>
      </c>
      <c r="C280" s="13">
        <v>46238.581189791657</v>
      </c>
      <c r="D280" s="2" t="s">
        <v>866</v>
      </c>
      <c r="E280" s="2" t="str">
        <f t="shared" si="13"/>
        <v>Email Available</v>
      </c>
      <c r="F280" s="2" t="s">
        <v>867</v>
      </c>
      <c r="G280" s="2" t="s">
        <v>120</v>
      </c>
      <c r="H280" s="2" t="s">
        <v>23</v>
      </c>
      <c r="I280" s="2" t="s">
        <v>24</v>
      </c>
      <c r="J280" s="2">
        <v>1</v>
      </c>
      <c r="K280" s="2">
        <v>12.99</v>
      </c>
      <c r="L280" s="2"/>
      <c r="M280" s="2">
        <v>0</v>
      </c>
      <c r="N280" s="2">
        <v>4.99</v>
      </c>
      <c r="O280" s="2">
        <v>17.98</v>
      </c>
      <c r="P280" s="2" t="s">
        <v>51</v>
      </c>
      <c r="Q280" s="2" t="s">
        <v>28</v>
      </c>
      <c r="R280" s="2" t="s">
        <v>52</v>
      </c>
      <c r="S280" s="2" t="s">
        <v>108</v>
      </c>
      <c r="T280" s="2"/>
      <c r="U280" s="2" t="str">
        <f t="shared" si="14"/>
        <v>Not Required</v>
      </c>
      <c r="V280" s="2" t="s">
        <v>868</v>
      </c>
    </row>
    <row r="281" spans="1:22" hidden="1" x14ac:dyDescent="0.3">
      <c r="A281" s="2" t="s">
        <v>869</v>
      </c>
      <c r="B281" s="12">
        <f t="shared" si="12"/>
        <v>46120</v>
      </c>
      <c r="C281" s="13" t="s">
        <v>142</v>
      </c>
      <c r="D281" s="2" t="s">
        <v>870</v>
      </c>
      <c r="E281" s="2" t="str">
        <f t="shared" si="13"/>
        <v>Email Available</v>
      </c>
      <c r="F281" s="2" t="s">
        <v>854</v>
      </c>
      <c r="G281" s="2" t="s">
        <v>157</v>
      </c>
      <c r="H281" s="2" t="s">
        <v>37</v>
      </c>
      <c r="I281" s="2" t="s">
        <v>158</v>
      </c>
      <c r="J281" s="2">
        <v>1</v>
      </c>
      <c r="K281" s="2">
        <v>29.99</v>
      </c>
      <c r="L281" s="2" t="s">
        <v>121</v>
      </c>
      <c r="M281" s="2">
        <v>7.5</v>
      </c>
      <c r="N281" s="2">
        <v>4.99</v>
      </c>
      <c r="O281" s="2">
        <v>27.48</v>
      </c>
      <c r="P281" s="2" t="s">
        <v>74</v>
      </c>
      <c r="Q281" s="2" t="s">
        <v>41</v>
      </c>
      <c r="R281" s="2" t="s">
        <v>52</v>
      </c>
      <c r="S281" s="2" t="s">
        <v>30</v>
      </c>
      <c r="T281" s="2" t="s">
        <v>248</v>
      </c>
      <c r="U281" s="2" t="str">
        <f t="shared" si="14"/>
        <v>Valid</v>
      </c>
      <c r="V281" s="2" t="s">
        <v>871</v>
      </c>
    </row>
    <row r="282" spans="1:22" hidden="1" x14ac:dyDescent="0.3">
      <c r="A282" s="2" t="s">
        <v>872</v>
      </c>
      <c r="B282" s="12">
        <f t="shared" si="12"/>
        <v>46238.587162847223</v>
      </c>
      <c r="C282" s="13">
        <v>46238.587162847223</v>
      </c>
      <c r="D282" s="2" t="s">
        <v>416</v>
      </c>
      <c r="E282" s="2" t="str">
        <f t="shared" si="13"/>
        <v>Email Available</v>
      </c>
      <c r="F282" s="2" t="s">
        <v>417</v>
      </c>
      <c r="G282" s="2" t="s">
        <v>284</v>
      </c>
      <c r="H282" s="2" t="s">
        <v>23</v>
      </c>
      <c r="I282" s="2" t="s">
        <v>285</v>
      </c>
      <c r="J282" s="2">
        <v>2</v>
      </c>
      <c r="K282" s="2">
        <v>24.99</v>
      </c>
      <c r="L282" s="2"/>
      <c r="M282" s="2" t="s">
        <v>189</v>
      </c>
      <c r="N282" s="2">
        <v>4.99</v>
      </c>
      <c r="O282" s="2">
        <v>54.97</v>
      </c>
      <c r="P282" s="2" t="s">
        <v>51</v>
      </c>
      <c r="Q282" s="2" t="s">
        <v>28</v>
      </c>
      <c r="R282" s="2" t="s">
        <v>99</v>
      </c>
      <c r="S282" s="2" t="s">
        <v>43</v>
      </c>
      <c r="T282" s="2"/>
      <c r="U282" s="2" t="str">
        <f t="shared" si="14"/>
        <v>Not Required</v>
      </c>
      <c r="V282" s="2" t="s">
        <v>873</v>
      </c>
    </row>
    <row r="283" spans="1:22" hidden="1" x14ac:dyDescent="0.3">
      <c r="A283" s="2" t="s">
        <v>874</v>
      </c>
      <c r="B283" s="12">
        <f t="shared" si="12"/>
        <v>46238.582158171303</v>
      </c>
      <c r="C283" s="13">
        <v>46238.582158171303</v>
      </c>
      <c r="D283" s="2" t="s">
        <v>614</v>
      </c>
      <c r="E283" s="2" t="str">
        <f t="shared" si="13"/>
        <v>Email Available</v>
      </c>
      <c r="F283" s="2" t="s">
        <v>615</v>
      </c>
      <c r="G283" s="2" t="s">
        <v>368</v>
      </c>
      <c r="H283" s="2" t="s">
        <v>88</v>
      </c>
      <c r="I283" s="2" t="s">
        <v>369</v>
      </c>
      <c r="J283" s="2">
        <v>1</v>
      </c>
      <c r="K283" s="2">
        <v>54.99</v>
      </c>
      <c r="L283" s="2"/>
      <c r="M283" s="2">
        <v>0</v>
      </c>
      <c r="N283" s="2">
        <v>5.99</v>
      </c>
      <c r="O283" s="2">
        <v>60.98</v>
      </c>
      <c r="P283" s="2" t="s">
        <v>51</v>
      </c>
      <c r="Q283" s="2" t="s">
        <v>28</v>
      </c>
      <c r="R283" s="2" t="s">
        <v>29</v>
      </c>
      <c r="S283" s="2" t="s">
        <v>43</v>
      </c>
      <c r="T283" s="2"/>
      <c r="U283" s="2" t="str">
        <f t="shared" si="14"/>
        <v>Not Required</v>
      </c>
      <c r="V283" s="2" t="s">
        <v>875</v>
      </c>
    </row>
    <row r="284" spans="1:22" hidden="1" x14ac:dyDescent="0.3">
      <c r="A284" s="2" t="s">
        <v>876</v>
      </c>
      <c r="B284" s="12">
        <f t="shared" si="12"/>
        <v>46238.585199930552</v>
      </c>
      <c r="C284" s="13">
        <v>46238.585199930552</v>
      </c>
      <c r="D284" s="2" t="s">
        <v>877</v>
      </c>
      <c r="E284" s="2" t="str">
        <f t="shared" si="13"/>
        <v>Email Available</v>
      </c>
      <c r="F284" s="2" t="s">
        <v>878</v>
      </c>
      <c r="G284" s="2" t="s">
        <v>65</v>
      </c>
      <c r="H284" s="2" t="s">
        <v>49</v>
      </c>
      <c r="I284" s="2" t="s">
        <v>66</v>
      </c>
      <c r="J284" s="2">
        <v>1</v>
      </c>
      <c r="K284" s="2">
        <v>14.99</v>
      </c>
      <c r="L284" s="2"/>
      <c r="M284" s="2">
        <v>0</v>
      </c>
      <c r="N284" s="2">
        <v>5.99</v>
      </c>
      <c r="O284" s="2">
        <v>20.98</v>
      </c>
      <c r="P284" s="2" t="s">
        <v>27</v>
      </c>
      <c r="Q284" s="2" t="s">
        <v>41</v>
      </c>
      <c r="R284" s="2" t="s">
        <v>99</v>
      </c>
      <c r="S284" s="2" t="s">
        <v>75</v>
      </c>
      <c r="T284" s="2"/>
      <c r="U284" s="2" t="str">
        <f t="shared" si="14"/>
        <v>Not Required</v>
      </c>
      <c r="V284" s="2" t="s">
        <v>879</v>
      </c>
    </row>
    <row r="285" spans="1:22" hidden="1" x14ac:dyDescent="0.3">
      <c r="A285" s="2" t="s">
        <v>880</v>
      </c>
      <c r="B285" s="12">
        <f t="shared" si="12"/>
        <v>46238.584362291673</v>
      </c>
      <c r="C285" s="13">
        <v>46238.584362291673</v>
      </c>
      <c r="D285" s="2" t="s">
        <v>881</v>
      </c>
      <c r="E285" s="2" t="str">
        <f t="shared" si="13"/>
        <v>Email Available</v>
      </c>
      <c r="F285" s="2" t="s">
        <v>882</v>
      </c>
      <c r="G285" s="2" t="s">
        <v>58</v>
      </c>
      <c r="H285" s="2" t="s">
        <v>23</v>
      </c>
      <c r="I285" s="2" t="s">
        <v>59</v>
      </c>
      <c r="J285" s="2">
        <v>1</v>
      </c>
      <c r="K285" s="2" t="s">
        <v>213</v>
      </c>
      <c r="L285" s="2" t="s">
        <v>208</v>
      </c>
      <c r="M285" s="2">
        <v>1.5</v>
      </c>
      <c r="N285" s="2">
        <v>5.99</v>
      </c>
      <c r="O285" s="2">
        <v>14.48</v>
      </c>
      <c r="P285" s="2" t="s">
        <v>68</v>
      </c>
      <c r="Q285" s="2" t="s">
        <v>41</v>
      </c>
      <c r="R285" s="2" t="s">
        <v>52</v>
      </c>
      <c r="S285" s="2" t="s">
        <v>30</v>
      </c>
      <c r="T285" s="2" t="s">
        <v>60</v>
      </c>
      <c r="U285" s="2" t="str">
        <f t="shared" si="14"/>
        <v>Valid</v>
      </c>
      <c r="V285" s="2" t="s">
        <v>883</v>
      </c>
    </row>
    <row r="286" spans="1:22" hidden="1" x14ac:dyDescent="0.3">
      <c r="A286" s="2" t="s">
        <v>884</v>
      </c>
      <c r="B286" s="12">
        <f t="shared" si="12"/>
        <v>46238.584911365739</v>
      </c>
      <c r="C286" s="13">
        <v>46238.584911365739</v>
      </c>
      <c r="D286" s="2" t="s">
        <v>420</v>
      </c>
      <c r="E286" s="2" t="str">
        <f t="shared" si="13"/>
        <v>Email Available</v>
      </c>
      <c r="F286" s="2" t="s">
        <v>421</v>
      </c>
      <c r="G286" s="2" t="s">
        <v>885</v>
      </c>
      <c r="H286" s="2" t="s">
        <v>37</v>
      </c>
      <c r="I286" s="2" t="s">
        <v>316</v>
      </c>
      <c r="J286" s="2">
        <v>1</v>
      </c>
      <c r="K286" s="2">
        <v>8.99</v>
      </c>
      <c r="L286" s="2" t="s">
        <v>25</v>
      </c>
      <c r="M286" s="2">
        <v>1.8</v>
      </c>
      <c r="N286" s="2">
        <v>5.99</v>
      </c>
      <c r="O286" s="2">
        <v>13.18</v>
      </c>
      <c r="P286" s="2" t="s">
        <v>68</v>
      </c>
      <c r="Q286" s="2" t="s">
        <v>41</v>
      </c>
      <c r="R286" s="2" t="s">
        <v>42</v>
      </c>
      <c r="S286" s="2" t="s">
        <v>337</v>
      </c>
      <c r="T286" s="2"/>
      <c r="U286" s="2" t="str">
        <f t="shared" si="14"/>
        <v>Not Required</v>
      </c>
      <c r="V286" s="2" t="s">
        <v>886</v>
      </c>
    </row>
    <row r="287" spans="1:22" hidden="1" x14ac:dyDescent="0.3">
      <c r="A287" s="2" t="s">
        <v>887</v>
      </c>
      <c r="B287" s="12">
        <f t="shared" si="12"/>
        <v>46238.579573993047</v>
      </c>
      <c r="C287" s="13">
        <v>46238.579573993047</v>
      </c>
      <c r="D287" s="2" t="s">
        <v>681</v>
      </c>
      <c r="E287" s="2" t="str">
        <f t="shared" si="13"/>
        <v>Email Available</v>
      </c>
      <c r="F287" s="2" t="s">
        <v>682</v>
      </c>
      <c r="G287" s="2" t="s">
        <v>171</v>
      </c>
      <c r="H287" s="2" t="s">
        <v>106</v>
      </c>
      <c r="I287" s="2" t="s">
        <v>172</v>
      </c>
      <c r="J287" s="2">
        <v>1</v>
      </c>
      <c r="K287" s="2">
        <v>32.99</v>
      </c>
      <c r="L287" s="2" t="s">
        <v>67</v>
      </c>
      <c r="M287" s="2">
        <v>3.3</v>
      </c>
      <c r="N287" s="2">
        <v>5.99</v>
      </c>
      <c r="O287" s="2">
        <v>35.68</v>
      </c>
      <c r="P287" s="2" t="s">
        <v>27</v>
      </c>
      <c r="Q287" s="2" t="s">
        <v>28</v>
      </c>
      <c r="R287" s="2" t="s">
        <v>29</v>
      </c>
      <c r="S287" s="2" t="s">
        <v>75</v>
      </c>
      <c r="T287" s="2"/>
      <c r="U287" s="2" t="str">
        <f t="shared" si="14"/>
        <v>Not Required</v>
      </c>
      <c r="V287" s="2" t="s">
        <v>888</v>
      </c>
    </row>
    <row r="288" spans="1:22" hidden="1" x14ac:dyDescent="0.3">
      <c r="A288" s="2" t="s">
        <v>889</v>
      </c>
      <c r="B288" s="12">
        <f t="shared" si="12"/>
        <v>46238.583157638888</v>
      </c>
      <c r="C288" s="13">
        <v>46238.583157638888</v>
      </c>
      <c r="D288" s="2" t="s">
        <v>327</v>
      </c>
      <c r="E288" s="2" t="str">
        <f t="shared" si="13"/>
        <v>Email Available</v>
      </c>
      <c r="F288" s="2" t="s">
        <v>328</v>
      </c>
      <c r="G288" s="2" t="s">
        <v>58</v>
      </c>
      <c r="H288" s="2" t="s">
        <v>23</v>
      </c>
      <c r="I288" s="2" t="s">
        <v>59</v>
      </c>
      <c r="J288" s="2">
        <v>1</v>
      </c>
      <c r="K288" s="2" t="s">
        <v>213</v>
      </c>
      <c r="L288" s="2" t="s">
        <v>121</v>
      </c>
      <c r="M288" s="2">
        <v>2.5</v>
      </c>
      <c r="N288" s="2">
        <v>7.99</v>
      </c>
      <c r="O288" s="2">
        <v>15.48</v>
      </c>
      <c r="P288" s="2" t="s">
        <v>40</v>
      </c>
      <c r="Q288" s="2" t="s">
        <v>114</v>
      </c>
      <c r="R288" s="2" t="s">
        <v>52</v>
      </c>
      <c r="S288" s="2" t="s">
        <v>228</v>
      </c>
      <c r="T288" s="2"/>
      <c r="U288" s="2" t="str">
        <f t="shared" si="14"/>
        <v>Not Required</v>
      </c>
      <c r="V288" s="2" t="s">
        <v>890</v>
      </c>
    </row>
    <row r="289" spans="1:22" hidden="1" x14ac:dyDescent="0.3">
      <c r="A289" s="2" t="s">
        <v>891</v>
      </c>
      <c r="B289" s="12">
        <f t="shared" si="12"/>
        <v>46238.58465863426</v>
      </c>
      <c r="C289" s="13">
        <v>46238.58465863426</v>
      </c>
      <c r="D289" s="2" t="s">
        <v>892</v>
      </c>
      <c r="E289" s="2" t="str">
        <f t="shared" si="13"/>
        <v>Email Available</v>
      </c>
      <c r="F289" s="2" t="s">
        <v>893</v>
      </c>
      <c r="G289" s="2" t="s">
        <v>157</v>
      </c>
      <c r="H289" s="2" t="s">
        <v>37</v>
      </c>
      <c r="I289" s="2" t="s">
        <v>158</v>
      </c>
      <c r="J289" s="2">
        <v>1</v>
      </c>
      <c r="K289" s="2">
        <v>29.99</v>
      </c>
      <c r="L289" s="2" t="s">
        <v>208</v>
      </c>
      <c r="M289" s="2">
        <v>4.5</v>
      </c>
      <c r="N289" s="2">
        <v>7.99</v>
      </c>
      <c r="O289" s="2">
        <v>33.479999999999997</v>
      </c>
      <c r="P289" s="2" t="s">
        <v>40</v>
      </c>
      <c r="Q289" s="2" t="s">
        <v>28</v>
      </c>
      <c r="R289" s="2" t="s">
        <v>29</v>
      </c>
      <c r="S289" s="2" t="s">
        <v>75</v>
      </c>
      <c r="T289" s="2"/>
      <c r="U289" s="2" t="str">
        <f t="shared" si="14"/>
        <v>Not Required</v>
      </c>
      <c r="V289" s="2" t="s">
        <v>894</v>
      </c>
    </row>
    <row r="290" spans="1:22" hidden="1" x14ac:dyDescent="0.3">
      <c r="A290" s="2" t="s">
        <v>895</v>
      </c>
      <c r="B290" s="12">
        <f t="shared" si="12"/>
        <v>46238.579542210653</v>
      </c>
      <c r="C290" s="13">
        <v>46238.579542210653</v>
      </c>
      <c r="D290" s="2" t="s">
        <v>896</v>
      </c>
      <c r="E290" s="2" t="str">
        <f t="shared" si="13"/>
        <v>Email Available</v>
      </c>
      <c r="F290" s="2" t="s">
        <v>897</v>
      </c>
      <c r="G290" s="2" t="s">
        <v>171</v>
      </c>
      <c r="H290" s="2" t="s">
        <v>106</v>
      </c>
      <c r="I290" s="2" t="s">
        <v>172</v>
      </c>
      <c r="J290" s="2">
        <v>1</v>
      </c>
      <c r="K290" s="2">
        <v>32.99</v>
      </c>
      <c r="L290" s="2"/>
      <c r="M290" s="2">
        <v>0</v>
      </c>
      <c r="N290" s="2">
        <v>5.99</v>
      </c>
      <c r="O290" s="2">
        <v>38.979999999999997</v>
      </c>
      <c r="P290" s="2" t="s">
        <v>27</v>
      </c>
      <c r="Q290" s="2" t="s">
        <v>41</v>
      </c>
      <c r="R290" s="2" t="s">
        <v>42</v>
      </c>
      <c r="S290" s="2" t="s">
        <v>337</v>
      </c>
      <c r="T290" s="2"/>
      <c r="U290" s="2" t="str">
        <f t="shared" si="14"/>
        <v>Not Required</v>
      </c>
      <c r="V290" s="2" t="s">
        <v>898</v>
      </c>
    </row>
    <row r="291" spans="1:22" hidden="1" x14ac:dyDescent="0.3">
      <c r="A291" s="2" t="s">
        <v>899</v>
      </c>
      <c r="B291" s="12">
        <f>DATE(VALUE(RIGHT(C291,4)),MATCH(LEFT(C291,3),{"Jan","Feb","Mar","Apr","May","Jun","Jul","Aug","Sep","Oct","Nov","Dec"},0),VALUE(MID(C291,5,2)))</f>
        <v>46238</v>
      </c>
      <c r="C291" s="13" t="s">
        <v>176</v>
      </c>
      <c r="D291" s="2" t="s">
        <v>900</v>
      </c>
      <c r="E291" s="2" t="str">
        <f t="shared" si="13"/>
        <v>Email Available</v>
      </c>
      <c r="F291" s="2" t="s">
        <v>901</v>
      </c>
      <c r="G291" s="2" t="s">
        <v>65</v>
      </c>
      <c r="H291" s="2" t="s">
        <v>49</v>
      </c>
      <c r="I291" s="2" t="s">
        <v>66</v>
      </c>
      <c r="J291" s="2">
        <v>1</v>
      </c>
      <c r="K291" s="2">
        <v>14.99</v>
      </c>
      <c r="L291" s="2" t="s">
        <v>39</v>
      </c>
      <c r="M291" s="2">
        <v>0</v>
      </c>
      <c r="N291" s="2">
        <v>0</v>
      </c>
      <c r="O291" s="2">
        <v>14.99</v>
      </c>
      <c r="P291" s="2" t="s">
        <v>68</v>
      </c>
      <c r="Q291" s="2" t="s">
        <v>114</v>
      </c>
      <c r="R291" s="2" t="s">
        <v>29</v>
      </c>
      <c r="S291" s="2" t="s">
        <v>30</v>
      </c>
      <c r="T291" s="2" t="s">
        <v>248</v>
      </c>
      <c r="U291" s="2" t="str">
        <f t="shared" si="14"/>
        <v>Valid</v>
      </c>
      <c r="V291" s="2" t="s">
        <v>902</v>
      </c>
    </row>
    <row r="292" spans="1:22" hidden="1" x14ac:dyDescent="0.3">
      <c r="A292" s="2" t="s">
        <v>903</v>
      </c>
      <c r="B292" s="12">
        <f t="shared" si="12"/>
        <v>46238.587815497682</v>
      </c>
      <c r="C292" s="13">
        <v>46238.587815497682</v>
      </c>
      <c r="D292" s="2" t="s">
        <v>335</v>
      </c>
      <c r="E292" s="2" t="str">
        <f t="shared" si="13"/>
        <v>Email Available</v>
      </c>
      <c r="F292" s="2" t="s">
        <v>336</v>
      </c>
      <c r="G292" s="2" t="s">
        <v>241</v>
      </c>
      <c r="H292" s="2" t="s">
        <v>242</v>
      </c>
      <c r="I292" s="2" t="s">
        <v>243</v>
      </c>
      <c r="J292" s="2">
        <v>2</v>
      </c>
      <c r="K292" s="2">
        <v>27.99</v>
      </c>
      <c r="L292" s="2" t="s">
        <v>39</v>
      </c>
      <c r="M292" s="2">
        <v>0</v>
      </c>
      <c r="N292" s="2">
        <v>0</v>
      </c>
      <c r="O292" s="2">
        <v>55.98</v>
      </c>
      <c r="P292" s="2" t="s">
        <v>74</v>
      </c>
      <c r="Q292" s="2" t="s">
        <v>90</v>
      </c>
      <c r="R292" s="2" t="s">
        <v>29</v>
      </c>
      <c r="S292" s="2" t="s">
        <v>337</v>
      </c>
      <c r="T292" s="2"/>
      <c r="U292" s="2" t="str">
        <f t="shared" si="14"/>
        <v>Not Required</v>
      </c>
      <c r="V292" s="2" t="s">
        <v>904</v>
      </c>
    </row>
    <row r="293" spans="1:22" hidden="1" x14ac:dyDescent="0.3">
      <c r="A293" s="2" t="s">
        <v>905</v>
      </c>
      <c r="B293" s="12">
        <f t="shared" si="12"/>
        <v>46238.585326898137</v>
      </c>
      <c r="C293" s="13">
        <v>46238.585326898137</v>
      </c>
      <c r="D293" s="2" t="s">
        <v>906</v>
      </c>
      <c r="E293" s="2" t="str">
        <f t="shared" si="13"/>
        <v>Email Available</v>
      </c>
      <c r="F293" s="2" t="s">
        <v>907</v>
      </c>
      <c r="G293" s="2" t="s">
        <v>226</v>
      </c>
      <c r="H293" s="2" t="s">
        <v>23</v>
      </c>
      <c r="I293" s="2" t="s">
        <v>227</v>
      </c>
      <c r="J293" s="2">
        <v>1</v>
      </c>
      <c r="K293" s="2">
        <v>17.989999999999998</v>
      </c>
      <c r="L293" s="2" t="s">
        <v>67</v>
      </c>
      <c r="M293" s="2">
        <v>1.8</v>
      </c>
      <c r="N293" s="2">
        <v>7.99</v>
      </c>
      <c r="O293" s="2">
        <v>24.18</v>
      </c>
      <c r="P293" s="2" t="s">
        <v>74</v>
      </c>
      <c r="Q293" s="2" t="s">
        <v>114</v>
      </c>
      <c r="R293" s="2" t="s">
        <v>42</v>
      </c>
      <c r="S293" s="2" t="s">
        <v>30</v>
      </c>
      <c r="T293" s="2" t="s">
        <v>347</v>
      </c>
      <c r="U293" s="2" t="str">
        <f t="shared" si="14"/>
        <v>Valid</v>
      </c>
      <c r="V293" s="2" t="s">
        <v>908</v>
      </c>
    </row>
    <row r="294" spans="1:22" hidden="1" x14ac:dyDescent="0.3">
      <c r="A294" s="2" t="s">
        <v>909</v>
      </c>
      <c r="B294" s="12">
        <f t="shared" si="12"/>
        <v>46238.586518263888</v>
      </c>
      <c r="C294" s="13">
        <v>46238.586518263888</v>
      </c>
      <c r="D294" s="2" t="s">
        <v>565</v>
      </c>
      <c r="E294" s="2" t="str">
        <f t="shared" si="13"/>
        <v>Email Available</v>
      </c>
      <c r="F294" s="2" t="s">
        <v>566</v>
      </c>
      <c r="G294" s="2" t="s">
        <v>133</v>
      </c>
      <c r="H294" s="2" t="s">
        <v>106</v>
      </c>
      <c r="I294" s="2" t="s">
        <v>134</v>
      </c>
      <c r="J294" s="2">
        <v>2</v>
      </c>
      <c r="K294" s="2">
        <v>16.989999999999998</v>
      </c>
      <c r="L294" s="2" t="s">
        <v>25</v>
      </c>
      <c r="M294" s="2">
        <v>6.8</v>
      </c>
      <c r="N294" s="2">
        <v>7.99</v>
      </c>
      <c r="O294" s="2">
        <v>35.17</v>
      </c>
      <c r="P294" s="2" t="s">
        <v>51</v>
      </c>
      <c r="Q294" s="2" t="s">
        <v>90</v>
      </c>
      <c r="R294" s="2" t="s">
        <v>42</v>
      </c>
      <c r="S294" s="2" t="s">
        <v>43</v>
      </c>
      <c r="T294" s="2"/>
      <c r="U294" s="2" t="str">
        <f t="shared" si="14"/>
        <v>Not Required</v>
      </c>
      <c r="V294" s="2" t="s">
        <v>910</v>
      </c>
    </row>
    <row r="295" spans="1:22" hidden="1" x14ac:dyDescent="0.3">
      <c r="A295" s="2" t="s">
        <v>911</v>
      </c>
      <c r="B295" s="12">
        <f t="shared" si="12"/>
        <v>46238.585613437499</v>
      </c>
      <c r="C295" s="13">
        <v>46238.585613437499</v>
      </c>
      <c r="D295" s="2" t="s">
        <v>912</v>
      </c>
      <c r="E295" s="2" t="str">
        <f t="shared" si="13"/>
        <v>Email Available</v>
      </c>
      <c r="F295" s="2" t="s">
        <v>595</v>
      </c>
      <c r="G295" s="2" t="s">
        <v>187</v>
      </c>
      <c r="H295" s="2" t="s">
        <v>37</v>
      </c>
      <c r="I295" s="2" t="s">
        <v>188</v>
      </c>
      <c r="J295" s="2">
        <v>2</v>
      </c>
      <c r="K295" s="2">
        <v>11.99</v>
      </c>
      <c r="L295" s="2" t="s">
        <v>121</v>
      </c>
      <c r="M295" s="2">
        <v>6</v>
      </c>
      <c r="N295" s="2">
        <v>4.99</v>
      </c>
      <c r="O295" s="2">
        <v>22.97</v>
      </c>
      <c r="P295" s="2" t="s">
        <v>27</v>
      </c>
      <c r="Q295" s="2" t="s">
        <v>41</v>
      </c>
      <c r="R295" s="2" t="s">
        <v>99</v>
      </c>
      <c r="S295" s="2" t="s">
        <v>30</v>
      </c>
      <c r="T295" s="2" t="s">
        <v>115</v>
      </c>
      <c r="U295" s="2" t="str">
        <f t="shared" si="14"/>
        <v>Valid</v>
      </c>
      <c r="V295" s="2" t="s">
        <v>913</v>
      </c>
    </row>
    <row r="296" spans="1:22" hidden="1" x14ac:dyDescent="0.3">
      <c r="A296" s="2" t="s">
        <v>914</v>
      </c>
      <c r="B296" s="12">
        <f t="shared" si="12"/>
        <v>46238.580635023151</v>
      </c>
      <c r="C296" s="13">
        <v>46238.580635023151</v>
      </c>
      <c r="D296" s="2" t="s">
        <v>915</v>
      </c>
      <c r="E296" s="2" t="str">
        <f t="shared" si="13"/>
        <v>Email Available</v>
      </c>
      <c r="F296" s="2" t="s">
        <v>916</v>
      </c>
      <c r="G296" s="2" t="s">
        <v>58</v>
      </c>
      <c r="H296" s="2" t="s">
        <v>23</v>
      </c>
      <c r="I296" s="2" t="s">
        <v>59</v>
      </c>
      <c r="J296" s="2">
        <v>1</v>
      </c>
      <c r="K296" s="2">
        <v>9.99</v>
      </c>
      <c r="L296" s="2"/>
      <c r="M296" s="2">
        <v>0</v>
      </c>
      <c r="N296" s="2">
        <v>4.99</v>
      </c>
      <c r="O296" s="2">
        <v>14.98</v>
      </c>
      <c r="P296" s="2" t="s">
        <v>40</v>
      </c>
      <c r="Q296" s="2" t="s">
        <v>90</v>
      </c>
      <c r="R296" s="2" t="s">
        <v>52</v>
      </c>
      <c r="S296" s="2" t="s">
        <v>30</v>
      </c>
      <c r="T296" s="2" t="s">
        <v>351</v>
      </c>
      <c r="U296" s="2" t="str">
        <f t="shared" si="14"/>
        <v>Valid</v>
      </c>
      <c r="V296" s="2" t="s">
        <v>917</v>
      </c>
    </row>
    <row r="297" spans="1:22" x14ac:dyDescent="0.3">
      <c r="A297" s="2" t="s">
        <v>918</v>
      </c>
      <c r="B297" s="12">
        <f t="shared" si="12"/>
        <v>46238.579169074073</v>
      </c>
      <c r="C297" s="13">
        <v>46238.579169074073</v>
      </c>
      <c r="D297" s="2" t="s">
        <v>919</v>
      </c>
      <c r="E297" s="2" t="str">
        <f t="shared" si="13"/>
        <v>Missing Email</v>
      </c>
      <c r="F297" s="2"/>
      <c r="G297" s="2" t="s">
        <v>133</v>
      </c>
      <c r="H297" s="2" t="s">
        <v>106</v>
      </c>
      <c r="I297" s="2" t="s">
        <v>134</v>
      </c>
      <c r="J297" s="2">
        <v>1</v>
      </c>
      <c r="K297" s="2">
        <v>16.989999999999998</v>
      </c>
      <c r="L297" s="2"/>
      <c r="M297" s="2">
        <v>0</v>
      </c>
      <c r="N297" s="2">
        <v>4.99</v>
      </c>
      <c r="O297" s="2">
        <v>21.98</v>
      </c>
      <c r="P297" s="2" t="s">
        <v>40</v>
      </c>
      <c r="Q297" s="2" t="s">
        <v>41</v>
      </c>
      <c r="R297" s="2" t="s">
        <v>52</v>
      </c>
      <c r="S297" s="2" t="s">
        <v>75</v>
      </c>
      <c r="T297" s="2"/>
      <c r="U297" s="2" t="str">
        <f t="shared" si="14"/>
        <v>Not Required</v>
      </c>
      <c r="V297" s="2" t="s">
        <v>920</v>
      </c>
    </row>
    <row r="298" spans="1:22" hidden="1" x14ac:dyDescent="0.3">
      <c r="A298" s="2" t="s">
        <v>921</v>
      </c>
      <c r="B298" s="12">
        <f t="shared" si="12"/>
        <v>46238</v>
      </c>
      <c r="C298" s="13" t="s">
        <v>922</v>
      </c>
      <c r="D298" s="2" t="s">
        <v>923</v>
      </c>
      <c r="E298" s="2" t="str">
        <f t="shared" si="13"/>
        <v>Email Available</v>
      </c>
      <c r="F298" s="2" t="s">
        <v>714</v>
      </c>
      <c r="G298" s="2" t="s">
        <v>924</v>
      </c>
      <c r="H298" s="2" t="s">
        <v>88</v>
      </c>
      <c r="I298" s="2" t="s">
        <v>89</v>
      </c>
      <c r="J298" s="2">
        <v>1</v>
      </c>
      <c r="K298" s="2">
        <v>54.99</v>
      </c>
      <c r="L298" s="2" t="s">
        <v>121</v>
      </c>
      <c r="M298" s="2">
        <v>13.75</v>
      </c>
      <c r="N298" s="2">
        <v>7.99</v>
      </c>
      <c r="O298" s="2">
        <v>49.23</v>
      </c>
      <c r="P298" s="2" t="s">
        <v>27</v>
      </c>
      <c r="Q298" s="2" t="s">
        <v>28</v>
      </c>
      <c r="R298" s="2" t="s">
        <v>52</v>
      </c>
      <c r="S298" s="2" t="s">
        <v>337</v>
      </c>
      <c r="T298" s="2"/>
      <c r="U298" s="2" t="str">
        <f t="shared" si="14"/>
        <v>Not Required</v>
      </c>
      <c r="V298" s="2" t="s">
        <v>925</v>
      </c>
    </row>
    <row r="299" spans="1:22" hidden="1" x14ac:dyDescent="0.3">
      <c r="A299" s="2" t="s">
        <v>926</v>
      </c>
      <c r="B299" s="12">
        <f t="shared" si="12"/>
        <v>46238.588900717587</v>
      </c>
      <c r="C299" s="13">
        <v>46238.588900717587</v>
      </c>
      <c r="D299" s="2" t="s">
        <v>927</v>
      </c>
      <c r="E299" s="2" t="str">
        <f t="shared" si="13"/>
        <v>Email Available</v>
      </c>
      <c r="F299" s="2" t="s">
        <v>928</v>
      </c>
      <c r="G299" s="2" t="s">
        <v>151</v>
      </c>
      <c r="H299" s="2" t="s">
        <v>49</v>
      </c>
      <c r="I299" s="2" t="s">
        <v>152</v>
      </c>
      <c r="J299" s="2">
        <v>1</v>
      </c>
      <c r="K299" s="2">
        <v>34.99</v>
      </c>
      <c r="L299" s="2" t="s">
        <v>39</v>
      </c>
      <c r="M299" s="2">
        <v>0</v>
      </c>
      <c r="N299" s="2">
        <v>0</v>
      </c>
      <c r="O299" s="2">
        <v>34.99</v>
      </c>
      <c r="P299" s="2" t="s">
        <v>51</v>
      </c>
      <c r="Q299" s="2" t="s">
        <v>41</v>
      </c>
      <c r="R299" s="2" t="s">
        <v>52</v>
      </c>
      <c r="S299" s="2" t="s">
        <v>30</v>
      </c>
      <c r="T299" s="2" t="s">
        <v>347</v>
      </c>
      <c r="U299" s="2" t="str">
        <f t="shared" si="14"/>
        <v>Valid</v>
      </c>
      <c r="V299" s="2" t="s">
        <v>929</v>
      </c>
    </row>
    <row r="300" spans="1:22" hidden="1" x14ac:dyDescent="0.3">
      <c r="A300" s="2" t="s">
        <v>930</v>
      </c>
      <c r="B300" s="12">
        <f t="shared" si="12"/>
        <v>46238.586389062497</v>
      </c>
      <c r="C300" s="13">
        <v>46238.586389062497</v>
      </c>
      <c r="D300" s="2" t="s">
        <v>149</v>
      </c>
      <c r="E300" s="2" t="str">
        <f t="shared" si="13"/>
        <v>Email Available</v>
      </c>
      <c r="F300" s="2" t="s">
        <v>150</v>
      </c>
      <c r="G300" s="2" t="s">
        <v>206</v>
      </c>
      <c r="H300" s="2" t="s">
        <v>196</v>
      </c>
      <c r="I300" s="2" t="s">
        <v>207</v>
      </c>
      <c r="J300" s="2">
        <v>1</v>
      </c>
      <c r="K300" s="2">
        <v>24.99</v>
      </c>
      <c r="L300" s="2" t="s">
        <v>25</v>
      </c>
      <c r="M300" s="2" t="s">
        <v>931</v>
      </c>
      <c r="N300" s="2">
        <v>5.99</v>
      </c>
      <c r="O300" s="2">
        <v>25.98</v>
      </c>
      <c r="P300" s="2" t="s">
        <v>74</v>
      </c>
      <c r="Q300" s="2" t="s">
        <v>114</v>
      </c>
      <c r="R300" s="2" t="s">
        <v>52</v>
      </c>
      <c r="S300" s="2" t="s">
        <v>108</v>
      </c>
      <c r="T300" s="2"/>
      <c r="U300" s="2" t="str">
        <f t="shared" si="14"/>
        <v>Not Required</v>
      </c>
      <c r="V300" s="2" t="s">
        <v>932</v>
      </c>
    </row>
    <row r="301" spans="1:22" hidden="1" x14ac:dyDescent="0.3">
      <c r="A301" s="2" t="s">
        <v>933</v>
      </c>
      <c r="B301" s="12">
        <f t="shared" si="12"/>
        <v>46238.585412210647</v>
      </c>
      <c r="C301" s="13">
        <v>46238.585412210647</v>
      </c>
      <c r="D301" s="2" t="s">
        <v>934</v>
      </c>
      <c r="E301" s="2" t="str">
        <f t="shared" si="13"/>
        <v>Email Available</v>
      </c>
      <c r="F301" s="2" t="s">
        <v>935</v>
      </c>
      <c r="G301" s="2" t="s">
        <v>80</v>
      </c>
      <c r="H301" s="2" t="s">
        <v>81</v>
      </c>
      <c r="I301" s="2" t="s">
        <v>82</v>
      </c>
      <c r="J301" s="2">
        <v>1</v>
      </c>
      <c r="K301" s="2">
        <v>89.99</v>
      </c>
      <c r="L301" s="2" t="s">
        <v>121</v>
      </c>
      <c r="M301" s="2">
        <v>22.5</v>
      </c>
      <c r="N301" s="2">
        <v>0</v>
      </c>
      <c r="O301" s="2">
        <v>67.489999999999995</v>
      </c>
      <c r="P301" s="2" t="s">
        <v>40</v>
      </c>
      <c r="Q301" s="2" t="s">
        <v>90</v>
      </c>
      <c r="R301" s="2" t="s">
        <v>52</v>
      </c>
      <c r="S301" s="2" t="s">
        <v>30</v>
      </c>
      <c r="T301" s="2" t="s">
        <v>347</v>
      </c>
      <c r="U301" s="2" t="str">
        <f t="shared" si="14"/>
        <v>Valid</v>
      </c>
      <c r="V301" s="2" t="s">
        <v>936</v>
      </c>
    </row>
    <row r="302" spans="1:22" hidden="1" x14ac:dyDescent="0.3">
      <c r="A302" s="2" t="s">
        <v>937</v>
      </c>
      <c r="B302" s="12">
        <f t="shared" si="12"/>
        <v>46120</v>
      </c>
      <c r="C302" s="13" t="s">
        <v>142</v>
      </c>
      <c r="D302" s="2" t="s">
        <v>309</v>
      </c>
      <c r="E302" s="2" t="str">
        <f t="shared" si="13"/>
        <v>Email Available</v>
      </c>
      <c r="F302" s="2" t="s">
        <v>310</v>
      </c>
      <c r="G302" s="2" t="s">
        <v>284</v>
      </c>
      <c r="H302" s="2" t="s">
        <v>23</v>
      </c>
      <c r="I302" s="2" t="s">
        <v>285</v>
      </c>
      <c r="J302" s="2">
        <v>2</v>
      </c>
      <c r="K302" s="2">
        <v>24.99</v>
      </c>
      <c r="L302" s="2"/>
      <c r="M302" s="2">
        <v>0</v>
      </c>
      <c r="N302" s="2">
        <v>4.99</v>
      </c>
      <c r="O302" s="2" t="s">
        <v>938</v>
      </c>
      <c r="P302" s="2" t="s">
        <v>40</v>
      </c>
      <c r="Q302" s="2" t="s">
        <v>28</v>
      </c>
      <c r="R302" s="2" t="s">
        <v>52</v>
      </c>
      <c r="S302" s="2" t="s">
        <v>30</v>
      </c>
      <c r="T302" s="2" t="s">
        <v>939</v>
      </c>
      <c r="U302" s="2" t="str">
        <f t="shared" si="14"/>
        <v>Valid</v>
      </c>
      <c r="V302" s="2" t="s">
        <v>940</v>
      </c>
    </row>
    <row r="303" spans="1:22" hidden="1" x14ac:dyDescent="0.3">
      <c r="A303" s="2" t="s">
        <v>941</v>
      </c>
      <c r="B303" s="12">
        <f t="shared" si="12"/>
        <v>46238.588411423611</v>
      </c>
      <c r="C303" s="13">
        <v>46238.588411423611</v>
      </c>
      <c r="D303" s="2" t="s">
        <v>502</v>
      </c>
      <c r="E303" s="2" t="str">
        <f t="shared" si="13"/>
        <v>Email Available</v>
      </c>
      <c r="F303" s="2" t="s">
        <v>503</v>
      </c>
      <c r="G303" s="2" t="s">
        <v>284</v>
      </c>
      <c r="H303" s="2" t="s">
        <v>23</v>
      </c>
      <c r="I303" s="2" t="s">
        <v>285</v>
      </c>
      <c r="J303" s="2">
        <v>1</v>
      </c>
      <c r="K303" s="2">
        <v>24.99</v>
      </c>
      <c r="L303" s="2"/>
      <c r="M303" s="2">
        <v>0</v>
      </c>
      <c r="N303" s="2">
        <v>5.99</v>
      </c>
      <c r="O303" s="2">
        <v>30.98</v>
      </c>
      <c r="P303" s="2" t="s">
        <v>27</v>
      </c>
      <c r="Q303" s="2" t="s">
        <v>90</v>
      </c>
      <c r="R303" s="2" t="s">
        <v>52</v>
      </c>
      <c r="S303" s="2" t="s">
        <v>108</v>
      </c>
      <c r="T303" s="2"/>
      <c r="U303" s="2" t="str">
        <f t="shared" si="14"/>
        <v>Not Required</v>
      </c>
      <c r="V303" s="2" t="s">
        <v>942</v>
      </c>
    </row>
    <row r="304" spans="1:22" hidden="1" x14ac:dyDescent="0.3">
      <c r="A304" s="2" t="s">
        <v>943</v>
      </c>
      <c r="B304" s="12">
        <f>DATE(VALUE(RIGHT(C304,4)),MATCH(LEFT(C304,3),{"Jan","Feb","Mar","Apr","May","Jun","Jul","Aug","Sep","Oct","Nov","Dec"},0),VALUE(MID(C304,5,2)))</f>
        <v>46238</v>
      </c>
      <c r="C304" s="13" t="s">
        <v>176</v>
      </c>
      <c r="D304" s="2" t="s">
        <v>476</v>
      </c>
      <c r="E304" s="2" t="str">
        <f t="shared" si="13"/>
        <v>Email Available</v>
      </c>
      <c r="F304" s="2" t="s">
        <v>477</v>
      </c>
      <c r="G304" s="2" t="s">
        <v>241</v>
      </c>
      <c r="H304" s="2" t="s">
        <v>242</v>
      </c>
      <c r="I304" s="2" t="s">
        <v>243</v>
      </c>
      <c r="J304" s="2">
        <v>1</v>
      </c>
      <c r="K304" s="2">
        <v>27.99</v>
      </c>
      <c r="L304" s="2"/>
      <c r="M304" s="2">
        <v>0</v>
      </c>
      <c r="N304" s="2">
        <v>4.99</v>
      </c>
      <c r="O304" s="2">
        <v>32.979999999999997</v>
      </c>
      <c r="P304" s="2" t="s">
        <v>74</v>
      </c>
      <c r="Q304" s="2" t="s">
        <v>90</v>
      </c>
      <c r="R304" s="2" t="s">
        <v>42</v>
      </c>
      <c r="S304" s="2" t="s">
        <v>228</v>
      </c>
      <c r="T304" s="2"/>
      <c r="U304" s="2" t="str">
        <f t="shared" si="14"/>
        <v>Not Required</v>
      </c>
      <c r="V304" s="2" t="s">
        <v>944</v>
      </c>
    </row>
    <row r="305" spans="1:22" hidden="1" x14ac:dyDescent="0.3">
      <c r="A305" s="2" t="s">
        <v>945</v>
      </c>
      <c r="B305" s="12">
        <f t="shared" si="12"/>
        <v>46120</v>
      </c>
      <c r="C305" s="13" t="s">
        <v>142</v>
      </c>
      <c r="D305" s="2" t="s">
        <v>177</v>
      </c>
      <c r="E305" s="2" t="str">
        <f t="shared" si="13"/>
        <v>Email Available</v>
      </c>
      <c r="F305" s="2" t="s">
        <v>178</v>
      </c>
      <c r="G305" s="2" t="s">
        <v>48</v>
      </c>
      <c r="H305" s="2" t="s">
        <v>49</v>
      </c>
      <c r="I305" s="2" t="s">
        <v>50</v>
      </c>
      <c r="J305" s="2">
        <v>1</v>
      </c>
      <c r="K305" s="2">
        <v>39.99</v>
      </c>
      <c r="L305" s="2"/>
      <c r="M305" s="2">
        <v>0</v>
      </c>
      <c r="N305" s="2">
        <v>4.99</v>
      </c>
      <c r="O305" s="2">
        <v>44.98</v>
      </c>
      <c r="P305" s="2" t="s">
        <v>27</v>
      </c>
      <c r="Q305" s="2" t="s">
        <v>28</v>
      </c>
      <c r="R305" s="2" t="s">
        <v>52</v>
      </c>
      <c r="S305" s="2" t="s">
        <v>30</v>
      </c>
      <c r="T305" s="2" t="s">
        <v>115</v>
      </c>
      <c r="U305" s="2" t="str">
        <f t="shared" si="14"/>
        <v>Valid</v>
      </c>
      <c r="V305" s="2" t="s">
        <v>946</v>
      </c>
    </row>
    <row r="306" spans="1:22" hidden="1" x14ac:dyDescent="0.3">
      <c r="A306" s="2" t="s">
        <v>947</v>
      </c>
      <c r="B306" s="12">
        <f t="shared" si="12"/>
        <v>46238.579126759258</v>
      </c>
      <c r="C306" s="13">
        <v>46238.579126759258</v>
      </c>
      <c r="D306" s="2" t="s">
        <v>948</v>
      </c>
      <c r="E306" s="2" t="str">
        <f t="shared" si="13"/>
        <v>Email Available</v>
      </c>
      <c r="F306" s="2" t="s">
        <v>949</v>
      </c>
      <c r="G306" s="2" t="s">
        <v>368</v>
      </c>
      <c r="H306" s="2" t="s">
        <v>88</v>
      </c>
      <c r="I306" s="2" t="s">
        <v>369</v>
      </c>
      <c r="J306" s="2">
        <v>1</v>
      </c>
      <c r="K306" s="2">
        <v>54.99</v>
      </c>
      <c r="L306" s="2" t="s">
        <v>67</v>
      </c>
      <c r="M306" s="2">
        <v>5.5</v>
      </c>
      <c r="N306" s="2">
        <v>5.99</v>
      </c>
      <c r="O306" s="2">
        <v>55.48</v>
      </c>
      <c r="P306" s="2" t="s">
        <v>68</v>
      </c>
      <c r="Q306" s="2" t="s">
        <v>28</v>
      </c>
      <c r="R306" s="2" t="s">
        <v>52</v>
      </c>
      <c r="S306" s="2" t="s">
        <v>30</v>
      </c>
      <c r="T306" s="2" t="s">
        <v>351</v>
      </c>
      <c r="U306" s="2" t="str">
        <f t="shared" si="14"/>
        <v>Valid</v>
      </c>
      <c r="V306" s="2" t="s">
        <v>950</v>
      </c>
    </row>
    <row r="307" spans="1:22" hidden="1" x14ac:dyDescent="0.3">
      <c r="A307" s="2" t="s">
        <v>951</v>
      </c>
      <c r="B307" s="12">
        <f t="shared" si="12"/>
        <v>46238.587388738422</v>
      </c>
      <c r="C307" s="13">
        <v>46238.587388738422</v>
      </c>
      <c r="D307" s="2" t="s">
        <v>952</v>
      </c>
      <c r="E307" s="2" t="str">
        <f t="shared" si="13"/>
        <v>Email Available</v>
      </c>
      <c r="F307" s="2" t="s">
        <v>953</v>
      </c>
      <c r="G307" s="2" t="s">
        <v>105</v>
      </c>
      <c r="H307" s="2" t="s">
        <v>106</v>
      </c>
      <c r="I307" s="2" t="s">
        <v>107</v>
      </c>
      <c r="J307" s="2">
        <v>1</v>
      </c>
      <c r="K307" s="2">
        <v>19.989999999999998</v>
      </c>
      <c r="L307" s="2"/>
      <c r="M307" s="2">
        <v>0</v>
      </c>
      <c r="N307" s="2">
        <v>4.99</v>
      </c>
      <c r="O307" s="2" t="s">
        <v>954</v>
      </c>
      <c r="P307" s="2" t="s">
        <v>51</v>
      </c>
      <c r="Q307" s="2" t="s">
        <v>28</v>
      </c>
      <c r="R307" s="2" t="s">
        <v>52</v>
      </c>
      <c r="S307" s="2" t="s">
        <v>30</v>
      </c>
      <c r="T307" s="2" t="s">
        <v>53</v>
      </c>
      <c r="U307" s="2" t="str">
        <f t="shared" si="14"/>
        <v>Valid</v>
      </c>
      <c r="V307" s="2" t="s">
        <v>955</v>
      </c>
    </row>
    <row r="308" spans="1:22" hidden="1" x14ac:dyDescent="0.3">
      <c r="A308" s="2" t="s">
        <v>956</v>
      </c>
      <c r="B308" s="12">
        <f t="shared" si="12"/>
        <v>46238.586749016213</v>
      </c>
      <c r="C308" s="13">
        <v>46238.586749016213</v>
      </c>
      <c r="D308" s="2" t="s">
        <v>466</v>
      </c>
      <c r="E308" s="2" t="str">
        <f t="shared" si="13"/>
        <v>Email Available</v>
      </c>
      <c r="F308" s="2" t="s">
        <v>467</v>
      </c>
      <c r="G308" s="2" t="s">
        <v>195</v>
      </c>
      <c r="H308" s="2" t="s">
        <v>196</v>
      </c>
      <c r="I308" s="2" t="s">
        <v>197</v>
      </c>
      <c r="J308" s="2">
        <v>1</v>
      </c>
      <c r="K308" s="2" t="s">
        <v>957</v>
      </c>
      <c r="L308" s="2" t="s">
        <v>25</v>
      </c>
      <c r="M308" s="2">
        <v>2.7</v>
      </c>
      <c r="N308" s="2">
        <v>4.99</v>
      </c>
      <c r="O308" s="2">
        <v>15.78</v>
      </c>
      <c r="P308" s="2" t="s">
        <v>68</v>
      </c>
      <c r="Q308" s="2" t="s">
        <v>28</v>
      </c>
      <c r="R308" s="2" t="s">
        <v>52</v>
      </c>
      <c r="S308" s="2" t="s">
        <v>228</v>
      </c>
      <c r="T308" s="2"/>
      <c r="U308" s="2" t="str">
        <f t="shared" si="14"/>
        <v>Not Required</v>
      </c>
      <c r="V308" s="2" t="s">
        <v>958</v>
      </c>
    </row>
    <row r="309" spans="1:22" hidden="1" x14ac:dyDescent="0.3">
      <c r="A309" s="2" t="s">
        <v>959</v>
      </c>
      <c r="B309" s="12">
        <f t="shared" si="12"/>
        <v>46238.58320228009</v>
      </c>
      <c r="C309" s="13">
        <v>46238.58320228009</v>
      </c>
      <c r="D309" s="2" t="s">
        <v>319</v>
      </c>
      <c r="E309" s="2" t="str">
        <f t="shared" si="13"/>
        <v>Email Available</v>
      </c>
      <c r="F309" s="2" t="s">
        <v>320</v>
      </c>
      <c r="G309" s="2" t="s">
        <v>171</v>
      </c>
      <c r="H309" s="2" t="s">
        <v>106</v>
      </c>
      <c r="I309" s="2" t="s">
        <v>172</v>
      </c>
      <c r="J309" s="2">
        <v>1</v>
      </c>
      <c r="K309" s="2">
        <v>32.99</v>
      </c>
      <c r="L309" s="2" t="s">
        <v>121</v>
      </c>
      <c r="M309" s="2">
        <v>8.25</v>
      </c>
      <c r="N309" s="2">
        <v>5.99</v>
      </c>
      <c r="O309" s="2">
        <v>30.73</v>
      </c>
      <c r="P309" s="2" t="s">
        <v>74</v>
      </c>
      <c r="Q309" s="2" t="s">
        <v>28</v>
      </c>
      <c r="R309" s="2" t="s">
        <v>52</v>
      </c>
      <c r="S309" s="2" t="s">
        <v>75</v>
      </c>
      <c r="T309" s="2"/>
      <c r="U309" s="2" t="str">
        <f t="shared" si="14"/>
        <v>Not Required</v>
      </c>
      <c r="V309" s="2" t="s">
        <v>960</v>
      </c>
    </row>
    <row r="310" spans="1:22" hidden="1" x14ac:dyDescent="0.3">
      <c r="A310" s="2" t="s">
        <v>961</v>
      </c>
      <c r="B310" s="12">
        <f t="shared" si="12"/>
        <v>46238.588994108803</v>
      </c>
      <c r="C310" s="13">
        <v>46238.588994108803</v>
      </c>
      <c r="D310" s="2" t="s">
        <v>815</v>
      </c>
      <c r="E310" s="2" t="str">
        <f t="shared" si="13"/>
        <v>Email Available</v>
      </c>
      <c r="F310" s="2" t="s">
        <v>816</v>
      </c>
      <c r="G310" s="2" t="s">
        <v>368</v>
      </c>
      <c r="H310" s="2" t="s">
        <v>88</v>
      </c>
      <c r="I310" s="2" t="s">
        <v>369</v>
      </c>
      <c r="J310" s="2">
        <v>2</v>
      </c>
      <c r="K310" s="2">
        <v>54.99</v>
      </c>
      <c r="L310" s="2" t="s">
        <v>39</v>
      </c>
      <c r="M310" s="2">
        <v>0</v>
      </c>
      <c r="N310" s="2">
        <v>0</v>
      </c>
      <c r="O310" s="2">
        <v>109.98</v>
      </c>
      <c r="P310" s="2" t="s">
        <v>51</v>
      </c>
      <c r="Q310" s="2" t="s">
        <v>28</v>
      </c>
      <c r="R310" s="2" t="s">
        <v>52</v>
      </c>
      <c r="S310" s="2" t="s">
        <v>30</v>
      </c>
      <c r="T310" s="2" t="s">
        <v>60</v>
      </c>
      <c r="U310" s="2" t="str">
        <f t="shared" si="14"/>
        <v>Valid</v>
      </c>
      <c r="V310" s="2" t="s">
        <v>962</v>
      </c>
    </row>
    <row r="311" spans="1:22" hidden="1" x14ac:dyDescent="0.3">
      <c r="A311" s="2" t="s">
        <v>963</v>
      </c>
      <c r="B311" s="12">
        <f t="shared" si="12"/>
        <v>46120</v>
      </c>
      <c r="C311" s="13" t="s">
        <v>142</v>
      </c>
      <c r="D311" s="2" t="s">
        <v>964</v>
      </c>
      <c r="E311" s="2" t="str">
        <f t="shared" si="13"/>
        <v>Email Available</v>
      </c>
      <c r="F311" s="2" t="s">
        <v>965</v>
      </c>
      <c r="G311" s="2" t="s">
        <v>226</v>
      </c>
      <c r="H311" s="2" t="s">
        <v>23</v>
      </c>
      <c r="I311" s="2" t="s">
        <v>227</v>
      </c>
      <c r="J311" s="2">
        <v>2</v>
      </c>
      <c r="K311" s="2">
        <v>17.989999999999998</v>
      </c>
      <c r="L311" s="2"/>
      <c r="M311" s="2">
        <v>0</v>
      </c>
      <c r="N311" s="2">
        <v>7.99</v>
      </c>
      <c r="O311" s="2">
        <v>43.97</v>
      </c>
      <c r="P311" s="2" t="s">
        <v>74</v>
      </c>
      <c r="Q311" s="2" t="s">
        <v>114</v>
      </c>
      <c r="R311" s="2" t="s">
        <v>52</v>
      </c>
      <c r="S311" s="2" t="s">
        <v>30</v>
      </c>
      <c r="T311" s="2" t="s">
        <v>966</v>
      </c>
      <c r="U311" s="2" t="str">
        <f t="shared" si="14"/>
        <v>Valid</v>
      </c>
      <c r="V311" s="2" t="s">
        <v>967</v>
      </c>
    </row>
    <row r="312" spans="1:22" hidden="1" x14ac:dyDescent="0.3">
      <c r="A312" s="2" t="s">
        <v>968</v>
      </c>
      <c r="B312" s="12">
        <f t="shared" si="12"/>
        <v>46238.585456655092</v>
      </c>
      <c r="C312" s="13">
        <v>46238.585456655092</v>
      </c>
      <c r="D312" s="2" t="s">
        <v>685</v>
      </c>
      <c r="E312" s="2" t="str">
        <f t="shared" si="13"/>
        <v>Email Available</v>
      </c>
      <c r="F312" s="2" t="s">
        <v>485</v>
      </c>
      <c r="G312" s="2" t="s">
        <v>241</v>
      </c>
      <c r="H312" s="2" t="s">
        <v>242</v>
      </c>
      <c r="I312" s="2" t="s">
        <v>243</v>
      </c>
      <c r="J312" s="2">
        <v>2</v>
      </c>
      <c r="K312" s="2">
        <v>27.99</v>
      </c>
      <c r="L312" s="2"/>
      <c r="M312" s="2">
        <v>0</v>
      </c>
      <c r="N312" s="2">
        <v>4.99</v>
      </c>
      <c r="O312" s="2">
        <v>60.97</v>
      </c>
      <c r="P312" s="2" t="s">
        <v>40</v>
      </c>
      <c r="Q312" s="2" t="s">
        <v>28</v>
      </c>
      <c r="R312" s="2" t="s">
        <v>29</v>
      </c>
      <c r="S312" s="2" t="s">
        <v>30</v>
      </c>
      <c r="T312" s="2" t="s">
        <v>115</v>
      </c>
      <c r="U312" s="2" t="str">
        <f t="shared" si="14"/>
        <v>Valid</v>
      </c>
      <c r="V312" s="2" t="s">
        <v>969</v>
      </c>
    </row>
    <row r="313" spans="1:22" hidden="1" x14ac:dyDescent="0.3">
      <c r="A313" s="2" t="s">
        <v>970</v>
      </c>
      <c r="B313" s="12">
        <f t="shared" si="12"/>
        <v>46238</v>
      </c>
      <c r="C313" s="13" t="s">
        <v>148</v>
      </c>
      <c r="D313" s="2" t="s">
        <v>971</v>
      </c>
      <c r="E313" s="2" t="str">
        <f t="shared" si="13"/>
        <v>Email Available</v>
      </c>
      <c r="F313" s="2" t="s">
        <v>972</v>
      </c>
      <c r="G313" s="2" t="s">
        <v>187</v>
      </c>
      <c r="H313" s="2" t="s">
        <v>37</v>
      </c>
      <c r="I313" s="2" t="s">
        <v>188</v>
      </c>
      <c r="J313" s="2">
        <v>2</v>
      </c>
      <c r="K313" s="2">
        <v>11.99</v>
      </c>
      <c r="L313" s="2" t="s">
        <v>208</v>
      </c>
      <c r="M313" s="2">
        <v>3.6</v>
      </c>
      <c r="N313" s="2">
        <v>7.99</v>
      </c>
      <c r="O313" s="2">
        <v>28.37</v>
      </c>
      <c r="P313" s="2" t="s">
        <v>51</v>
      </c>
      <c r="Q313" s="2" t="s">
        <v>28</v>
      </c>
      <c r="R313" s="2" t="s">
        <v>99</v>
      </c>
      <c r="S313" s="2" t="s">
        <v>337</v>
      </c>
      <c r="T313" s="2"/>
      <c r="U313" s="2" t="str">
        <f t="shared" si="14"/>
        <v>Not Required</v>
      </c>
      <c r="V313" s="2" t="s">
        <v>973</v>
      </c>
    </row>
    <row r="314" spans="1:22" hidden="1" x14ac:dyDescent="0.3">
      <c r="A314" s="2" t="s">
        <v>974</v>
      </c>
      <c r="B314" s="12">
        <f t="shared" si="12"/>
        <v>46238.584915277781</v>
      </c>
      <c r="C314" s="13">
        <v>46238.584915277781</v>
      </c>
      <c r="D314" s="2" t="s">
        <v>975</v>
      </c>
      <c r="E314" s="2" t="str">
        <f t="shared" si="13"/>
        <v>Email Available</v>
      </c>
      <c r="F314" s="2" t="s">
        <v>976</v>
      </c>
      <c r="G314" s="2" t="s">
        <v>284</v>
      </c>
      <c r="H314" s="2" t="s">
        <v>23</v>
      </c>
      <c r="I314" s="2" t="s">
        <v>285</v>
      </c>
      <c r="J314" s="2">
        <v>1</v>
      </c>
      <c r="K314" s="2">
        <v>24.99</v>
      </c>
      <c r="L314" s="2" t="s">
        <v>121</v>
      </c>
      <c r="M314" s="2">
        <v>6.25</v>
      </c>
      <c r="N314" s="2">
        <v>7.99</v>
      </c>
      <c r="O314" s="2">
        <v>26.73</v>
      </c>
      <c r="P314" s="2" t="s">
        <v>74</v>
      </c>
      <c r="Q314" s="2" t="s">
        <v>90</v>
      </c>
      <c r="R314" s="2" t="s">
        <v>99</v>
      </c>
      <c r="S314" s="2" t="s">
        <v>108</v>
      </c>
      <c r="T314" s="2"/>
      <c r="U314" s="2" t="str">
        <f t="shared" si="14"/>
        <v>Not Required</v>
      </c>
      <c r="V314" s="2" t="s">
        <v>977</v>
      </c>
    </row>
    <row r="315" spans="1:22" hidden="1" x14ac:dyDescent="0.3">
      <c r="A315" s="2" t="s">
        <v>978</v>
      </c>
      <c r="B315" s="12">
        <f t="shared" si="12"/>
        <v>46238.58696572917</v>
      </c>
      <c r="C315" s="13">
        <v>46238.58696572917</v>
      </c>
      <c r="D315" s="2" t="s">
        <v>979</v>
      </c>
      <c r="E315" s="2" t="str">
        <f t="shared" si="13"/>
        <v>Email Available</v>
      </c>
      <c r="F315" s="2" t="s">
        <v>980</v>
      </c>
      <c r="G315" s="2" t="s">
        <v>368</v>
      </c>
      <c r="H315" s="2" t="s">
        <v>88</v>
      </c>
      <c r="I315" s="2" t="s">
        <v>369</v>
      </c>
      <c r="J315" s="2">
        <v>2</v>
      </c>
      <c r="K315" s="2">
        <v>54.99</v>
      </c>
      <c r="L315" s="2"/>
      <c r="M315" s="2">
        <v>0</v>
      </c>
      <c r="N315" s="2">
        <v>0</v>
      </c>
      <c r="O315" s="2">
        <v>109.98</v>
      </c>
      <c r="P315" s="2" t="s">
        <v>27</v>
      </c>
      <c r="Q315" s="2" t="s">
        <v>28</v>
      </c>
      <c r="R315" s="2" t="s">
        <v>99</v>
      </c>
      <c r="S315" s="2" t="s">
        <v>75</v>
      </c>
      <c r="T315" s="2"/>
      <c r="U315" s="2" t="str">
        <f t="shared" si="14"/>
        <v>Not Required</v>
      </c>
      <c r="V315" s="2" t="s">
        <v>981</v>
      </c>
    </row>
    <row r="316" spans="1:22" x14ac:dyDescent="0.3">
      <c r="A316" s="2" t="s">
        <v>982</v>
      </c>
      <c r="B316" s="12">
        <f t="shared" si="12"/>
        <v>46238.585687916668</v>
      </c>
      <c r="C316" s="13">
        <v>46238.585687916668</v>
      </c>
      <c r="D316" s="2" t="s">
        <v>983</v>
      </c>
      <c r="E316" s="2" t="str">
        <f t="shared" si="13"/>
        <v>Missing Email</v>
      </c>
      <c r="F316" s="2"/>
      <c r="G316" s="2" t="s">
        <v>206</v>
      </c>
      <c r="H316" s="2" t="s">
        <v>196</v>
      </c>
      <c r="I316" s="2" t="s">
        <v>207</v>
      </c>
      <c r="J316" s="2">
        <v>1</v>
      </c>
      <c r="K316" s="2">
        <v>24.99</v>
      </c>
      <c r="L316" s="2"/>
      <c r="M316" s="2">
        <v>0</v>
      </c>
      <c r="N316" s="2">
        <v>7.99</v>
      </c>
      <c r="O316" s="2">
        <v>32.979999999999997</v>
      </c>
      <c r="P316" s="2" t="s">
        <v>27</v>
      </c>
      <c r="Q316" s="2" t="s">
        <v>28</v>
      </c>
      <c r="R316" s="2" t="s">
        <v>52</v>
      </c>
      <c r="S316" s="2" t="s">
        <v>108</v>
      </c>
      <c r="T316" s="2"/>
      <c r="U316" s="2" t="str">
        <f t="shared" si="14"/>
        <v>Not Required</v>
      </c>
      <c r="V316" s="2" t="s">
        <v>984</v>
      </c>
    </row>
    <row r="317" spans="1:22" hidden="1" x14ac:dyDescent="0.3">
      <c r="A317" s="2" t="s">
        <v>985</v>
      </c>
      <c r="B317" s="12">
        <f t="shared" si="12"/>
        <v>46238.5788659838</v>
      </c>
      <c r="C317" s="13">
        <v>46238.5788659838</v>
      </c>
      <c r="D317" s="2" t="s">
        <v>825</v>
      </c>
      <c r="E317" s="2" t="str">
        <f t="shared" si="13"/>
        <v>Email Available</v>
      </c>
      <c r="F317" s="2" t="s">
        <v>826</v>
      </c>
      <c r="G317" s="2" t="s">
        <v>65</v>
      </c>
      <c r="H317" s="2" t="s">
        <v>49</v>
      </c>
      <c r="I317" s="2" t="s">
        <v>453</v>
      </c>
      <c r="J317" s="2">
        <v>1</v>
      </c>
      <c r="K317" s="2">
        <v>14.99</v>
      </c>
      <c r="L317" s="2" t="s">
        <v>208</v>
      </c>
      <c r="M317" s="2">
        <v>2.25</v>
      </c>
      <c r="N317" s="2">
        <v>5.99</v>
      </c>
      <c r="O317" s="2">
        <v>18.73</v>
      </c>
      <c r="P317" s="2" t="s">
        <v>68</v>
      </c>
      <c r="Q317" s="2" t="s">
        <v>90</v>
      </c>
      <c r="R317" s="2" t="s">
        <v>29</v>
      </c>
      <c r="S317" s="2" t="s">
        <v>75</v>
      </c>
      <c r="T317" s="2"/>
      <c r="U317" s="2" t="str">
        <f t="shared" si="14"/>
        <v>Not Required</v>
      </c>
      <c r="V317" s="2" t="s">
        <v>986</v>
      </c>
    </row>
    <row r="318" spans="1:22" hidden="1" x14ac:dyDescent="0.3">
      <c r="A318" s="2" t="s">
        <v>987</v>
      </c>
      <c r="B318" s="12">
        <f t="shared" si="12"/>
        <v>46120</v>
      </c>
      <c r="C318" s="13" t="s">
        <v>142</v>
      </c>
      <c r="D318" s="2" t="s">
        <v>988</v>
      </c>
      <c r="E318" s="2" t="str">
        <f t="shared" si="13"/>
        <v>Email Available</v>
      </c>
      <c r="F318" s="2" t="s">
        <v>989</v>
      </c>
      <c r="G318" s="2" t="s">
        <v>58</v>
      </c>
      <c r="H318" s="2" t="s">
        <v>23</v>
      </c>
      <c r="I318" s="2" t="s">
        <v>59</v>
      </c>
      <c r="J318" s="2">
        <v>1</v>
      </c>
      <c r="K318" s="2">
        <v>9.99</v>
      </c>
      <c r="L318" s="2"/>
      <c r="M318" s="2">
        <v>0</v>
      </c>
      <c r="N318" s="2">
        <v>4.99</v>
      </c>
      <c r="O318" s="2" t="s">
        <v>990</v>
      </c>
      <c r="P318" s="2" t="s">
        <v>51</v>
      </c>
      <c r="Q318" s="2" t="s">
        <v>90</v>
      </c>
      <c r="R318" s="2" t="s">
        <v>99</v>
      </c>
      <c r="S318" s="2" t="s">
        <v>337</v>
      </c>
      <c r="T318" s="2"/>
      <c r="U318" s="2" t="str">
        <f t="shared" si="14"/>
        <v>Not Required</v>
      </c>
      <c r="V318" s="2" t="s">
        <v>991</v>
      </c>
    </row>
    <row r="319" spans="1:22" hidden="1" x14ac:dyDescent="0.3">
      <c r="A319" s="2" t="s">
        <v>992</v>
      </c>
      <c r="B319" s="12">
        <f t="shared" si="12"/>
        <v>46238</v>
      </c>
      <c r="C319" s="13" t="s">
        <v>722</v>
      </c>
      <c r="D319" s="2" t="s">
        <v>993</v>
      </c>
      <c r="E319" s="2" t="str">
        <f t="shared" si="13"/>
        <v>Email Available</v>
      </c>
      <c r="F319" s="2" t="s">
        <v>678</v>
      </c>
      <c r="G319" s="2" t="s">
        <v>206</v>
      </c>
      <c r="H319" s="2" t="s">
        <v>196</v>
      </c>
      <c r="I319" s="2" t="s">
        <v>207</v>
      </c>
      <c r="J319" s="2">
        <v>3</v>
      </c>
      <c r="K319" s="2">
        <v>24.99</v>
      </c>
      <c r="L319" s="2"/>
      <c r="M319" s="2">
        <v>0</v>
      </c>
      <c r="N319" s="2">
        <v>5.99</v>
      </c>
      <c r="O319" s="2">
        <v>80.959999999999994</v>
      </c>
      <c r="P319" s="2" t="s">
        <v>27</v>
      </c>
      <c r="Q319" s="2" t="s">
        <v>28</v>
      </c>
      <c r="R319" s="2" t="s">
        <v>29</v>
      </c>
      <c r="S319" s="2" t="s">
        <v>30</v>
      </c>
      <c r="T319" s="2" t="s">
        <v>53</v>
      </c>
      <c r="U319" s="2" t="str">
        <f t="shared" si="14"/>
        <v>Valid</v>
      </c>
      <c r="V319" s="2" t="s">
        <v>994</v>
      </c>
    </row>
    <row r="320" spans="1:22" hidden="1" x14ac:dyDescent="0.3">
      <c r="A320" s="2" t="s">
        <v>995</v>
      </c>
      <c r="B320" s="12">
        <f t="shared" si="12"/>
        <v>46238.588601643518</v>
      </c>
      <c r="C320" s="13">
        <v>46238.588601643518</v>
      </c>
      <c r="D320" s="2" t="s">
        <v>94</v>
      </c>
      <c r="E320" s="2" t="str">
        <f t="shared" si="13"/>
        <v>Email Available</v>
      </c>
      <c r="F320" s="2" t="s">
        <v>95</v>
      </c>
      <c r="G320" s="2" t="s">
        <v>195</v>
      </c>
      <c r="H320" s="2" t="s">
        <v>196</v>
      </c>
      <c r="I320" s="2" t="s">
        <v>197</v>
      </c>
      <c r="J320" s="2">
        <v>2</v>
      </c>
      <c r="K320" s="2">
        <v>13.49</v>
      </c>
      <c r="L320" s="2" t="s">
        <v>25</v>
      </c>
      <c r="M320" s="2" t="s">
        <v>996</v>
      </c>
      <c r="N320" s="2">
        <v>7.99</v>
      </c>
      <c r="O320" s="2">
        <v>29.57</v>
      </c>
      <c r="P320" s="2" t="s">
        <v>74</v>
      </c>
      <c r="Q320" s="2" t="s">
        <v>28</v>
      </c>
      <c r="R320" s="2" t="s">
        <v>52</v>
      </c>
      <c r="S320" s="2" t="s">
        <v>43</v>
      </c>
      <c r="T320" s="2"/>
      <c r="U320" s="2" t="str">
        <f t="shared" si="14"/>
        <v>Not Required</v>
      </c>
      <c r="V320" s="2" t="s">
        <v>997</v>
      </c>
    </row>
    <row r="321" spans="1:22" hidden="1" x14ac:dyDescent="0.3">
      <c r="A321" s="2" t="s">
        <v>998</v>
      </c>
      <c r="B321" s="12">
        <f t="shared" si="12"/>
        <v>46238.582880706017</v>
      </c>
      <c r="C321" s="13">
        <v>46238.582880706017</v>
      </c>
      <c r="D321" s="2" t="s">
        <v>373</v>
      </c>
      <c r="E321" s="2" t="str">
        <f t="shared" si="13"/>
        <v>Email Available</v>
      </c>
      <c r="F321" s="2" t="s">
        <v>374</v>
      </c>
      <c r="G321" s="2" t="s">
        <v>133</v>
      </c>
      <c r="H321" s="2" t="s">
        <v>106</v>
      </c>
      <c r="I321" s="2" t="s">
        <v>134</v>
      </c>
      <c r="J321" s="2">
        <v>2</v>
      </c>
      <c r="K321" s="2" t="s">
        <v>999</v>
      </c>
      <c r="L321" s="2" t="s">
        <v>39</v>
      </c>
      <c r="M321" s="2">
        <v>0</v>
      </c>
      <c r="N321" s="2">
        <v>0</v>
      </c>
      <c r="O321" s="2">
        <v>33.979999999999997</v>
      </c>
      <c r="P321" s="2" t="s">
        <v>27</v>
      </c>
      <c r="Q321" s="2" t="s">
        <v>28</v>
      </c>
      <c r="R321" s="2" t="s">
        <v>52</v>
      </c>
      <c r="S321" s="2" t="s">
        <v>337</v>
      </c>
      <c r="T321" s="2"/>
      <c r="U321" s="2" t="str">
        <f t="shared" si="14"/>
        <v>Not Required</v>
      </c>
      <c r="V321" s="2" t="s">
        <v>1000</v>
      </c>
    </row>
    <row r="322" spans="1:22" hidden="1" x14ac:dyDescent="0.3">
      <c r="A322" s="2" t="s">
        <v>1001</v>
      </c>
      <c r="B322" s="12">
        <f t="shared" si="12"/>
        <v>46238.582259583331</v>
      </c>
      <c r="C322" s="13">
        <v>46238.582259583331</v>
      </c>
      <c r="D322" s="2" t="s">
        <v>1002</v>
      </c>
      <c r="E322" s="2" t="str">
        <f t="shared" si="13"/>
        <v>Email Available</v>
      </c>
      <c r="F322" s="2" t="s">
        <v>1003</v>
      </c>
      <c r="G322" s="2" t="s">
        <v>112</v>
      </c>
      <c r="H322" s="2" t="s">
        <v>81</v>
      </c>
      <c r="I322" s="2" t="s">
        <v>113</v>
      </c>
      <c r="J322" s="2">
        <v>1</v>
      </c>
      <c r="K322" s="2" t="s">
        <v>1004</v>
      </c>
      <c r="L322" s="2"/>
      <c r="M322" s="2">
        <v>0</v>
      </c>
      <c r="N322" s="2">
        <v>4.99</v>
      </c>
      <c r="O322" s="2">
        <v>27.98</v>
      </c>
      <c r="P322" s="2" t="s">
        <v>74</v>
      </c>
      <c r="Q322" s="2" t="s">
        <v>41</v>
      </c>
      <c r="R322" s="2" t="s">
        <v>52</v>
      </c>
      <c r="S322" s="2" t="s">
        <v>228</v>
      </c>
      <c r="T322" s="2"/>
      <c r="U322" s="2" t="str">
        <f t="shared" si="14"/>
        <v>Not Required</v>
      </c>
      <c r="V322" s="2" t="s">
        <v>1005</v>
      </c>
    </row>
    <row r="323" spans="1:22" hidden="1" x14ac:dyDescent="0.3">
      <c r="A323" s="2" t="s">
        <v>1006</v>
      </c>
      <c r="B323" s="12">
        <f t="shared" ref="B323:B385" si="15">IF(ISNUMBER(C323),C323,DATEVALUE(SUBSTITUTE(TRIM(C323),CHAR(160)," ")))</f>
        <v>46238.586796574084</v>
      </c>
      <c r="C323" s="13">
        <v>46238.586796574084</v>
      </c>
      <c r="D323" s="2" t="s">
        <v>1007</v>
      </c>
      <c r="E323" s="2" t="str">
        <f t="shared" ref="E323:E386" si="16">IF(TRIM(F323)="","Missing Email","Email Available")</f>
        <v>Email Available</v>
      </c>
      <c r="F323" s="2" t="s">
        <v>1008</v>
      </c>
      <c r="G323" s="2" t="s">
        <v>65</v>
      </c>
      <c r="H323" s="2" t="s">
        <v>49</v>
      </c>
      <c r="I323" s="2" t="s">
        <v>453</v>
      </c>
      <c r="J323" s="2">
        <v>1</v>
      </c>
      <c r="K323" s="2">
        <v>14.99</v>
      </c>
      <c r="L323" s="2" t="s">
        <v>39</v>
      </c>
      <c r="M323" s="2">
        <v>0</v>
      </c>
      <c r="N323" s="2">
        <v>0</v>
      </c>
      <c r="O323" s="2">
        <v>14.99</v>
      </c>
      <c r="P323" s="2" t="s">
        <v>27</v>
      </c>
      <c r="Q323" s="2" t="s">
        <v>28</v>
      </c>
      <c r="R323" s="2" t="s">
        <v>99</v>
      </c>
      <c r="S323" s="2" t="s">
        <v>43</v>
      </c>
      <c r="T323" s="2"/>
      <c r="U323" s="2" t="str">
        <f t="shared" ref="U323:U385" si="17">IF(AND(S323="United States",T323=""),"Missing state",IF(T323="","Not Required","Valid"))</f>
        <v>Not Required</v>
      </c>
      <c r="V323" s="2" t="s">
        <v>1009</v>
      </c>
    </row>
    <row r="324" spans="1:22" hidden="1" x14ac:dyDescent="0.3">
      <c r="A324" s="2" t="s">
        <v>1010</v>
      </c>
      <c r="B324" s="12">
        <f t="shared" si="15"/>
        <v>46238</v>
      </c>
      <c r="C324" s="13" t="s">
        <v>148</v>
      </c>
      <c r="D324" s="2" t="s">
        <v>420</v>
      </c>
      <c r="E324" s="2" t="str">
        <f t="shared" si="16"/>
        <v>Email Available</v>
      </c>
      <c r="F324" s="2" t="s">
        <v>421</v>
      </c>
      <c r="G324" s="2" t="s">
        <v>195</v>
      </c>
      <c r="H324" s="2" t="s">
        <v>196</v>
      </c>
      <c r="I324" s="2" t="s">
        <v>197</v>
      </c>
      <c r="J324" s="2">
        <v>1</v>
      </c>
      <c r="K324" s="2">
        <v>13.49</v>
      </c>
      <c r="L324" s="2" t="s">
        <v>39</v>
      </c>
      <c r="M324" s="2">
        <v>0</v>
      </c>
      <c r="N324" s="2">
        <v>0</v>
      </c>
      <c r="O324" s="2">
        <v>13.49</v>
      </c>
      <c r="P324" s="2" t="s">
        <v>68</v>
      </c>
      <c r="Q324" s="2" t="s">
        <v>28</v>
      </c>
      <c r="R324" s="2" t="s">
        <v>52</v>
      </c>
      <c r="S324" s="2" t="s">
        <v>337</v>
      </c>
      <c r="T324" s="2"/>
      <c r="U324" s="2" t="str">
        <f t="shared" si="17"/>
        <v>Not Required</v>
      </c>
      <c r="V324" s="2" t="s">
        <v>1011</v>
      </c>
    </row>
    <row r="325" spans="1:22" hidden="1" x14ac:dyDescent="0.3">
      <c r="A325" s="2" t="s">
        <v>1012</v>
      </c>
      <c r="B325" s="12">
        <f t="shared" si="15"/>
        <v>46238.58326871528</v>
      </c>
      <c r="C325" s="13">
        <v>46238.58326871528</v>
      </c>
      <c r="D325" s="2" t="s">
        <v>577</v>
      </c>
      <c r="E325" s="2" t="str">
        <f t="shared" si="16"/>
        <v>Email Available</v>
      </c>
      <c r="F325" s="2" t="s">
        <v>578</v>
      </c>
      <c r="G325" s="2" t="s">
        <v>206</v>
      </c>
      <c r="H325" s="2" t="s">
        <v>196</v>
      </c>
      <c r="I325" s="2" t="s">
        <v>207</v>
      </c>
      <c r="J325" s="2">
        <v>1</v>
      </c>
      <c r="K325" s="2">
        <v>24.99</v>
      </c>
      <c r="L325" s="2" t="s">
        <v>67</v>
      </c>
      <c r="M325" s="2" t="s">
        <v>1013</v>
      </c>
      <c r="N325" s="2">
        <v>4.99</v>
      </c>
      <c r="O325" s="2">
        <v>27.48</v>
      </c>
      <c r="P325" s="2" t="s">
        <v>74</v>
      </c>
      <c r="Q325" s="2" t="s">
        <v>41</v>
      </c>
      <c r="R325" s="2" t="s">
        <v>99</v>
      </c>
      <c r="S325" s="2" t="s">
        <v>108</v>
      </c>
      <c r="T325" s="2"/>
      <c r="U325" s="2" t="str">
        <f t="shared" si="17"/>
        <v>Not Required</v>
      </c>
      <c r="V325" s="2" t="s">
        <v>1014</v>
      </c>
    </row>
    <row r="326" spans="1:22" hidden="1" x14ac:dyDescent="0.3">
      <c r="A326" s="2" t="s">
        <v>1015</v>
      </c>
      <c r="B326" s="12">
        <f t="shared" si="15"/>
        <v>46238.586471446761</v>
      </c>
      <c r="C326" s="13">
        <v>46238.586471446761</v>
      </c>
      <c r="D326" s="2" t="s">
        <v>340</v>
      </c>
      <c r="E326" s="2" t="str">
        <f t="shared" si="16"/>
        <v>Email Available</v>
      </c>
      <c r="F326" s="2" t="s">
        <v>341</v>
      </c>
      <c r="G326" s="2" t="s">
        <v>87</v>
      </c>
      <c r="H326" s="2" t="s">
        <v>88</v>
      </c>
      <c r="I326" s="2" t="s">
        <v>89</v>
      </c>
      <c r="J326" s="2">
        <v>2</v>
      </c>
      <c r="K326" s="2">
        <v>54.99</v>
      </c>
      <c r="L326" s="2" t="s">
        <v>121</v>
      </c>
      <c r="M326" s="2">
        <v>27.5</v>
      </c>
      <c r="N326" s="2">
        <v>0</v>
      </c>
      <c r="O326" s="2">
        <v>82.48</v>
      </c>
      <c r="P326" s="2" t="s">
        <v>51</v>
      </c>
      <c r="Q326" s="2" t="s">
        <v>28</v>
      </c>
      <c r="R326" s="2" t="s">
        <v>52</v>
      </c>
      <c r="S326" s="2" t="s">
        <v>43</v>
      </c>
      <c r="T326" s="2"/>
      <c r="U326" s="2" t="str">
        <f t="shared" si="17"/>
        <v>Not Required</v>
      </c>
      <c r="V326" s="2" t="s">
        <v>1016</v>
      </c>
    </row>
    <row r="327" spans="1:22" hidden="1" x14ac:dyDescent="0.3">
      <c r="A327" s="2" t="s">
        <v>1017</v>
      </c>
      <c r="B327" s="12">
        <f t="shared" si="15"/>
        <v>46238.588812442133</v>
      </c>
      <c r="C327" s="13">
        <v>46238.588812442133</v>
      </c>
      <c r="D327" s="2" t="s">
        <v>565</v>
      </c>
      <c r="E327" s="2" t="str">
        <f t="shared" si="16"/>
        <v>Email Available</v>
      </c>
      <c r="F327" s="2" t="s">
        <v>566</v>
      </c>
      <c r="G327" s="2" t="s">
        <v>195</v>
      </c>
      <c r="H327" s="2" t="s">
        <v>196</v>
      </c>
      <c r="I327" s="2" t="s">
        <v>197</v>
      </c>
      <c r="J327" s="2">
        <v>3</v>
      </c>
      <c r="K327" s="2">
        <v>13.49</v>
      </c>
      <c r="L327" s="2"/>
      <c r="M327" s="2">
        <v>0</v>
      </c>
      <c r="N327" s="2">
        <v>7.99</v>
      </c>
      <c r="O327" s="2">
        <v>48.46</v>
      </c>
      <c r="P327" s="2" t="s">
        <v>27</v>
      </c>
      <c r="Q327" s="2" t="s">
        <v>28</v>
      </c>
      <c r="R327" s="2" t="s">
        <v>42</v>
      </c>
      <c r="S327" s="2" t="s">
        <v>43</v>
      </c>
      <c r="T327" s="2"/>
      <c r="U327" s="2" t="str">
        <f t="shared" si="17"/>
        <v>Not Required</v>
      </c>
      <c r="V327" s="2" t="s">
        <v>1018</v>
      </c>
    </row>
    <row r="328" spans="1:22" hidden="1" x14ac:dyDescent="0.3">
      <c r="A328" s="2" t="s">
        <v>1019</v>
      </c>
      <c r="B328" s="12">
        <f t="shared" si="15"/>
        <v>46238.586325798613</v>
      </c>
      <c r="C328" s="13">
        <v>46238.586325798613</v>
      </c>
      <c r="D328" s="2" t="s">
        <v>1020</v>
      </c>
      <c r="E328" s="2" t="str">
        <f t="shared" si="16"/>
        <v>Email Available</v>
      </c>
      <c r="F328" s="2" t="s">
        <v>1021</v>
      </c>
      <c r="G328" s="2" t="s">
        <v>133</v>
      </c>
      <c r="H328" s="2" t="s">
        <v>106</v>
      </c>
      <c r="I328" s="2" t="s">
        <v>134</v>
      </c>
      <c r="J328" s="2">
        <v>1</v>
      </c>
      <c r="K328" s="2">
        <v>16.989999999999998</v>
      </c>
      <c r="L328" s="2" t="s">
        <v>67</v>
      </c>
      <c r="M328" s="2">
        <v>1.7</v>
      </c>
      <c r="N328" s="2">
        <v>7.99</v>
      </c>
      <c r="O328" s="2">
        <v>23.28</v>
      </c>
      <c r="P328" s="2" t="s">
        <v>74</v>
      </c>
      <c r="Q328" s="2" t="s">
        <v>28</v>
      </c>
      <c r="R328" s="2" t="s">
        <v>52</v>
      </c>
      <c r="S328" s="2" t="s">
        <v>30</v>
      </c>
      <c r="T328" s="2" t="s">
        <v>31</v>
      </c>
      <c r="U328" s="2" t="str">
        <f t="shared" si="17"/>
        <v>Valid</v>
      </c>
      <c r="V328" s="2" t="s">
        <v>1022</v>
      </c>
    </row>
    <row r="329" spans="1:22" hidden="1" x14ac:dyDescent="0.3">
      <c r="A329" s="2" t="s">
        <v>1023</v>
      </c>
      <c r="B329" s="12">
        <f t="shared" si="15"/>
        <v>46238.588265196762</v>
      </c>
      <c r="C329" s="13">
        <v>46238.588265196762</v>
      </c>
      <c r="D329" s="2" t="s">
        <v>424</v>
      </c>
      <c r="E329" s="2" t="str">
        <f t="shared" si="16"/>
        <v>Email Available</v>
      </c>
      <c r="F329" s="2" t="s">
        <v>425</v>
      </c>
      <c r="G329" s="2" t="s">
        <v>157</v>
      </c>
      <c r="H329" s="2" t="s">
        <v>37</v>
      </c>
      <c r="I329" s="2" t="s">
        <v>158</v>
      </c>
      <c r="J329" s="2">
        <v>1</v>
      </c>
      <c r="K329" s="2">
        <v>29.99</v>
      </c>
      <c r="L329" s="2" t="s">
        <v>208</v>
      </c>
      <c r="M329" s="2">
        <v>4.5</v>
      </c>
      <c r="N329" s="2">
        <v>7.99</v>
      </c>
      <c r="O329" s="2">
        <v>33.479999999999997</v>
      </c>
      <c r="P329" s="2" t="s">
        <v>27</v>
      </c>
      <c r="Q329" s="2" t="s">
        <v>28</v>
      </c>
      <c r="R329" s="2" t="s">
        <v>52</v>
      </c>
      <c r="S329" s="2" t="s">
        <v>30</v>
      </c>
      <c r="T329" s="2" t="s">
        <v>248</v>
      </c>
      <c r="U329" s="2" t="str">
        <f t="shared" si="17"/>
        <v>Valid</v>
      </c>
      <c r="V329" s="2" t="s">
        <v>1024</v>
      </c>
    </row>
    <row r="330" spans="1:22" hidden="1" x14ac:dyDescent="0.3">
      <c r="A330" s="2" t="s">
        <v>1025</v>
      </c>
      <c r="B330" s="12">
        <f t="shared" si="15"/>
        <v>46238.580778263888</v>
      </c>
      <c r="C330" s="13">
        <v>46238.580778263888</v>
      </c>
      <c r="D330" s="2" t="s">
        <v>236</v>
      </c>
      <c r="E330" s="2" t="str">
        <f t="shared" si="16"/>
        <v>Email Available</v>
      </c>
      <c r="F330" s="2" t="s">
        <v>1026</v>
      </c>
      <c r="G330" s="2" t="s">
        <v>112</v>
      </c>
      <c r="H330" s="2" t="s">
        <v>81</v>
      </c>
      <c r="I330" s="2" t="s">
        <v>113</v>
      </c>
      <c r="J330" s="2">
        <v>1</v>
      </c>
      <c r="K330" s="2">
        <v>22.99</v>
      </c>
      <c r="L330" s="2"/>
      <c r="M330" s="2">
        <v>0</v>
      </c>
      <c r="N330" s="2">
        <v>4.99</v>
      </c>
      <c r="O330" s="2">
        <v>27.98</v>
      </c>
      <c r="P330" s="2" t="s">
        <v>74</v>
      </c>
      <c r="Q330" s="2" t="s">
        <v>28</v>
      </c>
      <c r="R330" s="2" t="s">
        <v>52</v>
      </c>
      <c r="S330" s="2" t="s">
        <v>43</v>
      </c>
      <c r="T330" s="2"/>
      <c r="U330" s="2" t="str">
        <f t="shared" si="17"/>
        <v>Not Required</v>
      </c>
      <c r="V330" s="2" t="s">
        <v>1027</v>
      </c>
    </row>
    <row r="331" spans="1:22" x14ac:dyDescent="0.3">
      <c r="A331" s="2" t="s">
        <v>1028</v>
      </c>
      <c r="B331" s="12">
        <f t="shared" si="15"/>
        <v>46238.581951712957</v>
      </c>
      <c r="C331" s="13">
        <v>46238.581951712957</v>
      </c>
      <c r="D331" s="2" t="s">
        <v>125</v>
      </c>
      <c r="E331" s="2" t="str">
        <f t="shared" si="16"/>
        <v>Missing Email</v>
      </c>
      <c r="F331" s="2"/>
      <c r="G331" s="2" t="s">
        <v>284</v>
      </c>
      <c r="H331" s="2" t="s">
        <v>23</v>
      </c>
      <c r="I331" s="2" t="s">
        <v>285</v>
      </c>
      <c r="J331" s="2">
        <v>1</v>
      </c>
      <c r="K331" s="2">
        <v>24.99</v>
      </c>
      <c r="L331" s="2"/>
      <c r="M331" s="2">
        <v>0</v>
      </c>
      <c r="N331" s="2">
        <v>4.99</v>
      </c>
      <c r="O331" s="2">
        <v>29.98</v>
      </c>
      <c r="P331" s="2" t="s">
        <v>27</v>
      </c>
      <c r="Q331" s="2" t="s">
        <v>114</v>
      </c>
      <c r="R331" s="2" t="s">
        <v>52</v>
      </c>
      <c r="S331" s="2" t="s">
        <v>43</v>
      </c>
      <c r="T331" s="2"/>
      <c r="U331" s="2" t="str">
        <f t="shared" si="17"/>
        <v>Not Required</v>
      </c>
      <c r="V331" s="2" t="s">
        <v>1029</v>
      </c>
    </row>
    <row r="332" spans="1:22" x14ac:dyDescent="0.3">
      <c r="A332" s="2" t="s">
        <v>1030</v>
      </c>
      <c r="B332" s="12">
        <f t="shared" si="15"/>
        <v>46238.58594251157</v>
      </c>
      <c r="C332" s="13">
        <v>46238.58594251157</v>
      </c>
      <c r="D332" s="2" t="s">
        <v>373</v>
      </c>
      <c r="E332" s="2" t="str">
        <f t="shared" si="16"/>
        <v>Missing Email</v>
      </c>
      <c r="F332" s="2"/>
      <c r="G332" s="2" t="s">
        <v>272</v>
      </c>
      <c r="H332" s="2" t="s">
        <v>23</v>
      </c>
      <c r="I332" s="2" t="s">
        <v>273</v>
      </c>
      <c r="J332" s="2">
        <v>2</v>
      </c>
      <c r="K332" s="2">
        <v>18.989999999999998</v>
      </c>
      <c r="L332" s="2" t="s">
        <v>121</v>
      </c>
      <c r="M332" s="2">
        <v>9.49</v>
      </c>
      <c r="N332" s="2">
        <v>5.99</v>
      </c>
      <c r="O332" s="2">
        <v>34.479999999999997</v>
      </c>
      <c r="P332" s="2" t="s">
        <v>40</v>
      </c>
      <c r="Q332" s="2" t="s">
        <v>28</v>
      </c>
      <c r="R332" s="2" t="s">
        <v>42</v>
      </c>
      <c r="S332" s="2" t="s">
        <v>337</v>
      </c>
      <c r="T332" s="2"/>
      <c r="U332" s="2" t="str">
        <f t="shared" si="17"/>
        <v>Not Required</v>
      </c>
      <c r="V332" s="2" t="s">
        <v>1031</v>
      </c>
    </row>
    <row r="333" spans="1:22" hidden="1" x14ac:dyDescent="0.3">
      <c r="A333" s="2" t="s">
        <v>1032</v>
      </c>
      <c r="B333" s="12">
        <f t="shared" si="15"/>
        <v>46238.580986331021</v>
      </c>
      <c r="C333" s="13">
        <v>46238.580986331021</v>
      </c>
      <c r="D333" s="2" t="s">
        <v>1033</v>
      </c>
      <c r="E333" s="2" t="str">
        <f t="shared" si="16"/>
        <v>Email Available</v>
      </c>
      <c r="F333" s="2" t="s">
        <v>1034</v>
      </c>
      <c r="G333" s="2" t="s">
        <v>266</v>
      </c>
      <c r="H333" s="2" t="s">
        <v>37</v>
      </c>
      <c r="I333" s="2" t="s">
        <v>267</v>
      </c>
      <c r="J333" s="2">
        <v>2</v>
      </c>
      <c r="K333" s="2">
        <v>15.49</v>
      </c>
      <c r="L333" s="2" t="s">
        <v>208</v>
      </c>
      <c r="M333" s="2">
        <v>4.6500000000000004</v>
      </c>
      <c r="N333" s="2">
        <v>7.99</v>
      </c>
      <c r="O333" s="2">
        <v>34.32</v>
      </c>
      <c r="P333" s="2" t="s">
        <v>40</v>
      </c>
      <c r="Q333" s="2" t="s">
        <v>28</v>
      </c>
      <c r="R333" s="2" t="s">
        <v>52</v>
      </c>
      <c r="S333" s="2" t="s">
        <v>30</v>
      </c>
      <c r="T333" s="2" t="s">
        <v>454</v>
      </c>
      <c r="U333" s="2" t="str">
        <f t="shared" si="17"/>
        <v>Valid</v>
      </c>
      <c r="V333" s="2" t="s">
        <v>1035</v>
      </c>
    </row>
    <row r="334" spans="1:22" hidden="1" x14ac:dyDescent="0.3">
      <c r="A334" s="2" t="s">
        <v>1036</v>
      </c>
      <c r="B334" s="12">
        <f t="shared" si="15"/>
        <v>46238</v>
      </c>
      <c r="C334" s="13" t="s">
        <v>1037</v>
      </c>
      <c r="D334" s="2" t="s">
        <v>1038</v>
      </c>
      <c r="E334" s="2" t="str">
        <f t="shared" si="16"/>
        <v>Email Available</v>
      </c>
      <c r="F334" s="2" t="s">
        <v>1039</v>
      </c>
      <c r="G334" s="2" t="s">
        <v>133</v>
      </c>
      <c r="H334" s="2" t="s">
        <v>106</v>
      </c>
      <c r="I334" s="2" t="s">
        <v>134</v>
      </c>
      <c r="J334" s="2">
        <v>1</v>
      </c>
      <c r="K334" s="2">
        <v>16.989999999999998</v>
      </c>
      <c r="L334" s="2"/>
      <c r="M334" s="2">
        <v>0</v>
      </c>
      <c r="N334" s="2">
        <v>7.99</v>
      </c>
      <c r="O334" s="2">
        <v>24.98</v>
      </c>
      <c r="P334" s="2" t="s">
        <v>40</v>
      </c>
      <c r="Q334" s="2" t="s">
        <v>90</v>
      </c>
      <c r="R334" s="2" t="s">
        <v>52</v>
      </c>
      <c r="S334" s="2" t="s">
        <v>108</v>
      </c>
      <c r="T334" s="2"/>
      <c r="U334" s="2" t="str">
        <f t="shared" si="17"/>
        <v>Not Required</v>
      </c>
      <c r="V334" s="2" t="s">
        <v>1040</v>
      </c>
    </row>
    <row r="335" spans="1:22" hidden="1" x14ac:dyDescent="0.3">
      <c r="A335" s="2" t="s">
        <v>1041</v>
      </c>
      <c r="B335" s="12">
        <f t="shared" si="15"/>
        <v>46238.586623877323</v>
      </c>
      <c r="C335" s="13">
        <v>46238.586623877323</v>
      </c>
      <c r="D335" s="2" t="s">
        <v>309</v>
      </c>
      <c r="E335" s="2" t="str">
        <f t="shared" si="16"/>
        <v>Email Available</v>
      </c>
      <c r="F335" s="2" t="s">
        <v>310</v>
      </c>
      <c r="G335" s="2" t="s">
        <v>48</v>
      </c>
      <c r="H335" s="2" t="s">
        <v>49</v>
      </c>
      <c r="I335" s="2" t="s">
        <v>50</v>
      </c>
      <c r="J335" s="2">
        <v>1</v>
      </c>
      <c r="K335" s="2">
        <v>39.99</v>
      </c>
      <c r="L335" s="2"/>
      <c r="M335" s="2" t="s">
        <v>189</v>
      </c>
      <c r="N335" s="2">
        <v>5.99</v>
      </c>
      <c r="O335" s="2">
        <v>45.98</v>
      </c>
      <c r="P335" s="2" t="s">
        <v>51</v>
      </c>
      <c r="Q335" s="2" t="s">
        <v>41</v>
      </c>
      <c r="R335" s="2" t="s">
        <v>99</v>
      </c>
      <c r="S335" s="2" t="s">
        <v>30</v>
      </c>
      <c r="T335" s="2" t="s">
        <v>454</v>
      </c>
      <c r="U335" s="2" t="str">
        <f t="shared" si="17"/>
        <v>Valid</v>
      </c>
      <c r="V335" s="2" t="s">
        <v>1042</v>
      </c>
    </row>
    <row r="336" spans="1:22" hidden="1" x14ac:dyDescent="0.3">
      <c r="A336" s="2" t="s">
        <v>1043</v>
      </c>
      <c r="B336" s="12">
        <f t="shared" si="15"/>
        <v>46238.585996435177</v>
      </c>
      <c r="C336" s="13">
        <v>46238.585996435177</v>
      </c>
      <c r="D336" s="2" t="s">
        <v>662</v>
      </c>
      <c r="E336" s="2" t="str">
        <f t="shared" si="16"/>
        <v>Email Available</v>
      </c>
      <c r="F336" s="2" t="s">
        <v>663</v>
      </c>
      <c r="G336" s="2" t="s">
        <v>36</v>
      </c>
      <c r="H336" s="2" t="s">
        <v>37</v>
      </c>
      <c r="I336" s="2" t="s">
        <v>38</v>
      </c>
      <c r="J336" s="2">
        <v>1</v>
      </c>
      <c r="K336" s="2">
        <v>21.99</v>
      </c>
      <c r="L336" s="2"/>
      <c r="M336" s="2">
        <v>0</v>
      </c>
      <c r="N336" s="2">
        <v>5.99</v>
      </c>
      <c r="O336" s="2">
        <v>27.98</v>
      </c>
      <c r="P336" s="2" t="s">
        <v>40</v>
      </c>
      <c r="Q336" s="2" t="s">
        <v>28</v>
      </c>
      <c r="R336" s="2" t="s">
        <v>52</v>
      </c>
      <c r="S336" s="2" t="s">
        <v>30</v>
      </c>
      <c r="T336" s="2" t="s">
        <v>347</v>
      </c>
      <c r="U336" s="2" t="str">
        <f t="shared" si="17"/>
        <v>Valid</v>
      </c>
      <c r="V336" s="2" t="s">
        <v>1005</v>
      </c>
    </row>
    <row r="337" spans="1:22" hidden="1" x14ac:dyDescent="0.3">
      <c r="A337" s="2" t="s">
        <v>1044</v>
      </c>
      <c r="B337" s="12">
        <f t="shared" si="15"/>
        <v>46238.584029664351</v>
      </c>
      <c r="C337" s="13">
        <v>46238.584029664351</v>
      </c>
      <c r="D337" s="2" t="s">
        <v>1045</v>
      </c>
      <c r="E337" s="2" t="str">
        <f t="shared" si="16"/>
        <v>Email Available</v>
      </c>
      <c r="F337" s="2" t="s">
        <v>1046</v>
      </c>
      <c r="G337" s="2" t="s">
        <v>105</v>
      </c>
      <c r="H337" s="2" t="s">
        <v>106</v>
      </c>
      <c r="I337" s="2" t="s">
        <v>107</v>
      </c>
      <c r="J337" s="2">
        <v>2</v>
      </c>
      <c r="K337" s="2">
        <v>19.989999999999998</v>
      </c>
      <c r="L337" s="2"/>
      <c r="M337" s="2">
        <v>0</v>
      </c>
      <c r="N337" s="2">
        <v>4.99</v>
      </c>
      <c r="O337" s="2">
        <v>44.97</v>
      </c>
      <c r="P337" s="2" t="s">
        <v>27</v>
      </c>
      <c r="Q337" s="2" t="s">
        <v>28</v>
      </c>
      <c r="R337" s="2" t="s">
        <v>99</v>
      </c>
      <c r="S337" s="2" t="s">
        <v>30</v>
      </c>
      <c r="T337" s="2" t="s">
        <v>248</v>
      </c>
      <c r="U337" s="2" t="str">
        <f t="shared" si="17"/>
        <v>Valid</v>
      </c>
      <c r="V337" s="2" t="s">
        <v>1047</v>
      </c>
    </row>
    <row r="338" spans="1:22" hidden="1" x14ac:dyDescent="0.3">
      <c r="A338" s="2" t="s">
        <v>1052</v>
      </c>
      <c r="B338" s="12">
        <f t="shared" si="15"/>
        <v>46238.580706921297</v>
      </c>
      <c r="C338" s="13">
        <v>46238.580706921297</v>
      </c>
      <c r="D338" s="2" t="s">
        <v>169</v>
      </c>
      <c r="E338" s="2" t="str">
        <f t="shared" si="16"/>
        <v>Email Available</v>
      </c>
      <c r="F338" s="2" t="s">
        <v>170</v>
      </c>
      <c r="G338" s="2" t="s">
        <v>87</v>
      </c>
      <c r="H338" s="2" t="s">
        <v>88</v>
      </c>
      <c r="I338" s="2" t="s">
        <v>89</v>
      </c>
      <c r="J338" s="2">
        <v>1</v>
      </c>
      <c r="K338" s="2" t="s">
        <v>370</v>
      </c>
      <c r="L338" s="2"/>
      <c r="M338" s="2">
        <v>0</v>
      </c>
      <c r="N338" s="2">
        <v>7.99</v>
      </c>
      <c r="O338" s="2">
        <v>62.98</v>
      </c>
      <c r="P338" s="2" t="s">
        <v>51</v>
      </c>
      <c r="Q338" s="2" t="s">
        <v>28</v>
      </c>
      <c r="R338" s="2" t="s">
        <v>99</v>
      </c>
      <c r="S338" s="2" t="s">
        <v>108</v>
      </c>
      <c r="T338" s="2"/>
      <c r="U338" s="2" t="str">
        <f t="shared" si="17"/>
        <v>Not Required</v>
      </c>
      <c r="V338" s="2" t="s">
        <v>1053</v>
      </c>
    </row>
    <row r="339" spans="1:22" hidden="1" x14ac:dyDescent="0.3">
      <c r="A339" s="2" t="s">
        <v>1058</v>
      </c>
      <c r="B339" s="12">
        <f t="shared" si="15"/>
        <v>46238.58433672454</v>
      </c>
      <c r="C339" s="13">
        <v>46238.58433672454</v>
      </c>
      <c r="D339" s="2" t="s">
        <v>1059</v>
      </c>
      <c r="E339" s="2" t="str">
        <f t="shared" si="16"/>
        <v>Email Available</v>
      </c>
      <c r="F339" s="2" t="s">
        <v>1060</v>
      </c>
      <c r="G339" s="2" t="s">
        <v>65</v>
      </c>
      <c r="H339" s="2" t="s">
        <v>49</v>
      </c>
      <c r="I339" s="2" t="s">
        <v>66</v>
      </c>
      <c r="J339" s="2">
        <v>1</v>
      </c>
      <c r="K339" s="2">
        <v>14.99</v>
      </c>
      <c r="L339" s="2" t="s">
        <v>39</v>
      </c>
      <c r="M339" s="2">
        <v>0</v>
      </c>
      <c r="N339" s="2">
        <v>0</v>
      </c>
      <c r="O339" s="2">
        <v>14.99</v>
      </c>
      <c r="P339" s="2" t="s">
        <v>40</v>
      </c>
      <c r="Q339" s="2" t="s">
        <v>28</v>
      </c>
      <c r="R339" s="2" t="s">
        <v>52</v>
      </c>
      <c r="S339" s="2" t="s">
        <v>108</v>
      </c>
      <c r="T339" s="2"/>
      <c r="U339" s="2" t="str">
        <f t="shared" si="17"/>
        <v>Not Required</v>
      </c>
      <c r="V339" s="2" t="s">
        <v>1061</v>
      </c>
    </row>
    <row r="340" spans="1:22" hidden="1" x14ac:dyDescent="0.3">
      <c r="A340" s="2" t="s">
        <v>1062</v>
      </c>
      <c r="B340" s="12">
        <f t="shared" si="15"/>
        <v>46238.580005671298</v>
      </c>
      <c r="C340" s="13">
        <v>46238.580005671298</v>
      </c>
      <c r="D340" s="2" t="s">
        <v>177</v>
      </c>
      <c r="E340" s="2" t="str">
        <f t="shared" si="16"/>
        <v>Email Available</v>
      </c>
      <c r="F340" s="2" t="s">
        <v>178</v>
      </c>
      <c r="G340" s="2" t="s">
        <v>195</v>
      </c>
      <c r="H340" s="2" t="s">
        <v>196</v>
      </c>
      <c r="I340" s="2" t="s">
        <v>197</v>
      </c>
      <c r="J340" s="2">
        <v>1</v>
      </c>
      <c r="K340" s="2">
        <v>13.49</v>
      </c>
      <c r="L340" s="2"/>
      <c r="M340" s="2">
        <v>0</v>
      </c>
      <c r="N340" s="2">
        <v>4.99</v>
      </c>
      <c r="O340" s="2">
        <v>18.48</v>
      </c>
      <c r="P340" s="2" t="s">
        <v>40</v>
      </c>
      <c r="Q340" s="2" t="s">
        <v>114</v>
      </c>
      <c r="R340" s="2" t="s">
        <v>99</v>
      </c>
      <c r="S340" s="2" t="s">
        <v>30</v>
      </c>
      <c r="T340" s="2" t="s">
        <v>454</v>
      </c>
      <c r="U340" s="2" t="str">
        <f t="shared" si="17"/>
        <v>Valid</v>
      </c>
      <c r="V340" s="2" t="s">
        <v>1063</v>
      </c>
    </row>
    <row r="341" spans="1:22" hidden="1" x14ac:dyDescent="0.3">
      <c r="A341" s="2" t="s">
        <v>1064</v>
      </c>
      <c r="B341" s="12">
        <f t="shared" si="15"/>
        <v>46238.587944317129</v>
      </c>
      <c r="C341" s="13">
        <v>46238.587944317129</v>
      </c>
      <c r="D341" s="2" t="s">
        <v>524</v>
      </c>
      <c r="E341" s="2" t="str">
        <f t="shared" si="16"/>
        <v>Email Available</v>
      </c>
      <c r="F341" s="2" t="s">
        <v>525</v>
      </c>
      <c r="G341" s="2" t="s">
        <v>315</v>
      </c>
      <c r="H341" s="2" t="s">
        <v>37</v>
      </c>
      <c r="I341" s="2" t="s">
        <v>316</v>
      </c>
      <c r="J341" s="2">
        <v>1</v>
      </c>
      <c r="K341" s="2">
        <v>8.99</v>
      </c>
      <c r="L341" s="2" t="s">
        <v>121</v>
      </c>
      <c r="M341" s="2">
        <v>2.25</v>
      </c>
      <c r="N341" s="2">
        <v>7.99</v>
      </c>
      <c r="O341" s="2">
        <v>14.73</v>
      </c>
      <c r="P341" s="2" t="s">
        <v>51</v>
      </c>
      <c r="Q341" s="2" t="s">
        <v>114</v>
      </c>
      <c r="R341" s="2" t="s">
        <v>99</v>
      </c>
      <c r="S341" s="2" t="s">
        <v>30</v>
      </c>
      <c r="T341" s="2" t="s">
        <v>60</v>
      </c>
      <c r="U341" s="2" t="str">
        <f t="shared" si="17"/>
        <v>Valid</v>
      </c>
      <c r="V341" s="2" t="s">
        <v>1065</v>
      </c>
    </row>
    <row r="342" spans="1:22" x14ac:dyDescent="0.3">
      <c r="A342" s="2" t="s">
        <v>1066</v>
      </c>
      <c r="B342" s="12">
        <f t="shared" si="15"/>
        <v>46238.584402337961</v>
      </c>
      <c r="C342" s="13">
        <v>46238.584402337961</v>
      </c>
      <c r="D342" s="2" t="s">
        <v>1067</v>
      </c>
      <c r="E342" s="2" t="str">
        <f t="shared" si="16"/>
        <v>Missing Email</v>
      </c>
      <c r="F342" s="2"/>
      <c r="G342" s="2" t="s">
        <v>36</v>
      </c>
      <c r="H342" s="2" t="s">
        <v>37</v>
      </c>
      <c r="I342" s="2" t="s">
        <v>38</v>
      </c>
      <c r="J342" s="2">
        <v>1</v>
      </c>
      <c r="K342" s="2">
        <v>21.99</v>
      </c>
      <c r="L342" s="2" t="s">
        <v>208</v>
      </c>
      <c r="M342" s="2">
        <v>3.3</v>
      </c>
      <c r="N342" s="2">
        <v>4.99</v>
      </c>
      <c r="O342" s="2" t="s">
        <v>1068</v>
      </c>
      <c r="P342" s="2" t="s">
        <v>27</v>
      </c>
      <c r="Q342" s="2" t="s">
        <v>28</v>
      </c>
      <c r="R342" s="2" t="s">
        <v>52</v>
      </c>
      <c r="S342" s="2" t="s">
        <v>30</v>
      </c>
      <c r="T342" s="2" t="s">
        <v>91</v>
      </c>
      <c r="U342" s="2" t="str">
        <f t="shared" si="17"/>
        <v>Valid</v>
      </c>
      <c r="V342" s="2" t="s">
        <v>1069</v>
      </c>
    </row>
    <row r="343" spans="1:22" hidden="1" x14ac:dyDescent="0.3">
      <c r="A343" s="2" t="s">
        <v>1070</v>
      </c>
      <c r="B343" s="12">
        <f t="shared" si="15"/>
        <v>46238.58536834491</v>
      </c>
      <c r="C343" s="13">
        <v>46238.58536834491</v>
      </c>
      <c r="D343" s="2" t="s">
        <v>1071</v>
      </c>
      <c r="E343" s="2" t="str">
        <f t="shared" si="16"/>
        <v>Email Available</v>
      </c>
      <c r="F343" s="2" t="s">
        <v>1072</v>
      </c>
      <c r="G343" s="2" t="s">
        <v>80</v>
      </c>
      <c r="H343" s="2" t="s">
        <v>81</v>
      </c>
      <c r="I343" s="2" t="s">
        <v>82</v>
      </c>
      <c r="J343" s="2">
        <v>1</v>
      </c>
      <c r="K343" s="2" t="s">
        <v>579</v>
      </c>
      <c r="L343" s="2"/>
      <c r="M343" s="2">
        <v>0</v>
      </c>
      <c r="N343" s="2">
        <v>0</v>
      </c>
      <c r="O343" s="2" t="s">
        <v>579</v>
      </c>
      <c r="P343" s="2" t="s">
        <v>51</v>
      </c>
      <c r="Q343" s="2" t="s">
        <v>28</v>
      </c>
      <c r="R343" s="2" t="s">
        <v>99</v>
      </c>
      <c r="S343" s="2" t="s">
        <v>337</v>
      </c>
      <c r="T343" s="2"/>
      <c r="U343" s="2" t="str">
        <f t="shared" si="17"/>
        <v>Not Required</v>
      </c>
      <c r="V343" s="2" t="s">
        <v>1073</v>
      </c>
    </row>
    <row r="344" spans="1:22" hidden="1" x14ac:dyDescent="0.3">
      <c r="A344" s="2" t="s">
        <v>1074</v>
      </c>
      <c r="B344" s="12">
        <f t="shared" si="15"/>
        <v>46238.584332106482</v>
      </c>
      <c r="C344" s="13">
        <v>46238.584332106482</v>
      </c>
      <c r="D344" s="2" t="s">
        <v>319</v>
      </c>
      <c r="E344" s="2" t="str">
        <f t="shared" si="16"/>
        <v>Email Available</v>
      </c>
      <c r="F344" s="2" t="s">
        <v>320</v>
      </c>
      <c r="G344" s="2" t="s">
        <v>195</v>
      </c>
      <c r="H344" s="2" t="s">
        <v>196</v>
      </c>
      <c r="I344" s="2" t="s">
        <v>197</v>
      </c>
      <c r="J344" s="2">
        <v>1</v>
      </c>
      <c r="K344" s="2">
        <v>13.49</v>
      </c>
      <c r="L344" s="2"/>
      <c r="M344" s="2">
        <v>0</v>
      </c>
      <c r="N344" s="2">
        <v>7.99</v>
      </c>
      <c r="O344" s="2">
        <v>21.48</v>
      </c>
      <c r="P344" s="2" t="s">
        <v>68</v>
      </c>
      <c r="Q344" s="2" t="s">
        <v>28</v>
      </c>
      <c r="R344" s="2" t="s">
        <v>52</v>
      </c>
      <c r="S344" s="2" t="s">
        <v>75</v>
      </c>
      <c r="T344" s="2"/>
      <c r="U344" s="2" t="str">
        <f t="shared" si="17"/>
        <v>Not Required</v>
      </c>
      <c r="V344" s="2" t="s">
        <v>1075</v>
      </c>
    </row>
    <row r="345" spans="1:22" hidden="1" x14ac:dyDescent="0.3">
      <c r="A345" s="2" t="s">
        <v>1076</v>
      </c>
      <c r="B345" s="12">
        <f>DATE(VALUE(RIGHT(C345,4)),MATCH(LEFT(C345,3),{"Jan","Feb","Mar","Apr","May","Jun","Jul","Aug","Sep","Oct","Nov","Dec"},0),VALUE(MID(C345,5,2)))</f>
        <v>46238</v>
      </c>
      <c r="C345" s="13" t="s">
        <v>176</v>
      </c>
      <c r="D345" s="2" t="s">
        <v>373</v>
      </c>
      <c r="E345" s="2" t="str">
        <f t="shared" si="16"/>
        <v>Email Available</v>
      </c>
      <c r="F345" s="2" t="s">
        <v>374</v>
      </c>
      <c r="G345" s="2" t="s">
        <v>187</v>
      </c>
      <c r="H345" s="2" t="s">
        <v>37</v>
      </c>
      <c r="I345" s="2" t="s">
        <v>188</v>
      </c>
      <c r="J345" s="2">
        <v>2</v>
      </c>
      <c r="K345" s="2">
        <v>11.99</v>
      </c>
      <c r="L345" s="2" t="s">
        <v>25</v>
      </c>
      <c r="M345" s="2">
        <v>4.8</v>
      </c>
      <c r="N345" s="2">
        <v>5.99</v>
      </c>
      <c r="O345" s="2">
        <v>25.17</v>
      </c>
      <c r="P345" s="2" t="s">
        <v>51</v>
      </c>
      <c r="Q345" s="2" t="s">
        <v>28</v>
      </c>
      <c r="R345" s="2" t="s">
        <v>29</v>
      </c>
      <c r="S345" s="2" t="s">
        <v>337</v>
      </c>
      <c r="T345" s="2"/>
      <c r="U345" s="2" t="str">
        <f t="shared" si="17"/>
        <v>Not Required</v>
      </c>
      <c r="V345" s="2" t="s">
        <v>1077</v>
      </c>
    </row>
    <row r="346" spans="1:22" hidden="1" x14ac:dyDescent="0.3">
      <c r="A346" s="2" t="s">
        <v>1078</v>
      </c>
      <c r="B346" s="12">
        <f t="shared" si="15"/>
        <v>46238.583440671297</v>
      </c>
      <c r="C346" s="13">
        <v>46238.583440671297</v>
      </c>
      <c r="D346" s="2" t="s">
        <v>853</v>
      </c>
      <c r="E346" s="2" t="str">
        <f t="shared" si="16"/>
        <v>Email Available</v>
      </c>
      <c r="F346" s="2" t="s">
        <v>854</v>
      </c>
      <c r="G346" s="2" t="s">
        <v>80</v>
      </c>
      <c r="H346" s="2" t="s">
        <v>81</v>
      </c>
      <c r="I346" s="2" t="s">
        <v>82</v>
      </c>
      <c r="J346" s="2">
        <v>1</v>
      </c>
      <c r="K346" s="2">
        <v>89.99</v>
      </c>
      <c r="L346" s="2"/>
      <c r="M346" s="2">
        <v>0</v>
      </c>
      <c r="N346" s="2">
        <v>0</v>
      </c>
      <c r="O346" s="2">
        <v>89.99</v>
      </c>
      <c r="P346" s="2" t="s">
        <v>51</v>
      </c>
      <c r="Q346" s="2" t="s">
        <v>90</v>
      </c>
      <c r="R346" s="2" t="s">
        <v>29</v>
      </c>
      <c r="S346" s="2" t="s">
        <v>30</v>
      </c>
      <c r="T346" s="2" t="s">
        <v>115</v>
      </c>
      <c r="U346" s="2" t="str">
        <f t="shared" si="17"/>
        <v>Valid</v>
      </c>
      <c r="V346" s="2" t="s">
        <v>1079</v>
      </c>
    </row>
    <row r="347" spans="1:22" hidden="1" x14ac:dyDescent="0.3">
      <c r="A347" s="2" t="s">
        <v>1080</v>
      </c>
      <c r="B347" s="12">
        <f t="shared" si="15"/>
        <v>46238.579065590267</v>
      </c>
      <c r="C347" s="13">
        <v>46238.579065590267</v>
      </c>
      <c r="D347" s="2" t="s">
        <v>384</v>
      </c>
      <c r="E347" s="2" t="str">
        <f t="shared" si="16"/>
        <v>Email Available</v>
      </c>
      <c r="F347" s="2" t="s">
        <v>385</v>
      </c>
      <c r="G347" s="2" t="s">
        <v>112</v>
      </c>
      <c r="H347" s="2" t="s">
        <v>81</v>
      </c>
      <c r="I347" s="2" t="s">
        <v>113</v>
      </c>
      <c r="J347" s="2">
        <v>1</v>
      </c>
      <c r="K347" s="2">
        <v>22.99</v>
      </c>
      <c r="L347" s="2"/>
      <c r="M347" s="2">
        <v>0</v>
      </c>
      <c r="N347" s="2">
        <v>4.99</v>
      </c>
      <c r="O347" s="2">
        <v>27.98</v>
      </c>
      <c r="P347" s="2" t="s">
        <v>40</v>
      </c>
      <c r="Q347" s="2" t="s">
        <v>28</v>
      </c>
      <c r="R347" s="2" t="s">
        <v>42</v>
      </c>
      <c r="S347" s="2" t="s">
        <v>75</v>
      </c>
      <c r="T347" s="2"/>
      <c r="U347" s="2" t="str">
        <f t="shared" si="17"/>
        <v>Not Required</v>
      </c>
      <c r="V347" s="2" t="s">
        <v>1081</v>
      </c>
    </row>
    <row r="348" spans="1:22" hidden="1" x14ac:dyDescent="0.3">
      <c r="A348" s="2" t="s">
        <v>1082</v>
      </c>
      <c r="B348" s="12">
        <f t="shared" si="15"/>
        <v>46238.581582638893</v>
      </c>
      <c r="C348" s="13">
        <v>46238.581582638893</v>
      </c>
      <c r="D348" s="2" t="s">
        <v>292</v>
      </c>
      <c r="E348" s="2" t="str">
        <f t="shared" si="16"/>
        <v>Email Available</v>
      </c>
      <c r="F348" s="2" t="s">
        <v>293</v>
      </c>
      <c r="G348" s="2" t="s">
        <v>157</v>
      </c>
      <c r="H348" s="2" t="s">
        <v>37</v>
      </c>
      <c r="I348" s="2" t="s">
        <v>158</v>
      </c>
      <c r="J348" s="2">
        <v>1</v>
      </c>
      <c r="K348" s="2">
        <v>29.99</v>
      </c>
      <c r="L348" s="2" t="s">
        <v>39</v>
      </c>
      <c r="M348" s="2">
        <v>0</v>
      </c>
      <c r="N348" s="2">
        <v>0</v>
      </c>
      <c r="O348" s="2">
        <v>29.99</v>
      </c>
      <c r="P348" s="2" t="s">
        <v>74</v>
      </c>
      <c r="Q348" s="2" t="s">
        <v>28</v>
      </c>
      <c r="R348" s="2" t="s">
        <v>52</v>
      </c>
      <c r="S348" s="2" t="s">
        <v>30</v>
      </c>
      <c r="T348" s="2" t="s">
        <v>347</v>
      </c>
      <c r="U348" s="2" t="str">
        <f t="shared" si="17"/>
        <v>Valid</v>
      </c>
      <c r="V348" s="2" t="s">
        <v>1083</v>
      </c>
    </row>
    <row r="349" spans="1:22" hidden="1" x14ac:dyDescent="0.3">
      <c r="A349" s="2" t="s">
        <v>1084</v>
      </c>
      <c r="B349" s="12">
        <f t="shared" si="15"/>
        <v>46238.580703680564</v>
      </c>
      <c r="C349" s="13">
        <v>46238.580703680564</v>
      </c>
      <c r="D349" s="2" t="s">
        <v>1085</v>
      </c>
      <c r="E349" s="2" t="str">
        <f t="shared" si="16"/>
        <v>Email Available</v>
      </c>
      <c r="F349" s="2" t="s">
        <v>1086</v>
      </c>
      <c r="G349" s="2" t="s">
        <v>284</v>
      </c>
      <c r="H349" s="2" t="s">
        <v>23</v>
      </c>
      <c r="I349" s="2" t="s">
        <v>285</v>
      </c>
      <c r="J349" s="2">
        <v>1</v>
      </c>
      <c r="K349" s="2">
        <v>24.99</v>
      </c>
      <c r="L349" s="2"/>
      <c r="M349" s="2">
        <v>0</v>
      </c>
      <c r="N349" s="2">
        <v>4.99</v>
      </c>
      <c r="O349" s="2">
        <v>29.98</v>
      </c>
      <c r="P349" s="2" t="s">
        <v>68</v>
      </c>
      <c r="Q349" s="2" t="s">
        <v>28</v>
      </c>
      <c r="R349" s="2" t="s">
        <v>99</v>
      </c>
      <c r="S349" s="2" t="s">
        <v>108</v>
      </c>
      <c r="T349" s="2"/>
      <c r="U349" s="2" t="str">
        <f t="shared" si="17"/>
        <v>Not Required</v>
      </c>
      <c r="V349" s="2" t="s">
        <v>1087</v>
      </c>
    </row>
    <row r="350" spans="1:22" hidden="1" x14ac:dyDescent="0.3">
      <c r="A350" s="2" t="s">
        <v>1088</v>
      </c>
      <c r="B350" s="12">
        <f t="shared" si="15"/>
        <v>46238.582848449078</v>
      </c>
      <c r="C350" s="13">
        <v>46238.582848449078</v>
      </c>
      <c r="D350" s="2" t="s">
        <v>1089</v>
      </c>
      <c r="E350" s="2" t="str">
        <f t="shared" si="16"/>
        <v>Email Available</v>
      </c>
      <c r="F350" s="2" t="s">
        <v>595</v>
      </c>
      <c r="G350" s="2" t="s">
        <v>368</v>
      </c>
      <c r="H350" s="2" t="s">
        <v>88</v>
      </c>
      <c r="I350" s="2" t="s">
        <v>369</v>
      </c>
      <c r="J350" s="2">
        <v>1</v>
      </c>
      <c r="K350" s="2">
        <v>54.99</v>
      </c>
      <c r="L350" s="2" t="s">
        <v>39</v>
      </c>
      <c r="M350" s="2">
        <v>0</v>
      </c>
      <c r="N350" s="2">
        <v>0</v>
      </c>
      <c r="O350" s="2">
        <v>54.99</v>
      </c>
      <c r="P350" s="2" t="s">
        <v>68</v>
      </c>
      <c r="Q350" s="2" t="s">
        <v>28</v>
      </c>
      <c r="R350" s="2" t="s">
        <v>29</v>
      </c>
      <c r="S350" s="2" t="s">
        <v>30</v>
      </c>
      <c r="T350" s="2" t="s">
        <v>115</v>
      </c>
      <c r="U350" s="2" t="str">
        <f t="shared" si="17"/>
        <v>Valid</v>
      </c>
      <c r="V350" s="2" t="s">
        <v>1090</v>
      </c>
    </row>
    <row r="351" spans="1:22" hidden="1" x14ac:dyDescent="0.3">
      <c r="A351" s="2" t="s">
        <v>1091</v>
      </c>
      <c r="B351" s="12">
        <f t="shared" si="15"/>
        <v>46238.582698287028</v>
      </c>
      <c r="C351" s="13">
        <v>46238.582698287028</v>
      </c>
      <c r="D351" s="2" t="s">
        <v>502</v>
      </c>
      <c r="E351" s="2" t="str">
        <f t="shared" si="16"/>
        <v>Email Available</v>
      </c>
      <c r="F351" s="2" t="s">
        <v>503</v>
      </c>
      <c r="G351" s="2" t="s">
        <v>65</v>
      </c>
      <c r="H351" s="2" t="s">
        <v>49</v>
      </c>
      <c r="I351" s="2" t="s">
        <v>453</v>
      </c>
      <c r="J351" s="2">
        <v>1</v>
      </c>
      <c r="K351" s="2">
        <v>14.99</v>
      </c>
      <c r="L351" s="2" t="s">
        <v>208</v>
      </c>
      <c r="M351" s="2">
        <v>2.25</v>
      </c>
      <c r="N351" s="2">
        <v>4.99</v>
      </c>
      <c r="O351" s="2">
        <v>17.73</v>
      </c>
      <c r="P351" s="2" t="s">
        <v>68</v>
      </c>
      <c r="Q351" s="2" t="s">
        <v>114</v>
      </c>
      <c r="R351" s="2" t="s">
        <v>52</v>
      </c>
      <c r="S351" s="2" t="s">
        <v>108</v>
      </c>
      <c r="T351" s="2"/>
      <c r="U351" s="2" t="str">
        <f t="shared" si="17"/>
        <v>Not Required</v>
      </c>
      <c r="V351" s="2" t="s">
        <v>1092</v>
      </c>
    </row>
    <row r="352" spans="1:22" hidden="1" x14ac:dyDescent="0.3">
      <c r="A352" s="2" t="s">
        <v>1093</v>
      </c>
      <c r="B352" s="12">
        <f t="shared" si="15"/>
        <v>46238.584669293981</v>
      </c>
      <c r="C352" s="13">
        <v>46238.584669293981</v>
      </c>
      <c r="D352" s="2" t="s">
        <v>1094</v>
      </c>
      <c r="E352" s="2" t="str">
        <f t="shared" si="16"/>
        <v>Email Available</v>
      </c>
      <c r="F352" s="2" t="s">
        <v>1095</v>
      </c>
      <c r="G352" s="2" t="s">
        <v>272</v>
      </c>
      <c r="H352" s="2" t="s">
        <v>23</v>
      </c>
      <c r="I352" s="2" t="s">
        <v>273</v>
      </c>
      <c r="J352" s="2">
        <v>1</v>
      </c>
      <c r="K352" s="2">
        <v>18.989999999999998</v>
      </c>
      <c r="L352" s="2"/>
      <c r="M352" s="2">
        <v>0</v>
      </c>
      <c r="N352" s="2">
        <v>7.99</v>
      </c>
      <c r="O352" s="2">
        <v>26.98</v>
      </c>
      <c r="P352" s="2" t="s">
        <v>74</v>
      </c>
      <c r="Q352" s="2" t="s">
        <v>28</v>
      </c>
      <c r="R352" s="2" t="s">
        <v>52</v>
      </c>
      <c r="S352" s="2" t="s">
        <v>30</v>
      </c>
      <c r="T352" s="2" t="s">
        <v>31</v>
      </c>
      <c r="U352" s="2" t="str">
        <f t="shared" si="17"/>
        <v>Valid</v>
      </c>
      <c r="V352" s="2" t="s">
        <v>1096</v>
      </c>
    </row>
    <row r="353" spans="1:22" hidden="1" x14ac:dyDescent="0.3">
      <c r="A353" s="2" t="s">
        <v>1097</v>
      </c>
      <c r="B353" s="12">
        <f t="shared" si="15"/>
        <v>46238.583340266203</v>
      </c>
      <c r="C353" s="13">
        <v>46238.583340266203</v>
      </c>
      <c r="D353" s="2" t="s">
        <v>1098</v>
      </c>
      <c r="E353" s="2" t="str">
        <f t="shared" si="16"/>
        <v>Email Available</v>
      </c>
      <c r="F353" s="2" t="s">
        <v>1099</v>
      </c>
      <c r="G353" s="2" t="s">
        <v>127</v>
      </c>
      <c r="H353" s="2" t="s">
        <v>81</v>
      </c>
      <c r="I353" s="2" t="s">
        <v>128</v>
      </c>
      <c r="J353" s="2">
        <v>1</v>
      </c>
      <c r="K353" s="2" t="s">
        <v>1100</v>
      </c>
      <c r="L353" s="2"/>
      <c r="M353" s="2">
        <v>0</v>
      </c>
      <c r="N353" s="2">
        <v>7.99</v>
      </c>
      <c r="O353" s="2">
        <v>21.98</v>
      </c>
      <c r="P353" s="2" t="s">
        <v>51</v>
      </c>
      <c r="Q353" s="2" t="s">
        <v>90</v>
      </c>
      <c r="R353" s="2" t="s">
        <v>52</v>
      </c>
      <c r="S353" s="2" t="s">
        <v>30</v>
      </c>
      <c r="T353" s="2" t="s">
        <v>115</v>
      </c>
      <c r="U353" s="2" t="str">
        <f t="shared" si="17"/>
        <v>Valid</v>
      </c>
      <c r="V353" s="2" t="s">
        <v>1101</v>
      </c>
    </row>
    <row r="354" spans="1:22" hidden="1" x14ac:dyDescent="0.3">
      <c r="A354" s="2" t="s">
        <v>1102</v>
      </c>
      <c r="B354" s="12">
        <f t="shared" si="15"/>
        <v>46238.582679363433</v>
      </c>
      <c r="C354" s="13">
        <v>46238.582679363433</v>
      </c>
      <c r="D354" s="2" t="s">
        <v>1103</v>
      </c>
      <c r="E354" s="2" t="str">
        <f t="shared" si="16"/>
        <v>Email Available</v>
      </c>
      <c r="F354" s="2" t="s">
        <v>1104</v>
      </c>
      <c r="G354" s="2" t="s">
        <v>226</v>
      </c>
      <c r="H354" s="2" t="s">
        <v>23</v>
      </c>
      <c r="I354" s="2" t="s">
        <v>227</v>
      </c>
      <c r="J354" s="2">
        <v>2</v>
      </c>
      <c r="K354" s="2">
        <v>17.989999999999998</v>
      </c>
      <c r="L354" s="2"/>
      <c r="M354" s="2" t="s">
        <v>189</v>
      </c>
      <c r="N354" s="2">
        <v>4.99</v>
      </c>
      <c r="O354" s="2">
        <v>40.97</v>
      </c>
      <c r="P354" s="2" t="s">
        <v>68</v>
      </c>
      <c r="Q354" s="2" t="s">
        <v>28</v>
      </c>
      <c r="R354" s="2" t="s">
        <v>52</v>
      </c>
      <c r="S354" s="2" t="s">
        <v>337</v>
      </c>
      <c r="T354" s="2"/>
      <c r="U354" s="2" t="str">
        <f t="shared" si="17"/>
        <v>Not Required</v>
      </c>
      <c r="V354" s="2" t="s">
        <v>1105</v>
      </c>
    </row>
    <row r="355" spans="1:22" hidden="1" x14ac:dyDescent="0.3">
      <c r="A355" s="2" t="s">
        <v>1106</v>
      </c>
      <c r="B355" s="12">
        <f t="shared" si="15"/>
        <v>46120</v>
      </c>
      <c r="C355" s="13" t="s">
        <v>142</v>
      </c>
      <c r="D355" s="2" t="s">
        <v>63</v>
      </c>
      <c r="E355" s="2" t="str">
        <f t="shared" si="16"/>
        <v>Email Available</v>
      </c>
      <c r="F355" s="2" t="s">
        <v>64</v>
      </c>
      <c r="G355" s="2" t="s">
        <v>315</v>
      </c>
      <c r="H355" s="2" t="s">
        <v>37</v>
      </c>
      <c r="I355" s="2" t="s">
        <v>316</v>
      </c>
      <c r="J355" s="2">
        <v>1</v>
      </c>
      <c r="K355" s="2">
        <v>8.99</v>
      </c>
      <c r="L355" s="2" t="s">
        <v>121</v>
      </c>
      <c r="M355" s="2">
        <v>2.25</v>
      </c>
      <c r="N355" s="2">
        <v>5.99</v>
      </c>
      <c r="O355" s="2">
        <v>12.73</v>
      </c>
      <c r="P355" s="2" t="s">
        <v>74</v>
      </c>
      <c r="Q355" s="2" t="s">
        <v>90</v>
      </c>
      <c r="R355" s="2" t="s">
        <v>52</v>
      </c>
      <c r="S355" s="2" t="s">
        <v>30</v>
      </c>
      <c r="T355" s="2" t="s">
        <v>91</v>
      </c>
      <c r="U355" s="2" t="str">
        <f t="shared" si="17"/>
        <v>Valid</v>
      </c>
      <c r="V355" s="2" t="s">
        <v>1107</v>
      </c>
    </row>
    <row r="356" spans="1:22" hidden="1" x14ac:dyDescent="0.3">
      <c r="A356" s="2" t="s">
        <v>1108</v>
      </c>
      <c r="B356" s="12">
        <f t="shared" si="15"/>
        <v>46238.583318182871</v>
      </c>
      <c r="C356" s="13">
        <v>46238.583318182871</v>
      </c>
      <c r="D356" s="2" t="s">
        <v>1109</v>
      </c>
      <c r="E356" s="2" t="str">
        <f t="shared" si="16"/>
        <v>Email Available</v>
      </c>
      <c r="F356" s="2" t="s">
        <v>1110</v>
      </c>
      <c r="G356" s="2" t="s">
        <v>105</v>
      </c>
      <c r="H356" s="2" t="s">
        <v>106</v>
      </c>
      <c r="I356" s="2" t="s">
        <v>107</v>
      </c>
      <c r="J356" s="2">
        <v>1</v>
      </c>
      <c r="K356" s="2">
        <v>19.989999999999998</v>
      </c>
      <c r="L356" s="2" t="s">
        <v>39</v>
      </c>
      <c r="M356" s="2">
        <v>0</v>
      </c>
      <c r="N356" s="2">
        <v>0</v>
      </c>
      <c r="O356" s="2">
        <v>19.989999999999998</v>
      </c>
      <c r="P356" s="2" t="s">
        <v>74</v>
      </c>
      <c r="Q356" s="2" t="s">
        <v>28</v>
      </c>
      <c r="R356" s="2" t="s">
        <v>52</v>
      </c>
      <c r="S356" s="2" t="s">
        <v>30</v>
      </c>
      <c r="T356" s="2" t="s">
        <v>31</v>
      </c>
      <c r="U356" s="2" t="str">
        <f t="shared" si="17"/>
        <v>Valid</v>
      </c>
      <c r="V356" s="2" t="s">
        <v>1111</v>
      </c>
    </row>
    <row r="357" spans="1:22" hidden="1" x14ac:dyDescent="0.3">
      <c r="A357" s="2" t="s">
        <v>1112</v>
      </c>
      <c r="B357" s="12">
        <f t="shared" si="15"/>
        <v>46238.588253761583</v>
      </c>
      <c r="C357" s="13">
        <v>46238.588253761583</v>
      </c>
      <c r="D357" s="2" t="s">
        <v>1113</v>
      </c>
      <c r="E357" s="2" t="str">
        <f t="shared" si="16"/>
        <v>Email Available</v>
      </c>
      <c r="F357" s="2" t="s">
        <v>1114</v>
      </c>
      <c r="G357" s="2" t="s">
        <v>315</v>
      </c>
      <c r="H357" s="2" t="s">
        <v>37</v>
      </c>
      <c r="I357" s="2" t="s">
        <v>316</v>
      </c>
      <c r="J357" s="2">
        <v>1</v>
      </c>
      <c r="K357" s="2">
        <v>8.99</v>
      </c>
      <c r="L357" s="2" t="s">
        <v>208</v>
      </c>
      <c r="M357" s="2">
        <v>1.35</v>
      </c>
      <c r="N357" s="2">
        <v>5.99</v>
      </c>
      <c r="O357" s="2">
        <v>13.63</v>
      </c>
      <c r="P357" s="2" t="s">
        <v>51</v>
      </c>
      <c r="Q357" s="2" t="s">
        <v>41</v>
      </c>
      <c r="R357" s="2" t="s">
        <v>52</v>
      </c>
      <c r="S357" s="2" t="s">
        <v>30</v>
      </c>
      <c r="T357" s="2" t="s">
        <v>75</v>
      </c>
      <c r="U357" s="2" t="str">
        <f t="shared" si="17"/>
        <v>Valid</v>
      </c>
      <c r="V357" s="2" t="s">
        <v>1115</v>
      </c>
    </row>
    <row r="358" spans="1:22" hidden="1" x14ac:dyDescent="0.3">
      <c r="A358" s="2" t="s">
        <v>1116</v>
      </c>
      <c r="B358" s="12">
        <f t="shared" si="15"/>
        <v>46238.588521724538</v>
      </c>
      <c r="C358" s="13">
        <v>46238.588521724538</v>
      </c>
      <c r="D358" s="2"/>
      <c r="E358" s="2" t="str">
        <f t="shared" si="16"/>
        <v>Email Available</v>
      </c>
      <c r="F358" s="2" t="s">
        <v>1117</v>
      </c>
      <c r="G358" s="2" t="s">
        <v>133</v>
      </c>
      <c r="H358" s="2" t="s">
        <v>106</v>
      </c>
      <c r="I358" s="2" t="s">
        <v>134</v>
      </c>
      <c r="J358" s="2">
        <v>2</v>
      </c>
      <c r="K358" s="2">
        <v>16.989999999999998</v>
      </c>
      <c r="L358" s="2"/>
      <c r="M358" s="2">
        <v>0</v>
      </c>
      <c r="N358" s="2">
        <v>5.99</v>
      </c>
      <c r="O358" s="2">
        <v>39.97</v>
      </c>
      <c r="P358" s="2" t="s">
        <v>51</v>
      </c>
      <c r="Q358" s="2" t="s">
        <v>28</v>
      </c>
      <c r="R358" s="2" t="s">
        <v>99</v>
      </c>
      <c r="S358" s="2" t="s">
        <v>108</v>
      </c>
      <c r="T358" s="2"/>
      <c r="U358" s="2" t="str">
        <f t="shared" si="17"/>
        <v>Not Required</v>
      </c>
      <c r="V358" s="2" t="s">
        <v>1118</v>
      </c>
    </row>
    <row r="359" spans="1:22" hidden="1" x14ac:dyDescent="0.3">
      <c r="A359" s="2" t="s">
        <v>1119</v>
      </c>
      <c r="B359" s="12">
        <f t="shared" si="15"/>
        <v>46120</v>
      </c>
      <c r="C359" s="13" t="s">
        <v>142</v>
      </c>
      <c r="D359" s="2" t="s">
        <v>331</v>
      </c>
      <c r="E359" s="2" t="str">
        <f t="shared" si="16"/>
        <v>Email Available</v>
      </c>
      <c r="F359" s="2" t="s">
        <v>332</v>
      </c>
      <c r="G359" s="2" t="s">
        <v>241</v>
      </c>
      <c r="H359" s="2" t="s">
        <v>242</v>
      </c>
      <c r="I359" s="2" t="s">
        <v>243</v>
      </c>
      <c r="J359" s="2">
        <v>2</v>
      </c>
      <c r="K359" s="2">
        <v>27.99</v>
      </c>
      <c r="L359" s="2"/>
      <c r="M359" s="2">
        <v>0</v>
      </c>
      <c r="N359" s="2">
        <v>5.99</v>
      </c>
      <c r="O359" s="2">
        <v>61.97</v>
      </c>
      <c r="P359" s="2" t="s">
        <v>27</v>
      </c>
      <c r="Q359" s="2" t="s">
        <v>90</v>
      </c>
      <c r="R359" s="2" t="s">
        <v>52</v>
      </c>
      <c r="S359" s="2" t="s">
        <v>30</v>
      </c>
      <c r="T359" s="2" t="s">
        <v>347</v>
      </c>
      <c r="U359" s="2" t="str">
        <f t="shared" si="17"/>
        <v>Valid</v>
      </c>
      <c r="V359" s="2" t="s">
        <v>1120</v>
      </c>
    </row>
    <row r="360" spans="1:22" hidden="1" x14ac:dyDescent="0.3">
      <c r="A360" s="2" t="s">
        <v>1121</v>
      </c>
      <c r="B360" s="12">
        <f t="shared" si="15"/>
        <v>46238.586278946757</v>
      </c>
      <c r="C360" s="13">
        <v>46238.586278946757</v>
      </c>
      <c r="D360" s="2" t="s">
        <v>764</v>
      </c>
      <c r="E360" s="2" t="str">
        <f t="shared" si="16"/>
        <v>Email Available</v>
      </c>
      <c r="F360" s="2" t="s">
        <v>765</v>
      </c>
      <c r="G360" s="2" t="s">
        <v>105</v>
      </c>
      <c r="H360" s="2" t="s">
        <v>106</v>
      </c>
      <c r="I360" s="2" t="s">
        <v>107</v>
      </c>
      <c r="J360" s="2">
        <v>4</v>
      </c>
      <c r="K360" s="2">
        <v>19.989999999999998</v>
      </c>
      <c r="L360" s="2"/>
      <c r="M360" s="2">
        <v>0</v>
      </c>
      <c r="N360" s="2">
        <v>0</v>
      </c>
      <c r="O360" s="2" t="s">
        <v>504</v>
      </c>
      <c r="P360" s="2" t="s">
        <v>68</v>
      </c>
      <c r="Q360" s="2" t="s">
        <v>28</v>
      </c>
      <c r="R360" s="2" t="s">
        <v>99</v>
      </c>
      <c r="S360" s="2" t="s">
        <v>30</v>
      </c>
      <c r="T360" s="2" t="s">
        <v>454</v>
      </c>
      <c r="U360" s="2" t="str">
        <f t="shared" si="17"/>
        <v>Valid</v>
      </c>
      <c r="V360" s="2" t="s">
        <v>1122</v>
      </c>
    </row>
    <row r="361" spans="1:22" hidden="1" x14ac:dyDescent="0.3">
      <c r="A361" s="2" t="s">
        <v>1123</v>
      </c>
      <c r="B361" s="12">
        <f t="shared" si="15"/>
        <v>46238.581895914351</v>
      </c>
      <c r="C361" s="13">
        <v>46238.581895914351</v>
      </c>
      <c r="D361" s="2" t="s">
        <v>1124</v>
      </c>
      <c r="E361" s="2" t="str">
        <f t="shared" si="16"/>
        <v>Email Available</v>
      </c>
      <c r="F361" s="2" t="s">
        <v>1125</v>
      </c>
      <c r="G361" s="2" t="s">
        <v>120</v>
      </c>
      <c r="H361" s="2" t="s">
        <v>23</v>
      </c>
      <c r="I361" s="2" t="s">
        <v>24</v>
      </c>
      <c r="J361" s="2">
        <v>1</v>
      </c>
      <c r="K361" s="2">
        <v>12.99</v>
      </c>
      <c r="L361" s="2" t="s">
        <v>121</v>
      </c>
      <c r="M361" s="2">
        <v>3.25</v>
      </c>
      <c r="N361" s="2">
        <v>7.99</v>
      </c>
      <c r="O361" s="2" t="s">
        <v>1126</v>
      </c>
      <c r="P361" s="2" t="s">
        <v>68</v>
      </c>
      <c r="Q361" s="2" t="s">
        <v>28</v>
      </c>
      <c r="R361" s="2" t="s">
        <v>42</v>
      </c>
      <c r="S361" s="2" t="s">
        <v>30</v>
      </c>
      <c r="T361" s="2" t="s">
        <v>91</v>
      </c>
      <c r="U361" s="2" t="str">
        <f t="shared" si="17"/>
        <v>Valid</v>
      </c>
      <c r="V361" s="2" t="s">
        <v>1127</v>
      </c>
    </row>
    <row r="362" spans="1:22" hidden="1" x14ac:dyDescent="0.3">
      <c r="A362" s="2" t="s">
        <v>1128</v>
      </c>
      <c r="B362" s="12">
        <f t="shared" si="15"/>
        <v>46238.584448263893</v>
      </c>
      <c r="C362" s="13">
        <v>46238.584448263893</v>
      </c>
      <c r="D362" s="2" t="s">
        <v>881</v>
      </c>
      <c r="E362" s="2" t="str">
        <f t="shared" si="16"/>
        <v>Email Available</v>
      </c>
      <c r="F362" s="2" t="s">
        <v>882</v>
      </c>
      <c r="G362" s="2" t="s">
        <v>58</v>
      </c>
      <c r="H362" s="2" t="s">
        <v>23</v>
      </c>
      <c r="I362" s="2" t="s">
        <v>59</v>
      </c>
      <c r="J362" s="2">
        <v>1</v>
      </c>
      <c r="K362" s="2">
        <v>9.99</v>
      </c>
      <c r="L362" s="2"/>
      <c r="M362" s="2">
        <v>0</v>
      </c>
      <c r="N362" s="2">
        <v>5.99</v>
      </c>
      <c r="O362" s="2">
        <v>15.98</v>
      </c>
      <c r="P362" s="2" t="s">
        <v>27</v>
      </c>
      <c r="Q362" s="2" t="s">
        <v>114</v>
      </c>
      <c r="R362" s="2" t="s">
        <v>99</v>
      </c>
      <c r="S362" s="2" t="s">
        <v>30</v>
      </c>
      <c r="T362" s="2" t="s">
        <v>145</v>
      </c>
      <c r="U362" s="2" t="str">
        <f t="shared" si="17"/>
        <v>Valid</v>
      </c>
      <c r="V362" s="2" t="s">
        <v>1129</v>
      </c>
    </row>
    <row r="363" spans="1:22" hidden="1" x14ac:dyDescent="0.3">
      <c r="A363" s="2" t="s">
        <v>1130</v>
      </c>
      <c r="B363" s="12">
        <f t="shared" si="15"/>
        <v>46238.586516493058</v>
      </c>
      <c r="C363" s="13">
        <v>46238.586516493058</v>
      </c>
      <c r="D363" s="2" t="s">
        <v>1131</v>
      </c>
      <c r="E363" s="2" t="str">
        <f t="shared" si="16"/>
        <v>Email Available</v>
      </c>
      <c r="F363" s="2" t="s">
        <v>1132</v>
      </c>
      <c r="G363" s="2" t="s">
        <v>206</v>
      </c>
      <c r="H363" s="2" t="s">
        <v>196</v>
      </c>
      <c r="I363" s="2" t="s">
        <v>207</v>
      </c>
      <c r="J363" s="2">
        <v>2</v>
      </c>
      <c r="K363" s="2">
        <v>24.99</v>
      </c>
      <c r="L363" s="2" t="s">
        <v>67</v>
      </c>
      <c r="M363" s="2">
        <v>5</v>
      </c>
      <c r="N363" s="2">
        <v>7.99</v>
      </c>
      <c r="O363" s="2">
        <v>52.97</v>
      </c>
      <c r="P363" s="2" t="s">
        <v>40</v>
      </c>
      <c r="Q363" s="2" t="s">
        <v>28</v>
      </c>
      <c r="R363" s="2" t="s">
        <v>52</v>
      </c>
      <c r="S363" s="2" t="s">
        <v>337</v>
      </c>
      <c r="T363" s="2"/>
      <c r="U363" s="2" t="str">
        <f t="shared" si="17"/>
        <v>Not Required</v>
      </c>
      <c r="V363" s="2" t="s">
        <v>1133</v>
      </c>
    </row>
    <row r="364" spans="1:22" hidden="1" x14ac:dyDescent="0.3">
      <c r="A364" s="2" t="s">
        <v>1134</v>
      </c>
      <c r="B364" s="12">
        <f t="shared" si="15"/>
        <v>46238.589183865741</v>
      </c>
      <c r="C364" s="13">
        <v>46238.589183865741</v>
      </c>
      <c r="D364" s="2" t="s">
        <v>1098</v>
      </c>
      <c r="E364" s="2" t="str">
        <f t="shared" si="16"/>
        <v>Email Available</v>
      </c>
      <c r="F364" s="2" t="s">
        <v>1099</v>
      </c>
      <c r="G364" s="2" t="s">
        <v>65</v>
      </c>
      <c r="H364" s="2" t="s">
        <v>49</v>
      </c>
      <c r="I364" s="2" t="s">
        <v>66</v>
      </c>
      <c r="J364" s="2">
        <v>1</v>
      </c>
      <c r="K364" s="2">
        <v>14.99</v>
      </c>
      <c r="L364" s="2"/>
      <c r="M364" s="2">
        <v>0</v>
      </c>
      <c r="N364" s="2">
        <v>4.99</v>
      </c>
      <c r="O364" s="2">
        <v>19.98</v>
      </c>
      <c r="P364" s="2" t="s">
        <v>40</v>
      </c>
      <c r="Q364" s="2" t="s">
        <v>28</v>
      </c>
      <c r="R364" s="2" t="s">
        <v>42</v>
      </c>
      <c r="S364" s="2" t="s">
        <v>30</v>
      </c>
      <c r="T364" s="2" t="s">
        <v>1135</v>
      </c>
      <c r="U364" s="2" t="str">
        <f t="shared" si="17"/>
        <v>Valid</v>
      </c>
      <c r="V364" s="2" t="s">
        <v>1136</v>
      </c>
    </row>
    <row r="365" spans="1:22" hidden="1" x14ac:dyDescent="0.3">
      <c r="A365" s="2" t="s">
        <v>1137</v>
      </c>
      <c r="B365" s="12">
        <f t="shared" si="15"/>
        <v>46238</v>
      </c>
      <c r="C365" s="13" t="s">
        <v>1138</v>
      </c>
      <c r="D365" s="2" t="s">
        <v>1094</v>
      </c>
      <c r="E365" s="2" t="str">
        <f t="shared" si="16"/>
        <v>Email Available</v>
      </c>
      <c r="F365" s="2" t="s">
        <v>1095</v>
      </c>
      <c r="G365" s="2" t="s">
        <v>266</v>
      </c>
      <c r="H365" s="2" t="s">
        <v>37</v>
      </c>
      <c r="I365" s="2" t="s">
        <v>267</v>
      </c>
      <c r="J365" s="2">
        <v>1</v>
      </c>
      <c r="K365" s="2" t="s">
        <v>324</v>
      </c>
      <c r="L365" s="2" t="s">
        <v>1139</v>
      </c>
      <c r="M365" s="2">
        <v>1.55</v>
      </c>
      <c r="N365" s="2">
        <v>4.99</v>
      </c>
      <c r="O365" s="2">
        <v>18.93</v>
      </c>
      <c r="P365" s="2" t="s">
        <v>51</v>
      </c>
      <c r="Q365" s="2" t="s">
        <v>28</v>
      </c>
      <c r="R365" s="2" t="s">
        <v>29</v>
      </c>
      <c r="S365" s="2" t="s">
        <v>30</v>
      </c>
      <c r="T365" s="2" t="s">
        <v>31</v>
      </c>
      <c r="U365" s="2" t="str">
        <f t="shared" si="17"/>
        <v>Valid</v>
      </c>
      <c r="V365" s="2" t="s">
        <v>1140</v>
      </c>
    </row>
    <row r="366" spans="1:22" hidden="1" x14ac:dyDescent="0.3">
      <c r="A366" s="2" t="s">
        <v>1141</v>
      </c>
      <c r="B366" s="12">
        <f t="shared" si="15"/>
        <v>46238.585694224537</v>
      </c>
      <c r="C366" s="13">
        <v>46238.585694224537</v>
      </c>
      <c r="D366" s="2" t="s">
        <v>1142</v>
      </c>
      <c r="E366" s="2" t="str">
        <f t="shared" si="16"/>
        <v>Email Available</v>
      </c>
      <c r="F366" s="2" t="s">
        <v>1143</v>
      </c>
      <c r="G366" s="2" t="s">
        <v>65</v>
      </c>
      <c r="H366" s="2" t="s">
        <v>49</v>
      </c>
      <c r="I366" s="2" t="s">
        <v>66</v>
      </c>
      <c r="J366" s="2">
        <v>1</v>
      </c>
      <c r="K366" s="2">
        <v>14.99</v>
      </c>
      <c r="L366" s="2" t="s">
        <v>121</v>
      </c>
      <c r="M366" s="2">
        <v>3.75</v>
      </c>
      <c r="N366" s="2">
        <v>4.99</v>
      </c>
      <c r="O366" s="2">
        <v>16.23</v>
      </c>
      <c r="P366" s="2" t="s">
        <v>68</v>
      </c>
      <c r="Q366" s="2" t="s">
        <v>90</v>
      </c>
      <c r="R366" s="2" t="s">
        <v>52</v>
      </c>
      <c r="S366" s="2" t="s">
        <v>30</v>
      </c>
      <c r="T366" s="2" t="s">
        <v>294</v>
      </c>
      <c r="U366" s="2" t="str">
        <f t="shared" si="17"/>
        <v>Valid</v>
      </c>
      <c r="V366" s="2" t="s">
        <v>1144</v>
      </c>
    </row>
    <row r="367" spans="1:22" hidden="1" x14ac:dyDescent="0.3">
      <c r="A367" s="2" t="s">
        <v>1145</v>
      </c>
      <c r="B367" s="12">
        <f t="shared" si="15"/>
        <v>46238.588949282414</v>
      </c>
      <c r="C367" s="13">
        <v>46238.588949282414</v>
      </c>
      <c r="D367" s="2" t="s">
        <v>1146</v>
      </c>
      <c r="E367" s="2" t="str">
        <f t="shared" si="16"/>
        <v>Email Available</v>
      </c>
      <c r="F367" s="2" t="s">
        <v>481</v>
      </c>
      <c r="G367" s="2" t="s">
        <v>272</v>
      </c>
      <c r="H367" s="2" t="s">
        <v>23</v>
      </c>
      <c r="I367" s="2" t="s">
        <v>273</v>
      </c>
      <c r="J367" s="2">
        <v>2</v>
      </c>
      <c r="K367" s="2">
        <v>18.989999999999998</v>
      </c>
      <c r="L367" s="2"/>
      <c r="M367" s="2">
        <v>0</v>
      </c>
      <c r="N367" s="2">
        <v>5.99</v>
      </c>
      <c r="O367" s="2" t="s">
        <v>1147</v>
      </c>
      <c r="P367" s="2" t="s">
        <v>51</v>
      </c>
      <c r="Q367" s="2" t="s">
        <v>28</v>
      </c>
      <c r="R367" s="2" t="s">
        <v>52</v>
      </c>
      <c r="S367" s="2" t="s">
        <v>75</v>
      </c>
      <c r="T367" s="2"/>
      <c r="U367" s="2" t="str">
        <f t="shared" si="17"/>
        <v>Not Required</v>
      </c>
      <c r="V367" s="2" t="s">
        <v>1148</v>
      </c>
    </row>
    <row r="368" spans="1:22" hidden="1" x14ac:dyDescent="0.3">
      <c r="A368" s="2" t="s">
        <v>1149</v>
      </c>
      <c r="B368" s="12">
        <f t="shared" si="15"/>
        <v>46238.58202037037</v>
      </c>
      <c r="C368" s="13">
        <v>46238.58202037037</v>
      </c>
      <c r="D368" s="2" t="s">
        <v>103</v>
      </c>
      <c r="E368" s="2" t="str">
        <f t="shared" si="16"/>
        <v>Email Available</v>
      </c>
      <c r="F368" s="2" t="s">
        <v>104</v>
      </c>
      <c r="G368" s="2" t="s">
        <v>58</v>
      </c>
      <c r="H368" s="2" t="s">
        <v>23</v>
      </c>
      <c r="I368" s="2" t="s">
        <v>59</v>
      </c>
      <c r="J368" s="2">
        <v>1</v>
      </c>
      <c r="K368" s="2">
        <v>9.99</v>
      </c>
      <c r="L368" s="2" t="s">
        <v>1139</v>
      </c>
      <c r="M368" s="2">
        <v>1</v>
      </c>
      <c r="N368" s="2">
        <v>4.99</v>
      </c>
      <c r="O368" s="2" t="s">
        <v>1150</v>
      </c>
      <c r="P368" s="2" t="s">
        <v>40</v>
      </c>
      <c r="Q368" s="2" t="s">
        <v>90</v>
      </c>
      <c r="R368" s="2" t="s">
        <v>42</v>
      </c>
      <c r="S368" s="2" t="s">
        <v>108</v>
      </c>
      <c r="T368" s="2"/>
      <c r="U368" s="2" t="str">
        <f t="shared" si="17"/>
        <v>Not Required</v>
      </c>
      <c r="V368" s="2" t="s">
        <v>1151</v>
      </c>
    </row>
    <row r="369" spans="1:22" hidden="1" x14ac:dyDescent="0.3">
      <c r="A369" s="2" t="s">
        <v>1152</v>
      </c>
      <c r="B369" s="12">
        <f t="shared" si="15"/>
        <v>46238.582779918979</v>
      </c>
      <c r="C369" s="13">
        <v>46238.582779918979</v>
      </c>
      <c r="D369" s="2" t="s">
        <v>1153</v>
      </c>
      <c r="E369" s="2" t="str">
        <f t="shared" si="16"/>
        <v>Email Available</v>
      </c>
      <c r="F369" s="2" t="s">
        <v>1154</v>
      </c>
      <c r="G369" s="2" t="s">
        <v>195</v>
      </c>
      <c r="H369" s="2" t="s">
        <v>196</v>
      </c>
      <c r="I369" s="2" t="s">
        <v>197</v>
      </c>
      <c r="J369" s="2">
        <v>1</v>
      </c>
      <c r="K369" s="2">
        <v>13.49</v>
      </c>
      <c r="L369" s="2" t="s">
        <v>67</v>
      </c>
      <c r="M369" s="2">
        <v>1.35</v>
      </c>
      <c r="N369" s="2">
        <v>4.99</v>
      </c>
      <c r="O369" s="2" t="s">
        <v>1155</v>
      </c>
      <c r="P369" s="2" t="s">
        <v>74</v>
      </c>
      <c r="Q369" s="2" t="s">
        <v>28</v>
      </c>
      <c r="R369" s="2" t="s">
        <v>52</v>
      </c>
      <c r="S369" s="2" t="s">
        <v>30</v>
      </c>
      <c r="T369" s="2" t="s">
        <v>31</v>
      </c>
      <c r="U369" s="2" t="str">
        <f t="shared" si="17"/>
        <v>Valid</v>
      </c>
      <c r="V369" s="2" t="s">
        <v>1156</v>
      </c>
    </row>
    <row r="370" spans="1:22" hidden="1" x14ac:dyDescent="0.3">
      <c r="A370" s="2" t="s">
        <v>1157</v>
      </c>
      <c r="B370" s="12">
        <f t="shared" si="15"/>
        <v>46238.580669236107</v>
      </c>
      <c r="C370" s="13">
        <v>46238.580669236107</v>
      </c>
      <c r="D370" s="2" t="s">
        <v>373</v>
      </c>
      <c r="E370" s="2" t="str">
        <f t="shared" si="16"/>
        <v>Email Available</v>
      </c>
      <c r="F370" s="2" t="s">
        <v>374</v>
      </c>
      <c r="G370" s="2" t="s">
        <v>206</v>
      </c>
      <c r="H370" s="2" t="s">
        <v>196</v>
      </c>
      <c r="I370" s="2" t="s">
        <v>207</v>
      </c>
      <c r="J370" s="2">
        <v>2</v>
      </c>
      <c r="K370" s="2">
        <v>24.99</v>
      </c>
      <c r="L370" s="2" t="s">
        <v>67</v>
      </c>
      <c r="M370" s="2" t="s">
        <v>931</v>
      </c>
      <c r="N370" s="2">
        <v>4.99</v>
      </c>
      <c r="O370" s="2">
        <v>49.97</v>
      </c>
      <c r="P370" s="2" t="s">
        <v>68</v>
      </c>
      <c r="Q370" s="2" t="s">
        <v>28</v>
      </c>
      <c r="R370" s="2" t="s">
        <v>99</v>
      </c>
      <c r="S370" s="2" t="s">
        <v>337</v>
      </c>
      <c r="T370" s="2"/>
      <c r="U370" s="2" t="str">
        <f t="shared" si="17"/>
        <v>Not Required</v>
      </c>
      <c r="V370" s="2" t="s">
        <v>1158</v>
      </c>
    </row>
    <row r="371" spans="1:22" hidden="1" x14ac:dyDescent="0.3">
      <c r="A371" s="2" t="s">
        <v>1159</v>
      </c>
      <c r="B371" s="12">
        <f>DATE(VALUE(RIGHT(C371,4)),MATCH(LEFT(C371,3),{"Jan","Feb","Mar","Apr","May","Jun","Jul","Aug","Sep","Oct","Nov","Dec"},0),VALUE(MID(C371,5,2)))</f>
        <v>46238</v>
      </c>
      <c r="C371" s="13" t="s">
        <v>176</v>
      </c>
      <c r="D371" s="2" t="s">
        <v>610</v>
      </c>
      <c r="E371" s="2" t="str">
        <f t="shared" si="16"/>
        <v>Email Available</v>
      </c>
      <c r="F371" s="2" t="s">
        <v>611</v>
      </c>
      <c r="G371" s="2" t="s">
        <v>48</v>
      </c>
      <c r="H371" s="2" t="s">
        <v>49</v>
      </c>
      <c r="I371" s="2" t="s">
        <v>50</v>
      </c>
      <c r="J371" s="2">
        <v>1</v>
      </c>
      <c r="K371" s="2">
        <v>39.99</v>
      </c>
      <c r="L371" s="2" t="s">
        <v>67</v>
      </c>
      <c r="M371" s="2">
        <v>4</v>
      </c>
      <c r="N371" s="2">
        <v>7.99</v>
      </c>
      <c r="O371" s="2">
        <v>43.98</v>
      </c>
      <c r="P371" s="2" t="s">
        <v>51</v>
      </c>
      <c r="Q371" s="2" t="s">
        <v>41</v>
      </c>
      <c r="R371" s="2" t="s">
        <v>52</v>
      </c>
      <c r="S371" s="2" t="s">
        <v>43</v>
      </c>
      <c r="T371" s="2"/>
      <c r="U371" s="2" t="str">
        <f t="shared" si="17"/>
        <v>Not Required</v>
      </c>
      <c r="V371" s="2" t="s">
        <v>1160</v>
      </c>
    </row>
    <row r="372" spans="1:22" hidden="1" x14ac:dyDescent="0.3">
      <c r="A372" s="2" t="s">
        <v>1161</v>
      </c>
      <c r="B372" s="12">
        <f t="shared" si="15"/>
        <v>46238</v>
      </c>
      <c r="C372" s="13" t="s">
        <v>1162</v>
      </c>
      <c r="D372" s="2" t="s">
        <v>218</v>
      </c>
      <c r="E372" s="2" t="str">
        <f t="shared" si="16"/>
        <v>Email Available</v>
      </c>
      <c r="F372" s="2" t="s">
        <v>219</v>
      </c>
      <c r="G372" s="2" t="s">
        <v>120</v>
      </c>
      <c r="H372" s="2" t="s">
        <v>23</v>
      </c>
      <c r="I372" s="2" t="s">
        <v>24</v>
      </c>
      <c r="J372" s="2">
        <v>1</v>
      </c>
      <c r="K372" s="2" t="s">
        <v>1163</v>
      </c>
      <c r="L372" s="2"/>
      <c r="M372" s="2">
        <v>0</v>
      </c>
      <c r="N372" s="2">
        <v>4.99</v>
      </c>
      <c r="O372" s="2">
        <v>17.98</v>
      </c>
      <c r="P372" s="2" t="s">
        <v>27</v>
      </c>
      <c r="Q372" s="2" t="s">
        <v>114</v>
      </c>
      <c r="R372" s="2" t="s">
        <v>52</v>
      </c>
      <c r="S372" s="2" t="s">
        <v>30</v>
      </c>
      <c r="T372" s="2" t="s">
        <v>53</v>
      </c>
      <c r="U372" s="2" t="str">
        <f t="shared" si="17"/>
        <v>Valid</v>
      </c>
      <c r="V372" s="2" t="s">
        <v>1164</v>
      </c>
    </row>
    <row r="373" spans="1:22" hidden="1" x14ac:dyDescent="0.3">
      <c r="A373" s="2" t="s">
        <v>1165</v>
      </c>
      <c r="B373" s="12">
        <f t="shared" si="15"/>
        <v>46238.586429791663</v>
      </c>
      <c r="C373" s="13">
        <v>46238.586429791663</v>
      </c>
      <c r="D373" s="2" t="s">
        <v>1166</v>
      </c>
      <c r="E373" s="2" t="str">
        <f t="shared" si="16"/>
        <v>Email Available</v>
      </c>
      <c r="F373" s="2" t="s">
        <v>1167</v>
      </c>
      <c r="G373" s="2" t="s">
        <v>58</v>
      </c>
      <c r="H373" s="2" t="s">
        <v>23</v>
      </c>
      <c r="I373" s="2" t="s">
        <v>59</v>
      </c>
      <c r="J373" s="2">
        <v>1</v>
      </c>
      <c r="K373" s="2">
        <v>9.99</v>
      </c>
      <c r="L373" s="2" t="s">
        <v>25</v>
      </c>
      <c r="M373" s="2">
        <v>2</v>
      </c>
      <c r="N373" s="2">
        <v>4.99</v>
      </c>
      <c r="O373" s="2">
        <v>12.98</v>
      </c>
      <c r="P373" s="2" t="s">
        <v>68</v>
      </c>
      <c r="Q373" s="2" t="s">
        <v>28</v>
      </c>
      <c r="R373" s="2" t="s">
        <v>52</v>
      </c>
      <c r="S373" s="2" t="s">
        <v>30</v>
      </c>
      <c r="T373" s="2" t="s">
        <v>115</v>
      </c>
      <c r="U373" s="2" t="str">
        <f t="shared" si="17"/>
        <v>Valid</v>
      </c>
      <c r="V373" s="2" t="s">
        <v>1168</v>
      </c>
    </row>
    <row r="374" spans="1:22" hidden="1" x14ac:dyDescent="0.3">
      <c r="A374" s="2" t="s">
        <v>1169</v>
      </c>
      <c r="B374" s="12">
        <f t="shared" si="15"/>
        <v>46238.588519386583</v>
      </c>
      <c r="C374" s="13">
        <v>46238.588519386583</v>
      </c>
      <c r="D374" s="2" t="s">
        <v>292</v>
      </c>
      <c r="E374" s="2" t="str">
        <f t="shared" si="16"/>
        <v>Email Available</v>
      </c>
      <c r="F374" s="2" t="s">
        <v>293</v>
      </c>
      <c r="G374" s="2" t="s">
        <v>151</v>
      </c>
      <c r="H374" s="2" t="s">
        <v>49</v>
      </c>
      <c r="I374" s="2" t="s">
        <v>152</v>
      </c>
      <c r="J374" s="2">
        <v>1</v>
      </c>
      <c r="K374" s="2">
        <v>34.99</v>
      </c>
      <c r="L374" s="2"/>
      <c r="M374" s="2">
        <v>0</v>
      </c>
      <c r="N374" s="2">
        <v>7.99</v>
      </c>
      <c r="O374" s="2">
        <v>42.98</v>
      </c>
      <c r="P374" s="2" t="s">
        <v>40</v>
      </c>
      <c r="Q374" s="2" t="s">
        <v>114</v>
      </c>
      <c r="R374" s="2" t="s">
        <v>29</v>
      </c>
      <c r="S374" s="2" t="s">
        <v>30</v>
      </c>
      <c r="T374" s="2" t="s">
        <v>53</v>
      </c>
      <c r="U374" s="2" t="str">
        <f t="shared" si="17"/>
        <v>Valid</v>
      </c>
      <c r="V374" s="2" t="s">
        <v>1170</v>
      </c>
    </row>
    <row r="375" spans="1:22" hidden="1" x14ac:dyDescent="0.3">
      <c r="A375" s="2" t="s">
        <v>1171</v>
      </c>
      <c r="B375" s="12">
        <f t="shared" si="15"/>
        <v>46238.579256076388</v>
      </c>
      <c r="C375" s="13">
        <v>46238.579256076388</v>
      </c>
      <c r="D375" s="2" t="s">
        <v>1172</v>
      </c>
      <c r="E375" s="2" t="str">
        <f t="shared" si="16"/>
        <v>Email Available</v>
      </c>
      <c r="F375" s="2" t="s">
        <v>1173</v>
      </c>
      <c r="G375" s="2" t="s">
        <v>127</v>
      </c>
      <c r="H375" s="2" t="s">
        <v>81</v>
      </c>
      <c r="I375" s="2" t="s">
        <v>128</v>
      </c>
      <c r="J375" s="2">
        <v>1</v>
      </c>
      <c r="K375" s="2" t="s">
        <v>1100</v>
      </c>
      <c r="L375" s="2"/>
      <c r="M375" s="2">
        <v>0</v>
      </c>
      <c r="N375" s="2">
        <v>4.99</v>
      </c>
      <c r="O375" s="2">
        <v>18.98</v>
      </c>
      <c r="P375" s="2" t="s">
        <v>51</v>
      </c>
      <c r="Q375" s="2" t="s">
        <v>114</v>
      </c>
      <c r="R375" s="2" t="s">
        <v>52</v>
      </c>
      <c r="S375" s="2" t="s">
        <v>43</v>
      </c>
      <c r="T375" s="2"/>
      <c r="U375" s="2" t="str">
        <f t="shared" si="17"/>
        <v>Not Required</v>
      </c>
      <c r="V375" s="2" t="s">
        <v>1174</v>
      </c>
    </row>
    <row r="376" spans="1:22" hidden="1" x14ac:dyDescent="0.3">
      <c r="A376" s="2" t="s">
        <v>1175</v>
      </c>
      <c r="B376" s="12">
        <f t="shared" si="15"/>
        <v>46238.583787719908</v>
      </c>
      <c r="C376" s="13">
        <v>46238.583787719908</v>
      </c>
      <c r="D376" s="2" t="s">
        <v>354</v>
      </c>
      <c r="E376" s="2" t="str">
        <f t="shared" si="16"/>
        <v>Email Available</v>
      </c>
      <c r="F376" s="2" t="s">
        <v>355</v>
      </c>
      <c r="G376" s="2" t="s">
        <v>368</v>
      </c>
      <c r="H376" s="2" t="s">
        <v>88</v>
      </c>
      <c r="I376" s="2" t="s">
        <v>369</v>
      </c>
      <c r="J376" s="2">
        <v>1</v>
      </c>
      <c r="K376" s="2">
        <v>54.99</v>
      </c>
      <c r="L376" s="2"/>
      <c r="M376" s="2">
        <v>0</v>
      </c>
      <c r="N376" s="2">
        <v>7.99</v>
      </c>
      <c r="O376" s="2">
        <v>62.98</v>
      </c>
      <c r="P376" s="2" t="s">
        <v>40</v>
      </c>
      <c r="Q376" s="2" t="s">
        <v>90</v>
      </c>
      <c r="R376" s="2" t="s">
        <v>99</v>
      </c>
      <c r="S376" s="2" t="s">
        <v>228</v>
      </c>
      <c r="T376" s="2"/>
      <c r="U376" s="2" t="str">
        <f t="shared" si="17"/>
        <v>Not Required</v>
      </c>
      <c r="V376" s="2" t="s">
        <v>1176</v>
      </c>
    </row>
    <row r="377" spans="1:22" hidden="1" x14ac:dyDescent="0.3">
      <c r="A377" s="2" t="s">
        <v>1177</v>
      </c>
      <c r="B377" s="12">
        <f t="shared" si="15"/>
        <v>46238.588957476852</v>
      </c>
      <c r="C377" s="13">
        <v>46238.588957476852</v>
      </c>
      <c r="D377" s="2" t="s">
        <v>565</v>
      </c>
      <c r="E377" s="2" t="str">
        <f t="shared" si="16"/>
        <v>Email Available</v>
      </c>
      <c r="F377" s="2" t="s">
        <v>566</v>
      </c>
      <c r="G377" s="2" t="s">
        <v>1178</v>
      </c>
      <c r="H377" s="2" t="s">
        <v>242</v>
      </c>
      <c r="I377" s="2" t="s">
        <v>243</v>
      </c>
      <c r="J377" s="2">
        <v>1</v>
      </c>
      <c r="K377" s="2">
        <v>27.99</v>
      </c>
      <c r="L377" s="2" t="s">
        <v>67</v>
      </c>
      <c r="M377" s="2">
        <v>2.8</v>
      </c>
      <c r="N377" s="2">
        <v>5.99</v>
      </c>
      <c r="O377" s="2">
        <v>31.18</v>
      </c>
      <c r="P377" s="2" t="s">
        <v>27</v>
      </c>
      <c r="Q377" s="2" t="s">
        <v>28</v>
      </c>
      <c r="R377" s="2" t="s">
        <v>42</v>
      </c>
      <c r="S377" s="2" t="s">
        <v>43</v>
      </c>
      <c r="T377" s="2"/>
      <c r="U377" s="2" t="str">
        <f t="shared" si="17"/>
        <v>Not Required</v>
      </c>
      <c r="V377" s="2" t="s">
        <v>1179</v>
      </c>
    </row>
    <row r="378" spans="1:22" hidden="1" x14ac:dyDescent="0.3">
      <c r="A378" s="2" t="s">
        <v>1180</v>
      </c>
      <c r="B378" s="12">
        <f t="shared" si="15"/>
        <v>46120</v>
      </c>
      <c r="C378" s="13" t="s">
        <v>142</v>
      </c>
      <c r="D378" s="2" t="s">
        <v>420</v>
      </c>
      <c r="E378" s="2" t="str">
        <f t="shared" si="16"/>
        <v>Email Available</v>
      </c>
      <c r="F378" s="2" t="s">
        <v>421</v>
      </c>
      <c r="G378" s="2" t="s">
        <v>120</v>
      </c>
      <c r="H378" s="2" t="s">
        <v>23</v>
      </c>
      <c r="I378" s="2" t="s">
        <v>24</v>
      </c>
      <c r="J378" s="2">
        <v>1</v>
      </c>
      <c r="K378" s="2">
        <v>12.99</v>
      </c>
      <c r="L378" s="2" t="s">
        <v>1181</v>
      </c>
      <c r="M378" s="2">
        <v>3.25</v>
      </c>
      <c r="N378" s="2">
        <v>5.99</v>
      </c>
      <c r="O378" s="2" t="s">
        <v>1182</v>
      </c>
      <c r="P378" s="2" t="s">
        <v>68</v>
      </c>
      <c r="Q378" s="2" t="s">
        <v>28</v>
      </c>
      <c r="R378" s="2" t="s">
        <v>52</v>
      </c>
      <c r="S378" s="2" t="s">
        <v>337</v>
      </c>
      <c r="T378" s="2"/>
      <c r="U378" s="2" t="str">
        <f t="shared" si="17"/>
        <v>Not Required</v>
      </c>
      <c r="V378" s="2" t="s">
        <v>1183</v>
      </c>
    </row>
    <row r="379" spans="1:22" hidden="1" x14ac:dyDescent="0.3">
      <c r="A379" s="2" t="s">
        <v>1184</v>
      </c>
      <c r="B379" s="12">
        <f t="shared" si="15"/>
        <v>46120</v>
      </c>
      <c r="C379" s="13" t="s">
        <v>142</v>
      </c>
      <c r="D379" s="2" t="s">
        <v>896</v>
      </c>
      <c r="E379" s="2" t="str">
        <f t="shared" si="16"/>
        <v>Email Available</v>
      </c>
      <c r="F379" s="2" t="s">
        <v>897</v>
      </c>
      <c r="G379" s="2" t="s">
        <v>284</v>
      </c>
      <c r="H379" s="2" t="s">
        <v>23</v>
      </c>
      <c r="I379" s="2" t="s">
        <v>285</v>
      </c>
      <c r="J379" s="2">
        <v>1</v>
      </c>
      <c r="K379" s="2">
        <v>24.99</v>
      </c>
      <c r="L379" s="2" t="s">
        <v>208</v>
      </c>
      <c r="M379" s="2">
        <v>3.75</v>
      </c>
      <c r="N379" s="2">
        <v>4.99</v>
      </c>
      <c r="O379" s="2">
        <v>26.23</v>
      </c>
      <c r="P379" s="2" t="s">
        <v>74</v>
      </c>
      <c r="Q379" s="2" t="s">
        <v>28</v>
      </c>
      <c r="R379" s="2" t="s">
        <v>52</v>
      </c>
      <c r="S379" s="2" t="s">
        <v>337</v>
      </c>
      <c r="T379" s="2"/>
      <c r="U379" s="2" t="str">
        <f t="shared" si="17"/>
        <v>Not Required</v>
      </c>
      <c r="V379" s="2" t="s">
        <v>1185</v>
      </c>
    </row>
    <row r="380" spans="1:22" hidden="1" x14ac:dyDescent="0.3">
      <c r="A380" s="2" t="s">
        <v>1186</v>
      </c>
      <c r="B380" s="12">
        <f t="shared" si="15"/>
        <v>46238.579529594906</v>
      </c>
      <c r="C380" s="13">
        <v>46238.579529594906</v>
      </c>
      <c r="D380" s="2" t="s">
        <v>681</v>
      </c>
      <c r="E380" s="2" t="str">
        <f t="shared" si="16"/>
        <v>Email Available</v>
      </c>
      <c r="F380" s="2" t="s">
        <v>682</v>
      </c>
      <c r="G380" s="2" t="s">
        <v>206</v>
      </c>
      <c r="H380" s="2" t="s">
        <v>196</v>
      </c>
      <c r="I380" s="2" t="s">
        <v>207</v>
      </c>
      <c r="J380" s="2">
        <v>1</v>
      </c>
      <c r="K380" s="2">
        <v>24.99</v>
      </c>
      <c r="L380" s="2" t="s">
        <v>25</v>
      </c>
      <c r="M380" s="2">
        <v>5</v>
      </c>
      <c r="N380" s="2">
        <v>4.99</v>
      </c>
      <c r="O380" s="2">
        <v>24.98</v>
      </c>
      <c r="P380" s="2" t="s">
        <v>27</v>
      </c>
      <c r="Q380" s="2" t="s">
        <v>28</v>
      </c>
      <c r="R380" s="2" t="s">
        <v>52</v>
      </c>
      <c r="S380" s="2" t="s">
        <v>75</v>
      </c>
      <c r="T380" s="2"/>
      <c r="U380" s="2" t="str">
        <f t="shared" si="17"/>
        <v>Not Required</v>
      </c>
      <c r="V380" s="2" t="s">
        <v>1187</v>
      </c>
    </row>
    <row r="381" spans="1:22" hidden="1" x14ac:dyDescent="0.3">
      <c r="A381" s="2" t="s">
        <v>1192</v>
      </c>
      <c r="B381" s="12">
        <f t="shared" si="15"/>
        <v>46238.587044120373</v>
      </c>
      <c r="C381" s="13">
        <v>46238.587044120373</v>
      </c>
      <c r="D381" s="2" t="s">
        <v>1193</v>
      </c>
      <c r="E381" s="2" t="str">
        <f t="shared" si="16"/>
        <v>Email Available</v>
      </c>
      <c r="F381" s="2" t="s">
        <v>1194</v>
      </c>
      <c r="G381" s="2" t="s">
        <v>226</v>
      </c>
      <c r="H381" s="2" t="s">
        <v>23</v>
      </c>
      <c r="I381" s="2" t="s">
        <v>227</v>
      </c>
      <c r="J381" s="2">
        <v>2</v>
      </c>
      <c r="K381" s="2">
        <v>17.989999999999998</v>
      </c>
      <c r="L381" s="2" t="s">
        <v>208</v>
      </c>
      <c r="M381" s="2">
        <v>5.4</v>
      </c>
      <c r="N381" s="2">
        <v>7.99</v>
      </c>
      <c r="O381" s="2">
        <v>38.57</v>
      </c>
      <c r="P381" s="2" t="s">
        <v>27</v>
      </c>
      <c r="Q381" s="2" t="s">
        <v>28</v>
      </c>
      <c r="R381" s="2" t="s">
        <v>52</v>
      </c>
      <c r="S381" s="2" t="s">
        <v>30</v>
      </c>
      <c r="T381" s="2" t="s">
        <v>53</v>
      </c>
      <c r="U381" s="2" t="str">
        <f t="shared" si="17"/>
        <v>Valid</v>
      </c>
      <c r="V381" s="2" t="s">
        <v>1195</v>
      </c>
    </row>
    <row r="382" spans="1:22" hidden="1" x14ac:dyDescent="0.3">
      <c r="A382" s="2" t="s">
        <v>1196</v>
      </c>
      <c r="B382" s="12">
        <f t="shared" si="15"/>
        <v>46238.579923437501</v>
      </c>
      <c r="C382" s="13">
        <v>46238.579923437501</v>
      </c>
      <c r="D382" s="2" t="s">
        <v>614</v>
      </c>
      <c r="E382" s="2" t="str">
        <f t="shared" si="16"/>
        <v>Email Available</v>
      </c>
      <c r="F382" s="2" t="s">
        <v>615</v>
      </c>
      <c r="G382" s="2" t="s">
        <v>315</v>
      </c>
      <c r="H382" s="2" t="s">
        <v>37</v>
      </c>
      <c r="I382" s="2" t="s">
        <v>316</v>
      </c>
      <c r="J382" s="2">
        <v>1</v>
      </c>
      <c r="K382" s="2">
        <v>8.99</v>
      </c>
      <c r="L382" s="2"/>
      <c r="M382" s="2">
        <v>0</v>
      </c>
      <c r="N382" s="2">
        <v>7.99</v>
      </c>
      <c r="O382" s="2">
        <v>16.98</v>
      </c>
      <c r="P382" s="2" t="s">
        <v>40</v>
      </c>
      <c r="Q382" s="2" t="s">
        <v>90</v>
      </c>
      <c r="R382" s="2" t="s">
        <v>99</v>
      </c>
      <c r="S382" s="2" t="s">
        <v>43</v>
      </c>
      <c r="T382" s="2"/>
      <c r="U382" s="2" t="str">
        <f t="shared" si="17"/>
        <v>Not Required</v>
      </c>
      <c r="V382" s="2" t="s">
        <v>1197</v>
      </c>
    </row>
    <row r="383" spans="1:22" hidden="1" x14ac:dyDescent="0.3">
      <c r="A383" s="2" t="s">
        <v>1198</v>
      </c>
      <c r="B383" s="12">
        <f t="shared" si="15"/>
        <v>46238.582978564817</v>
      </c>
      <c r="C383" s="13">
        <v>46238.582978564817</v>
      </c>
      <c r="D383" s="2" t="s">
        <v>118</v>
      </c>
      <c r="E383" s="2" t="str">
        <f t="shared" si="16"/>
        <v>Email Available</v>
      </c>
      <c r="F383" s="2" t="s">
        <v>1199</v>
      </c>
      <c r="G383" s="2" t="s">
        <v>187</v>
      </c>
      <c r="H383" s="2" t="s">
        <v>37</v>
      </c>
      <c r="I383" s="2" t="s">
        <v>188</v>
      </c>
      <c r="J383" s="2">
        <v>1</v>
      </c>
      <c r="K383" s="2" t="s">
        <v>409</v>
      </c>
      <c r="L383" s="2" t="s">
        <v>67</v>
      </c>
      <c r="M383" s="2">
        <v>1.2</v>
      </c>
      <c r="N383" s="2">
        <v>7.99</v>
      </c>
      <c r="O383" s="2">
        <v>18.78</v>
      </c>
      <c r="P383" s="2" t="s">
        <v>40</v>
      </c>
      <c r="Q383" s="2" t="s">
        <v>28</v>
      </c>
      <c r="R383" s="2" t="s">
        <v>42</v>
      </c>
      <c r="S383" s="2" t="s">
        <v>108</v>
      </c>
      <c r="T383" s="2"/>
      <c r="U383" s="2" t="str">
        <f t="shared" si="17"/>
        <v>Not Required</v>
      </c>
      <c r="V383" s="2" t="s">
        <v>1200</v>
      </c>
    </row>
    <row r="384" spans="1:22" hidden="1" x14ac:dyDescent="0.3">
      <c r="A384" s="2" t="s">
        <v>1201</v>
      </c>
      <c r="B384" s="12">
        <f t="shared" si="15"/>
        <v>46238</v>
      </c>
      <c r="C384" s="13" t="s">
        <v>1202</v>
      </c>
      <c r="D384" s="2" t="s">
        <v>354</v>
      </c>
      <c r="E384" s="2" t="str">
        <f t="shared" si="16"/>
        <v>Email Available</v>
      </c>
      <c r="F384" s="2" t="s">
        <v>355</v>
      </c>
      <c r="G384" s="2" t="s">
        <v>266</v>
      </c>
      <c r="H384" s="2" t="s">
        <v>37</v>
      </c>
      <c r="I384" s="2" t="s">
        <v>267</v>
      </c>
      <c r="J384" s="2">
        <v>1</v>
      </c>
      <c r="K384" s="2">
        <v>15.49</v>
      </c>
      <c r="L384" s="2"/>
      <c r="M384" s="2">
        <v>0</v>
      </c>
      <c r="N384" s="2">
        <v>7.99</v>
      </c>
      <c r="O384" s="2">
        <v>23.48</v>
      </c>
      <c r="P384" s="2" t="s">
        <v>74</v>
      </c>
      <c r="Q384" s="2" t="s">
        <v>28</v>
      </c>
      <c r="R384" s="2" t="s">
        <v>52</v>
      </c>
      <c r="S384" s="2" t="s">
        <v>228</v>
      </c>
      <c r="T384" s="2"/>
      <c r="U384" s="2" t="str">
        <f t="shared" si="17"/>
        <v>Not Required</v>
      </c>
      <c r="V384" s="2" t="s">
        <v>1203</v>
      </c>
    </row>
    <row r="385" spans="1:22" hidden="1" x14ac:dyDescent="0.3">
      <c r="A385" s="2" t="s">
        <v>1204</v>
      </c>
      <c r="B385" s="12">
        <f t="shared" si="15"/>
        <v>46238.586076481479</v>
      </c>
      <c r="C385" s="13">
        <v>46238.586076481479</v>
      </c>
      <c r="D385" s="2" t="s">
        <v>63</v>
      </c>
      <c r="E385" s="2" t="str">
        <f t="shared" si="16"/>
        <v>Email Available</v>
      </c>
      <c r="F385" s="2" t="s">
        <v>64</v>
      </c>
      <c r="G385" s="2" t="s">
        <v>157</v>
      </c>
      <c r="H385" s="2" t="s">
        <v>37</v>
      </c>
      <c r="I385" s="2" t="s">
        <v>158</v>
      </c>
      <c r="J385" s="2">
        <v>1</v>
      </c>
      <c r="K385" s="2">
        <v>29.99</v>
      </c>
      <c r="L385" s="2" t="s">
        <v>25</v>
      </c>
      <c r="M385" s="2">
        <v>6</v>
      </c>
      <c r="N385" s="2">
        <v>5.99</v>
      </c>
      <c r="O385" s="2">
        <v>29.98</v>
      </c>
      <c r="P385" s="2" t="s">
        <v>40</v>
      </c>
      <c r="Q385" s="2" t="s">
        <v>28</v>
      </c>
      <c r="R385" s="2" t="s">
        <v>52</v>
      </c>
      <c r="S385" s="2" t="s">
        <v>30</v>
      </c>
      <c r="T385" s="2" t="s">
        <v>53</v>
      </c>
      <c r="U385" s="2" t="str">
        <f t="shared" si="17"/>
        <v>Valid</v>
      </c>
      <c r="V385" s="2" t="s">
        <v>1205</v>
      </c>
    </row>
    <row r="386" spans="1:22" hidden="1" x14ac:dyDescent="0.3">
      <c r="A386" s="2" t="s">
        <v>1206</v>
      </c>
      <c r="B386" s="12">
        <f t="shared" ref="B386:B449" si="18">IF(ISNUMBER(C386),C386,DATEVALUE(SUBSTITUTE(TRIM(C386),CHAR(160)," ")))</f>
        <v>46238.583679988427</v>
      </c>
      <c r="C386" s="13">
        <v>46238.583679988427</v>
      </c>
      <c r="D386" s="2" t="s">
        <v>805</v>
      </c>
      <c r="E386" s="2" t="str">
        <f t="shared" si="16"/>
        <v>Email Available</v>
      </c>
      <c r="F386" s="2" t="s">
        <v>806</v>
      </c>
      <c r="G386" s="2" t="s">
        <v>206</v>
      </c>
      <c r="H386" s="2" t="s">
        <v>196</v>
      </c>
      <c r="I386" s="2" t="s">
        <v>207</v>
      </c>
      <c r="J386" s="2">
        <v>1</v>
      </c>
      <c r="K386" s="2">
        <v>24.99</v>
      </c>
      <c r="L386" s="2" t="s">
        <v>25</v>
      </c>
      <c r="M386" s="2">
        <v>5</v>
      </c>
      <c r="N386" s="2">
        <v>4.99</v>
      </c>
      <c r="O386" s="2">
        <v>24.98</v>
      </c>
      <c r="P386" s="2" t="s">
        <v>74</v>
      </c>
      <c r="Q386" s="2" t="s">
        <v>28</v>
      </c>
      <c r="R386" s="2" t="s">
        <v>42</v>
      </c>
      <c r="S386" s="2" t="s">
        <v>43</v>
      </c>
      <c r="T386" s="2"/>
      <c r="U386" s="2" t="str">
        <f t="shared" ref="U386:U449" si="19">IF(AND(S386="United States",T386=""),"Missing state",IF(T386="","Not Required","Valid"))</f>
        <v>Not Required</v>
      </c>
      <c r="V386" s="2" t="s">
        <v>1207</v>
      </c>
    </row>
    <row r="387" spans="1:22" hidden="1" x14ac:dyDescent="0.3">
      <c r="A387" s="2" t="s">
        <v>1208</v>
      </c>
      <c r="B387" s="12">
        <f t="shared" si="18"/>
        <v>46238</v>
      </c>
      <c r="C387" s="13" t="s">
        <v>1209</v>
      </c>
      <c r="D387" s="2" t="s">
        <v>1210</v>
      </c>
      <c r="E387" s="2" t="str">
        <f t="shared" ref="E387:E450" si="20">IF(TRIM(F387)="","Missing Email","Email Available")</f>
        <v>Email Available</v>
      </c>
      <c r="F387" s="2" t="s">
        <v>1211</v>
      </c>
      <c r="G387" s="2" t="s">
        <v>133</v>
      </c>
      <c r="H387" s="2" t="s">
        <v>106</v>
      </c>
      <c r="I387" s="2" t="s">
        <v>134</v>
      </c>
      <c r="J387" s="2">
        <v>1</v>
      </c>
      <c r="K387" s="2">
        <v>16.989999999999998</v>
      </c>
      <c r="L387" s="2" t="s">
        <v>121</v>
      </c>
      <c r="M387" s="2">
        <v>4.25</v>
      </c>
      <c r="N387" s="2">
        <v>5.99</v>
      </c>
      <c r="O387" s="2">
        <v>18.73</v>
      </c>
      <c r="P387" s="2" t="s">
        <v>40</v>
      </c>
      <c r="Q387" s="2" t="s">
        <v>114</v>
      </c>
      <c r="R387" s="2" t="s">
        <v>52</v>
      </c>
      <c r="S387" s="2" t="s">
        <v>108</v>
      </c>
      <c r="T387" s="2"/>
      <c r="U387" s="2" t="str">
        <f t="shared" si="19"/>
        <v>Not Required</v>
      </c>
      <c r="V387" s="2" t="s">
        <v>1212</v>
      </c>
    </row>
    <row r="388" spans="1:22" hidden="1" x14ac:dyDescent="0.3">
      <c r="A388" s="2" t="s">
        <v>1213</v>
      </c>
      <c r="B388" s="12">
        <f t="shared" si="18"/>
        <v>46238</v>
      </c>
      <c r="C388" s="13" t="s">
        <v>1214</v>
      </c>
      <c r="D388" s="2" t="s">
        <v>1215</v>
      </c>
      <c r="E388" s="2" t="str">
        <f t="shared" si="20"/>
        <v>Email Available</v>
      </c>
      <c r="F388" s="2" t="s">
        <v>1216</v>
      </c>
      <c r="G388" s="2" t="s">
        <v>1217</v>
      </c>
      <c r="H388" s="2" t="s">
        <v>106</v>
      </c>
      <c r="I388" s="2" t="s">
        <v>107</v>
      </c>
      <c r="J388" s="2">
        <v>1</v>
      </c>
      <c r="K388" s="2" t="s">
        <v>458</v>
      </c>
      <c r="L388" s="2" t="s">
        <v>208</v>
      </c>
      <c r="M388" s="2">
        <v>3</v>
      </c>
      <c r="N388" s="2">
        <v>4.99</v>
      </c>
      <c r="O388" s="2">
        <v>21.98</v>
      </c>
      <c r="P388" s="2" t="s">
        <v>40</v>
      </c>
      <c r="Q388" s="2" t="s">
        <v>28</v>
      </c>
      <c r="R388" s="2" t="s">
        <v>99</v>
      </c>
      <c r="S388" s="2" t="s">
        <v>30</v>
      </c>
      <c r="T388" s="2" t="s">
        <v>53</v>
      </c>
      <c r="U388" s="2" t="str">
        <f t="shared" si="19"/>
        <v>Valid</v>
      </c>
      <c r="V388" s="2" t="s">
        <v>1218</v>
      </c>
    </row>
    <row r="389" spans="1:22" hidden="1" x14ac:dyDescent="0.3">
      <c r="A389" s="2" t="s">
        <v>1219</v>
      </c>
      <c r="B389" s="12">
        <f t="shared" si="18"/>
        <v>46238.579191400473</v>
      </c>
      <c r="C389" s="13">
        <v>46238.579191400473</v>
      </c>
      <c r="D389" s="2" t="s">
        <v>1220</v>
      </c>
      <c r="E389" s="2" t="str">
        <f t="shared" si="20"/>
        <v>Email Available</v>
      </c>
      <c r="F389" s="2" t="s">
        <v>1221</v>
      </c>
      <c r="G389" s="2" t="s">
        <v>266</v>
      </c>
      <c r="H389" s="2" t="s">
        <v>37</v>
      </c>
      <c r="I389" s="2" t="s">
        <v>267</v>
      </c>
      <c r="J389" s="2">
        <v>1</v>
      </c>
      <c r="K389" s="2">
        <v>15.49</v>
      </c>
      <c r="L389" s="2"/>
      <c r="M389" s="2">
        <v>0</v>
      </c>
      <c r="N389" s="2">
        <v>5.99</v>
      </c>
      <c r="O389" s="2">
        <v>21.48</v>
      </c>
      <c r="P389" s="2" t="s">
        <v>27</v>
      </c>
      <c r="Q389" s="2" t="s">
        <v>28</v>
      </c>
      <c r="R389" s="2" t="s">
        <v>52</v>
      </c>
      <c r="S389" s="2" t="s">
        <v>75</v>
      </c>
      <c r="T389" s="2"/>
      <c r="U389" s="2" t="str">
        <f t="shared" si="19"/>
        <v>Not Required</v>
      </c>
      <c r="V389" s="2" t="s">
        <v>1222</v>
      </c>
    </row>
    <row r="390" spans="1:22" hidden="1" x14ac:dyDescent="0.3">
      <c r="A390" s="2" t="s">
        <v>1223</v>
      </c>
      <c r="B390" s="12">
        <f t="shared" si="18"/>
        <v>46238.586089618053</v>
      </c>
      <c r="C390" s="13">
        <v>46238.586089618053</v>
      </c>
      <c r="D390" s="2" t="s">
        <v>177</v>
      </c>
      <c r="E390" s="2" t="str">
        <f t="shared" si="20"/>
        <v>Email Available</v>
      </c>
      <c r="F390" s="2" t="s">
        <v>178</v>
      </c>
      <c r="G390" s="2" t="s">
        <v>195</v>
      </c>
      <c r="H390" s="2" t="s">
        <v>196</v>
      </c>
      <c r="I390" s="2" t="s">
        <v>197</v>
      </c>
      <c r="J390" s="2">
        <v>1</v>
      </c>
      <c r="K390" s="2">
        <v>13.49</v>
      </c>
      <c r="L390" s="2" t="s">
        <v>208</v>
      </c>
      <c r="M390" s="2">
        <v>2.02</v>
      </c>
      <c r="N390" s="2">
        <v>4.99</v>
      </c>
      <c r="O390" s="2">
        <v>16.46</v>
      </c>
      <c r="P390" s="2" t="s">
        <v>74</v>
      </c>
      <c r="Q390" s="2" t="s">
        <v>28</v>
      </c>
      <c r="R390" s="2" t="s">
        <v>52</v>
      </c>
      <c r="S390" s="2" t="s">
        <v>30</v>
      </c>
      <c r="T390" s="2" t="s">
        <v>766</v>
      </c>
      <c r="U390" s="2" t="str">
        <f t="shared" si="19"/>
        <v>Valid</v>
      </c>
      <c r="V390" s="2" t="s">
        <v>1224</v>
      </c>
    </row>
    <row r="391" spans="1:22" hidden="1" x14ac:dyDescent="0.3">
      <c r="A391" s="2" t="s">
        <v>1225</v>
      </c>
      <c r="B391" s="12">
        <f t="shared" si="18"/>
        <v>46238.582133425924</v>
      </c>
      <c r="C391" s="13">
        <v>46238.582133425924</v>
      </c>
      <c r="D391" s="2" t="s">
        <v>181</v>
      </c>
      <c r="E391" s="2" t="str">
        <f t="shared" si="20"/>
        <v>Email Available</v>
      </c>
      <c r="F391" s="2" t="s">
        <v>182</v>
      </c>
      <c r="G391" s="2" t="s">
        <v>133</v>
      </c>
      <c r="H391" s="2" t="s">
        <v>106</v>
      </c>
      <c r="I391" s="2" t="s">
        <v>134</v>
      </c>
      <c r="J391" s="2">
        <v>1</v>
      </c>
      <c r="K391" s="2">
        <v>16.989999999999998</v>
      </c>
      <c r="L391" s="2" t="s">
        <v>67</v>
      </c>
      <c r="M391" s="2">
        <v>1.7</v>
      </c>
      <c r="N391" s="2">
        <v>5.99</v>
      </c>
      <c r="O391" s="2">
        <v>21.28</v>
      </c>
      <c r="P391" s="2" t="s">
        <v>27</v>
      </c>
      <c r="Q391" s="2" t="s">
        <v>28</v>
      </c>
      <c r="R391" s="2" t="s">
        <v>99</v>
      </c>
      <c r="S391" s="2" t="s">
        <v>30</v>
      </c>
      <c r="T391" s="2" t="s">
        <v>60</v>
      </c>
      <c r="U391" s="2" t="str">
        <f t="shared" si="19"/>
        <v>Valid</v>
      </c>
      <c r="V391" s="2" t="s">
        <v>183</v>
      </c>
    </row>
    <row r="392" spans="1:22" hidden="1" x14ac:dyDescent="0.3">
      <c r="A392" s="2" t="s">
        <v>1226</v>
      </c>
      <c r="B392" s="12">
        <f t="shared" si="18"/>
        <v>46238.586953506943</v>
      </c>
      <c r="C392" s="13">
        <v>46238.586953506943</v>
      </c>
      <c r="D392" s="2" t="s">
        <v>1227</v>
      </c>
      <c r="E392" s="2" t="str">
        <f t="shared" si="20"/>
        <v>Email Available</v>
      </c>
      <c r="F392" s="2" t="s">
        <v>1228</v>
      </c>
      <c r="G392" s="2" t="s">
        <v>284</v>
      </c>
      <c r="H392" s="2" t="s">
        <v>23</v>
      </c>
      <c r="I392" s="2" t="s">
        <v>285</v>
      </c>
      <c r="J392" s="2">
        <v>1</v>
      </c>
      <c r="K392" s="2" t="s">
        <v>1229</v>
      </c>
      <c r="L392" s="2"/>
      <c r="M392" s="2">
        <v>0</v>
      </c>
      <c r="N392" s="2">
        <v>5.99</v>
      </c>
      <c r="O392" s="2" t="s">
        <v>1230</v>
      </c>
      <c r="P392" s="2" t="s">
        <v>68</v>
      </c>
      <c r="Q392" s="2" t="s">
        <v>28</v>
      </c>
      <c r="R392" s="2" t="s">
        <v>52</v>
      </c>
      <c r="S392" s="2" t="s">
        <v>30</v>
      </c>
      <c r="T392" s="2" t="s">
        <v>53</v>
      </c>
      <c r="U392" s="2" t="str">
        <f t="shared" si="19"/>
        <v>Valid</v>
      </c>
      <c r="V392" s="2" t="s">
        <v>1231</v>
      </c>
    </row>
    <row r="393" spans="1:22" hidden="1" x14ac:dyDescent="0.3">
      <c r="A393" s="2" t="s">
        <v>1232</v>
      </c>
      <c r="B393" s="12">
        <f t="shared" si="18"/>
        <v>46120</v>
      </c>
      <c r="C393" s="13" t="s">
        <v>142</v>
      </c>
      <c r="D393" s="2" t="s">
        <v>1233</v>
      </c>
      <c r="E393" s="2" t="str">
        <f t="shared" si="20"/>
        <v>Email Available</v>
      </c>
      <c r="F393" s="2" t="s">
        <v>1234</v>
      </c>
      <c r="G393" s="2" t="s">
        <v>36</v>
      </c>
      <c r="H393" s="2" t="s">
        <v>37</v>
      </c>
      <c r="I393" s="2" t="s">
        <v>38</v>
      </c>
      <c r="J393" s="2">
        <v>1</v>
      </c>
      <c r="K393" s="2">
        <v>21.99</v>
      </c>
      <c r="L393" s="2" t="s">
        <v>1139</v>
      </c>
      <c r="M393" s="2">
        <v>2.2000000000000002</v>
      </c>
      <c r="N393" s="2">
        <v>7.99</v>
      </c>
      <c r="O393" s="2">
        <v>27.78</v>
      </c>
      <c r="P393" s="2" t="s">
        <v>27</v>
      </c>
      <c r="Q393" s="2" t="s">
        <v>28</v>
      </c>
      <c r="R393" s="2" t="s">
        <v>52</v>
      </c>
      <c r="S393" s="2" t="s">
        <v>228</v>
      </c>
      <c r="T393" s="2"/>
      <c r="U393" s="2" t="str">
        <f t="shared" si="19"/>
        <v>Not Required</v>
      </c>
      <c r="V393" s="2" t="s">
        <v>1235</v>
      </c>
    </row>
    <row r="394" spans="1:22" hidden="1" x14ac:dyDescent="0.3">
      <c r="A394" s="2" t="s">
        <v>1236</v>
      </c>
      <c r="B394" s="12">
        <f t="shared" si="18"/>
        <v>46238.588065798613</v>
      </c>
      <c r="C394" s="13">
        <v>46238.588065798613</v>
      </c>
      <c r="D394" s="2" t="s">
        <v>1215</v>
      </c>
      <c r="E394" s="2" t="str">
        <f t="shared" si="20"/>
        <v>Email Available</v>
      </c>
      <c r="F394" s="2" t="s">
        <v>1216</v>
      </c>
      <c r="G394" s="2" t="s">
        <v>284</v>
      </c>
      <c r="H394" s="2" t="s">
        <v>23</v>
      </c>
      <c r="I394" s="2" t="s">
        <v>285</v>
      </c>
      <c r="J394" s="2">
        <v>1</v>
      </c>
      <c r="K394" s="2">
        <v>24.99</v>
      </c>
      <c r="L394" s="2" t="s">
        <v>67</v>
      </c>
      <c r="M394" s="2">
        <v>2.5</v>
      </c>
      <c r="N394" s="2">
        <v>5.99</v>
      </c>
      <c r="O394" s="2">
        <v>28.48</v>
      </c>
      <c r="P394" s="2" t="s">
        <v>27</v>
      </c>
      <c r="Q394" s="2" t="s">
        <v>90</v>
      </c>
      <c r="R394" s="2" t="s">
        <v>52</v>
      </c>
      <c r="S394" s="2" t="s">
        <v>30</v>
      </c>
      <c r="T394" s="2" t="s">
        <v>454</v>
      </c>
      <c r="U394" s="2" t="str">
        <f t="shared" si="19"/>
        <v>Valid</v>
      </c>
      <c r="V394" s="2" t="s">
        <v>1237</v>
      </c>
    </row>
    <row r="395" spans="1:22" hidden="1" x14ac:dyDescent="0.3">
      <c r="A395" s="2" t="s">
        <v>1238</v>
      </c>
      <c r="B395" s="12">
        <f t="shared" si="18"/>
        <v>46120</v>
      </c>
      <c r="C395" s="13" t="s">
        <v>142</v>
      </c>
      <c r="D395" s="2" t="s">
        <v>1239</v>
      </c>
      <c r="E395" s="2" t="str">
        <f t="shared" si="20"/>
        <v>Email Available</v>
      </c>
      <c r="F395" s="2" t="s">
        <v>1240</v>
      </c>
      <c r="G395" s="2" t="s">
        <v>284</v>
      </c>
      <c r="H395" s="2" t="s">
        <v>23</v>
      </c>
      <c r="I395" s="2" t="s">
        <v>285</v>
      </c>
      <c r="J395" s="2">
        <v>4</v>
      </c>
      <c r="K395" s="2">
        <v>24.99</v>
      </c>
      <c r="L395" s="2"/>
      <c r="M395" s="2">
        <v>0</v>
      </c>
      <c r="N395" s="2">
        <v>0</v>
      </c>
      <c r="O395" s="2">
        <v>99.96</v>
      </c>
      <c r="P395" s="2" t="s">
        <v>40</v>
      </c>
      <c r="Q395" s="2" t="s">
        <v>41</v>
      </c>
      <c r="R395" s="2" t="s">
        <v>52</v>
      </c>
      <c r="S395" s="2" t="s">
        <v>30</v>
      </c>
      <c r="T395" s="2" t="s">
        <v>60</v>
      </c>
      <c r="U395" s="2" t="str">
        <f t="shared" si="19"/>
        <v>Valid</v>
      </c>
      <c r="V395" s="2" t="s">
        <v>1241</v>
      </c>
    </row>
    <row r="396" spans="1:22" hidden="1" x14ac:dyDescent="0.3">
      <c r="A396" s="2" t="s">
        <v>1242</v>
      </c>
      <c r="B396" s="12">
        <f t="shared" si="18"/>
        <v>46238.581575416669</v>
      </c>
      <c r="C396" s="13">
        <v>46238.581575416669</v>
      </c>
      <c r="D396" s="2" t="s">
        <v>354</v>
      </c>
      <c r="E396" s="2" t="str">
        <f t="shared" si="20"/>
        <v>Email Available</v>
      </c>
      <c r="F396" s="2" t="s">
        <v>355</v>
      </c>
      <c r="G396" s="2" t="s">
        <v>272</v>
      </c>
      <c r="H396" s="2" t="s">
        <v>23</v>
      </c>
      <c r="I396" s="2" t="s">
        <v>273</v>
      </c>
      <c r="J396" s="2">
        <v>1</v>
      </c>
      <c r="K396" s="2">
        <v>18.989999999999998</v>
      </c>
      <c r="L396" s="2" t="s">
        <v>208</v>
      </c>
      <c r="M396" s="2">
        <v>2.85</v>
      </c>
      <c r="N396" s="2">
        <v>5.99</v>
      </c>
      <c r="O396" s="2">
        <v>22.13</v>
      </c>
      <c r="P396" s="2" t="s">
        <v>51</v>
      </c>
      <c r="Q396" s="2" t="s">
        <v>28</v>
      </c>
      <c r="R396" s="2" t="s">
        <v>52</v>
      </c>
      <c r="S396" s="2" t="s">
        <v>228</v>
      </c>
      <c r="T396" s="2"/>
      <c r="U396" s="2" t="str">
        <f t="shared" si="19"/>
        <v>Not Required</v>
      </c>
      <c r="V396" s="2" t="s">
        <v>1243</v>
      </c>
    </row>
    <row r="397" spans="1:22" x14ac:dyDescent="0.3">
      <c r="A397" s="2" t="s">
        <v>1244</v>
      </c>
      <c r="B397" s="12">
        <f t="shared" si="18"/>
        <v>46238</v>
      </c>
      <c r="C397" s="13" t="s">
        <v>1245</v>
      </c>
      <c r="D397" s="2" t="s">
        <v>748</v>
      </c>
      <c r="E397" s="2" t="str">
        <f t="shared" si="20"/>
        <v>Missing Email</v>
      </c>
      <c r="F397" s="2"/>
      <c r="G397" s="2" t="s">
        <v>87</v>
      </c>
      <c r="H397" s="2" t="s">
        <v>88</v>
      </c>
      <c r="I397" s="2" t="s">
        <v>89</v>
      </c>
      <c r="J397" s="2">
        <v>1</v>
      </c>
      <c r="K397" s="2">
        <v>54.99</v>
      </c>
      <c r="L397" s="2" t="s">
        <v>25</v>
      </c>
      <c r="M397" s="2">
        <v>11</v>
      </c>
      <c r="N397" s="2">
        <v>5.99</v>
      </c>
      <c r="O397" s="2">
        <v>49.98</v>
      </c>
      <c r="P397" s="2" t="s">
        <v>51</v>
      </c>
      <c r="Q397" s="2" t="s">
        <v>114</v>
      </c>
      <c r="R397" s="2" t="s">
        <v>52</v>
      </c>
      <c r="S397" s="2" t="s">
        <v>108</v>
      </c>
      <c r="T397" s="2"/>
      <c r="U397" s="2" t="str">
        <f t="shared" si="19"/>
        <v>Not Required</v>
      </c>
      <c r="V397" s="2" t="s">
        <v>1246</v>
      </c>
    </row>
    <row r="398" spans="1:22" hidden="1" x14ac:dyDescent="0.3">
      <c r="A398" s="2" t="s">
        <v>1247</v>
      </c>
      <c r="B398" s="12">
        <f t="shared" si="18"/>
        <v>46238.587185983793</v>
      </c>
      <c r="C398" s="13">
        <v>46238.587185983793</v>
      </c>
      <c r="D398" s="2" t="s">
        <v>1248</v>
      </c>
      <c r="E398" s="2" t="str">
        <f t="shared" si="20"/>
        <v>Email Available</v>
      </c>
      <c r="F398" s="2" t="s">
        <v>1249</v>
      </c>
      <c r="G398" s="2" t="s">
        <v>80</v>
      </c>
      <c r="H398" s="2" t="s">
        <v>81</v>
      </c>
      <c r="I398" s="2" t="s">
        <v>82</v>
      </c>
      <c r="J398" s="2">
        <v>1</v>
      </c>
      <c r="K398" s="2">
        <v>89.99</v>
      </c>
      <c r="L398" s="2" t="s">
        <v>208</v>
      </c>
      <c r="M398" s="2">
        <v>13.5</v>
      </c>
      <c r="N398" s="2">
        <v>0</v>
      </c>
      <c r="O398" s="2">
        <v>76.489999999999995</v>
      </c>
      <c r="P398" s="2" t="s">
        <v>40</v>
      </c>
      <c r="Q398" s="2" t="s">
        <v>90</v>
      </c>
      <c r="R398" s="2" t="s">
        <v>52</v>
      </c>
      <c r="S398" s="2" t="s">
        <v>30</v>
      </c>
      <c r="T398" s="2" t="s">
        <v>115</v>
      </c>
      <c r="U398" s="2" t="str">
        <f t="shared" si="19"/>
        <v>Valid</v>
      </c>
      <c r="V398" s="2" t="s">
        <v>1250</v>
      </c>
    </row>
    <row r="399" spans="1:22" hidden="1" x14ac:dyDescent="0.3">
      <c r="A399" s="2" t="s">
        <v>1251</v>
      </c>
      <c r="B399" s="12">
        <f t="shared" si="18"/>
        <v>46238.581945844897</v>
      </c>
      <c r="C399" s="13">
        <v>46238.581945844897</v>
      </c>
      <c r="D399" s="2" t="s">
        <v>1252</v>
      </c>
      <c r="E399" s="2" t="str">
        <f t="shared" si="20"/>
        <v>Email Available</v>
      </c>
      <c r="F399" s="2" t="s">
        <v>1253</v>
      </c>
      <c r="G399" s="2" t="s">
        <v>112</v>
      </c>
      <c r="H399" s="2" t="s">
        <v>81</v>
      </c>
      <c r="I399" s="2" t="s">
        <v>113</v>
      </c>
      <c r="J399" s="2">
        <v>1</v>
      </c>
      <c r="K399" s="2">
        <v>22.99</v>
      </c>
      <c r="L399" s="2"/>
      <c r="M399" s="2">
        <v>0</v>
      </c>
      <c r="N399" s="2">
        <v>5.99</v>
      </c>
      <c r="O399" s="2">
        <v>28.98</v>
      </c>
      <c r="P399" s="2" t="s">
        <v>51</v>
      </c>
      <c r="Q399" s="2" t="s">
        <v>28</v>
      </c>
      <c r="R399" s="2" t="s">
        <v>52</v>
      </c>
      <c r="S399" s="2" t="s">
        <v>108</v>
      </c>
      <c r="T399" s="2"/>
      <c r="U399" s="2" t="str">
        <f t="shared" si="19"/>
        <v>Not Required</v>
      </c>
      <c r="V399" s="2" t="s">
        <v>1254</v>
      </c>
    </row>
    <row r="400" spans="1:22" hidden="1" x14ac:dyDescent="0.3">
      <c r="A400" s="2" t="s">
        <v>1255</v>
      </c>
      <c r="B400" s="12">
        <f t="shared" si="18"/>
        <v>46238.580953726851</v>
      </c>
      <c r="C400" s="13">
        <v>46238.580953726851</v>
      </c>
      <c r="D400" s="2" t="s">
        <v>643</v>
      </c>
      <c r="E400" s="2" t="str">
        <f t="shared" si="20"/>
        <v>Email Available</v>
      </c>
      <c r="F400" s="2" t="s">
        <v>644</v>
      </c>
      <c r="G400" s="2" t="s">
        <v>1256</v>
      </c>
      <c r="H400" s="2" t="s">
        <v>37</v>
      </c>
      <c r="I400" s="2" t="s">
        <v>316</v>
      </c>
      <c r="J400" s="2">
        <v>1</v>
      </c>
      <c r="K400" s="2">
        <v>8.99</v>
      </c>
      <c r="L400" s="2"/>
      <c r="M400" s="2">
        <v>0</v>
      </c>
      <c r="N400" s="2">
        <v>5.99</v>
      </c>
      <c r="O400" s="2">
        <v>14.98</v>
      </c>
      <c r="P400" s="2" t="s">
        <v>27</v>
      </c>
      <c r="Q400" s="2" t="s">
        <v>114</v>
      </c>
      <c r="R400" s="2" t="s">
        <v>52</v>
      </c>
      <c r="S400" s="2" t="s">
        <v>30</v>
      </c>
      <c r="T400" s="2" t="s">
        <v>31</v>
      </c>
      <c r="U400" s="2" t="str">
        <f t="shared" si="19"/>
        <v>Valid</v>
      </c>
      <c r="V400" s="2" t="s">
        <v>1257</v>
      </c>
    </row>
    <row r="401" spans="1:22" hidden="1" x14ac:dyDescent="0.3">
      <c r="A401" s="2" t="s">
        <v>1258</v>
      </c>
      <c r="B401" s="12">
        <f t="shared" si="18"/>
        <v>46120</v>
      </c>
      <c r="C401" s="13" t="s">
        <v>142</v>
      </c>
      <c r="D401" s="2" t="s">
        <v>610</v>
      </c>
      <c r="E401" s="2" t="str">
        <f t="shared" si="20"/>
        <v>Email Available</v>
      </c>
      <c r="F401" s="2" t="s">
        <v>611</v>
      </c>
      <c r="G401" s="2" t="s">
        <v>80</v>
      </c>
      <c r="H401" s="2" t="s">
        <v>81</v>
      </c>
      <c r="I401" s="2" t="s">
        <v>82</v>
      </c>
      <c r="J401" s="2">
        <v>1</v>
      </c>
      <c r="K401" s="2">
        <v>89.99</v>
      </c>
      <c r="L401" s="2"/>
      <c r="M401" s="2">
        <v>0</v>
      </c>
      <c r="N401" s="2">
        <v>0</v>
      </c>
      <c r="O401" s="2">
        <v>89.99</v>
      </c>
      <c r="P401" s="2" t="s">
        <v>40</v>
      </c>
      <c r="Q401" s="2" t="s">
        <v>28</v>
      </c>
      <c r="R401" s="2" t="s">
        <v>99</v>
      </c>
      <c r="S401" s="2" t="s">
        <v>43</v>
      </c>
      <c r="T401" s="2"/>
      <c r="U401" s="2" t="str">
        <f t="shared" si="19"/>
        <v>Not Required</v>
      </c>
      <c r="V401" s="2" t="s">
        <v>1259</v>
      </c>
    </row>
    <row r="402" spans="1:22" hidden="1" x14ac:dyDescent="0.3">
      <c r="A402" s="2" t="s">
        <v>1260</v>
      </c>
      <c r="B402" s="12">
        <f t="shared" si="18"/>
        <v>46238.579760289351</v>
      </c>
      <c r="C402" s="13">
        <v>46238.579760289351</v>
      </c>
      <c r="D402" s="2" t="s">
        <v>1261</v>
      </c>
      <c r="E402" s="2" t="str">
        <f t="shared" si="20"/>
        <v>Email Available</v>
      </c>
      <c r="F402" s="2" t="s">
        <v>1262</v>
      </c>
      <c r="G402" s="2" t="s">
        <v>48</v>
      </c>
      <c r="H402" s="2" t="s">
        <v>49</v>
      </c>
      <c r="I402" s="2" t="s">
        <v>50</v>
      </c>
      <c r="J402" s="2">
        <v>1</v>
      </c>
      <c r="K402" s="2">
        <v>39.99</v>
      </c>
      <c r="L402" s="2" t="s">
        <v>208</v>
      </c>
      <c r="M402" s="2">
        <v>6</v>
      </c>
      <c r="N402" s="2">
        <v>5.99</v>
      </c>
      <c r="O402" s="2">
        <v>39.979999999999997</v>
      </c>
      <c r="P402" s="2" t="s">
        <v>27</v>
      </c>
      <c r="Q402" s="2" t="s">
        <v>90</v>
      </c>
      <c r="R402" s="2" t="s">
        <v>52</v>
      </c>
      <c r="S402" s="2" t="s">
        <v>30</v>
      </c>
      <c r="T402" s="2" t="s">
        <v>91</v>
      </c>
      <c r="U402" s="2" t="str">
        <f t="shared" si="19"/>
        <v>Valid</v>
      </c>
      <c r="V402" s="2" t="s">
        <v>1263</v>
      </c>
    </row>
    <row r="403" spans="1:22" hidden="1" x14ac:dyDescent="0.3">
      <c r="A403" s="2" t="s">
        <v>1264</v>
      </c>
      <c r="B403" s="12">
        <f t="shared" si="18"/>
        <v>46120</v>
      </c>
      <c r="C403" s="13" t="s">
        <v>142</v>
      </c>
      <c r="D403" s="2" t="s">
        <v>565</v>
      </c>
      <c r="E403" s="2" t="str">
        <f t="shared" si="20"/>
        <v>Email Available</v>
      </c>
      <c r="F403" s="2" t="s">
        <v>566</v>
      </c>
      <c r="G403" s="2" t="s">
        <v>1265</v>
      </c>
      <c r="H403" s="2" t="s">
        <v>23</v>
      </c>
      <c r="I403" s="2" t="s">
        <v>59</v>
      </c>
      <c r="J403" s="2">
        <v>1</v>
      </c>
      <c r="K403" s="2">
        <v>9.99</v>
      </c>
      <c r="L403" s="2" t="s">
        <v>208</v>
      </c>
      <c r="M403" s="2">
        <v>1.5</v>
      </c>
      <c r="N403" s="2">
        <v>4.99</v>
      </c>
      <c r="O403" s="2">
        <v>13.48</v>
      </c>
      <c r="P403" s="2" t="s">
        <v>68</v>
      </c>
      <c r="Q403" s="2" t="s">
        <v>114</v>
      </c>
      <c r="R403" s="2" t="s">
        <v>99</v>
      </c>
      <c r="S403" s="2" t="s">
        <v>43</v>
      </c>
      <c r="T403" s="2"/>
      <c r="U403" s="2" t="str">
        <f t="shared" si="19"/>
        <v>Not Required</v>
      </c>
      <c r="V403" s="2" t="s">
        <v>1266</v>
      </c>
    </row>
    <row r="404" spans="1:22" hidden="1" x14ac:dyDescent="0.3">
      <c r="A404" s="2" t="s">
        <v>1267</v>
      </c>
      <c r="B404" s="12">
        <f t="shared" si="18"/>
        <v>46238.588228321758</v>
      </c>
      <c r="C404" s="13">
        <v>46238.588228321758</v>
      </c>
      <c r="D404" s="2" t="s">
        <v>502</v>
      </c>
      <c r="E404" s="2" t="str">
        <f t="shared" si="20"/>
        <v>Email Available</v>
      </c>
      <c r="F404" s="2" t="s">
        <v>503</v>
      </c>
      <c r="G404" s="2" t="s">
        <v>87</v>
      </c>
      <c r="H404" s="2" t="s">
        <v>88</v>
      </c>
      <c r="I404" s="2" t="s">
        <v>89</v>
      </c>
      <c r="J404" s="2">
        <v>1</v>
      </c>
      <c r="K404" s="2">
        <v>54.99</v>
      </c>
      <c r="L404" s="2" t="s">
        <v>25</v>
      </c>
      <c r="M404" s="2">
        <v>11</v>
      </c>
      <c r="N404" s="2">
        <v>7.99</v>
      </c>
      <c r="O404" s="2">
        <v>51.98</v>
      </c>
      <c r="P404" s="2" t="s">
        <v>51</v>
      </c>
      <c r="Q404" s="2" t="s">
        <v>28</v>
      </c>
      <c r="R404" s="2" t="s">
        <v>42</v>
      </c>
      <c r="S404" s="2" t="s">
        <v>108</v>
      </c>
      <c r="T404" s="2"/>
      <c r="U404" s="2" t="str">
        <f t="shared" si="19"/>
        <v>Not Required</v>
      </c>
      <c r="V404" s="2" t="s">
        <v>1268</v>
      </c>
    </row>
    <row r="405" spans="1:22" hidden="1" x14ac:dyDescent="0.3">
      <c r="A405" s="2" t="s">
        <v>1269</v>
      </c>
      <c r="B405" s="12">
        <f t="shared" si="18"/>
        <v>46238.581739641202</v>
      </c>
      <c r="C405" s="13">
        <v>46238.581739641202</v>
      </c>
      <c r="D405" s="2" t="s">
        <v>155</v>
      </c>
      <c r="E405" s="2" t="str">
        <f t="shared" si="20"/>
        <v>Email Available</v>
      </c>
      <c r="F405" s="2" t="s">
        <v>156</v>
      </c>
      <c r="G405" s="2" t="s">
        <v>171</v>
      </c>
      <c r="H405" s="2" t="s">
        <v>106</v>
      </c>
      <c r="I405" s="2" t="s">
        <v>172</v>
      </c>
      <c r="J405" s="2">
        <v>1</v>
      </c>
      <c r="K405" s="2">
        <v>32.99</v>
      </c>
      <c r="L405" s="2"/>
      <c r="M405" s="2" t="s">
        <v>189</v>
      </c>
      <c r="N405" s="2">
        <v>5.99</v>
      </c>
      <c r="O405" s="2">
        <v>38.979999999999997</v>
      </c>
      <c r="P405" s="2" t="s">
        <v>27</v>
      </c>
      <c r="Q405" s="2" t="s">
        <v>28</v>
      </c>
      <c r="R405" s="2" t="s">
        <v>52</v>
      </c>
      <c r="S405" s="2" t="s">
        <v>30</v>
      </c>
      <c r="T405" s="2" t="s">
        <v>454</v>
      </c>
      <c r="U405" s="2" t="str">
        <f t="shared" si="19"/>
        <v>Valid</v>
      </c>
      <c r="V405" s="2" t="s">
        <v>1270</v>
      </c>
    </row>
    <row r="406" spans="1:22" hidden="1" x14ac:dyDescent="0.3">
      <c r="A406" s="2" t="s">
        <v>1271</v>
      </c>
      <c r="B406" s="12">
        <f t="shared" si="18"/>
        <v>46238.579662638891</v>
      </c>
      <c r="C406" s="13">
        <v>46238.579662638891</v>
      </c>
      <c r="D406" s="2" t="s">
        <v>748</v>
      </c>
      <c r="E406" s="2" t="str">
        <f t="shared" si="20"/>
        <v>Email Available</v>
      </c>
      <c r="F406" s="2" t="s">
        <v>749</v>
      </c>
      <c r="G406" s="2" t="s">
        <v>120</v>
      </c>
      <c r="H406" s="2" t="s">
        <v>23</v>
      </c>
      <c r="I406" s="2" t="s">
        <v>24</v>
      </c>
      <c r="J406" s="2">
        <v>1</v>
      </c>
      <c r="K406" s="2">
        <v>12.99</v>
      </c>
      <c r="L406" s="2"/>
      <c r="M406" s="2" t="s">
        <v>189</v>
      </c>
      <c r="N406" s="2">
        <v>4.99</v>
      </c>
      <c r="O406" s="2">
        <v>17.98</v>
      </c>
      <c r="P406" s="2" t="s">
        <v>68</v>
      </c>
      <c r="Q406" s="2" t="s">
        <v>28</v>
      </c>
      <c r="R406" s="2" t="s">
        <v>42</v>
      </c>
      <c r="S406" s="2" t="s">
        <v>108</v>
      </c>
      <c r="T406" s="2"/>
      <c r="U406" s="2" t="str">
        <f t="shared" si="19"/>
        <v>Not Required</v>
      </c>
      <c r="V406" s="2" t="s">
        <v>1272</v>
      </c>
    </row>
    <row r="407" spans="1:22" hidden="1" x14ac:dyDescent="0.3">
      <c r="A407" s="2" t="s">
        <v>1273</v>
      </c>
      <c r="B407" s="12">
        <f t="shared" si="18"/>
        <v>46238</v>
      </c>
      <c r="C407" s="13" t="s">
        <v>344</v>
      </c>
      <c r="D407" s="2" t="s">
        <v>1274</v>
      </c>
      <c r="E407" s="2" t="str">
        <f t="shared" si="20"/>
        <v>Email Available</v>
      </c>
      <c r="F407" s="2" t="s">
        <v>1275</v>
      </c>
      <c r="G407" s="2" t="s">
        <v>187</v>
      </c>
      <c r="H407" s="2" t="s">
        <v>37</v>
      </c>
      <c r="I407" s="2" t="s">
        <v>188</v>
      </c>
      <c r="J407" s="2">
        <v>1</v>
      </c>
      <c r="K407" s="2">
        <v>11.99</v>
      </c>
      <c r="L407" s="2" t="s">
        <v>39</v>
      </c>
      <c r="M407" s="2">
        <v>0</v>
      </c>
      <c r="N407" s="2">
        <v>0</v>
      </c>
      <c r="O407" s="2">
        <v>11.99</v>
      </c>
      <c r="P407" s="2" t="s">
        <v>51</v>
      </c>
      <c r="Q407" s="2" t="s">
        <v>28</v>
      </c>
      <c r="R407" s="2" t="s">
        <v>52</v>
      </c>
      <c r="S407" s="2" t="s">
        <v>108</v>
      </c>
      <c r="T407" s="2"/>
      <c r="U407" s="2" t="str">
        <f t="shared" si="19"/>
        <v>Not Required</v>
      </c>
      <c r="V407" s="2" t="s">
        <v>1276</v>
      </c>
    </row>
    <row r="408" spans="1:22" hidden="1" x14ac:dyDescent="0.3">
      <c r="A408" s="2" t="s">
        <v>1277</v>
      </c>
      <c r="B408" s="12">
        <f t="shared" si="18"/>
        <v>46238.584811620371</v>
      </c>
      <c r="C408" s="13">
        <v>46238.584811620371</v>
      </c>
      <c r="D408" s="2" t="s">
        <v>373</v>
      </c>
      <c r="E408" s="2" t="str">
        <f t="shared" si="20"/>
        <v>Email Available</v>
      </c>
      <c r="F408" s="2" t="s">
        <v>374</v>
      </c>
      <c r="G408" s="2" t="s">
        <v>112</v>
      </c>
      <c r="H408" s="2" t="s">
        <v>81</v>
      </c>
      <c r="I408" s="2" t="s">
        <v>113</v>
      </c>
      <c r="J408" s="2">
        <v>2</v>
      </c>
      <c r="K408" s="2">
        <v>22.99</v>
      </c>
      <c r="L408" s="2" t="s">
        <v>25</v>
      </c>
      <c r="M408" s="2">
        <v>9.1999999999999993</v>
      </c>
      <c r="N408" s="2">
        <v>7.99</v>
      </c>
      <c r="O408" s="2">
        <v>44.77</v>
      </c>
      <c r="P408" s="2" t="s">
        <v>27</v>
      </c>
      <c r="Q408" s="2" t="s">
        <v>41</v>
      </c>
      <c r="R408" s="2" t="s">
        <v>29</v>
      </c>
      <c r="S408" s="2" t="s">
        <v>337</v>
      </c>
      <c r="T408" s="2"/>
      <c r="U408" s="2" t="str">
        <f t="shared" si="19"/>
        <v>Not Required</v>
      </c>
      <c r="V408" s="2" t="s">
        <v>1278</v>
      </c>
    </row>
    <row r="409" spans="1:22" hidden="1" x14ac:dyDescent="0.3">
      <c r="A409" s="2" t="s">
        <v>1279</v>
      </c>
      <c r="B409" s="12">
        <f t="shared" si="18"/>
        <v>46238.58356421296</v>
      </c>
      <c r="C409" s="13">
        <v>46238.58356421296</v>
      </c>
      <c r="D409" s="2" t="s">
        <v>1280</v>
      </c>
      <c r="E409" s="2" t="str">
        <f t="shared" si="20"/>
        <v>Email Available</v>
      </c>
      <c r="F409" s="2" t="s">
        <v>1281</v>
      </c>
      <c r="G409" s="2" t="s">
        <v>151</v>
      </c>
      <c r="H409" s="2" t="s">
        <v>49</v>
      </c>
      <c r="I409" s="2" t="s">
        <v>152</v>
      </c>
      <c r="J409" s="2">
        <v>1</v>
      </c>
      <c r="K409" s="2">
        <v>34.99</v>
      </c>
      <c r="L409" s="2"/>
      <c r="M409" s="2">
        <v>0</v>
      </c>
      <c r="N409" s="2">
        <v>5.99</v>
      </c>
      <c r="O409" s="2">
        <v>40.98</v>
      </c>
      <c r="P409" s="2" t="s">
        <v>40</v>
      </c>
      <c r="Q409" s="2" t="s">
        <v>28</v>
      </c>
      <c r="R409" s="2" t="s">
        <v>52</v>
      </c>
      <c r="S409" s="2" t="s">
        <v>337</v>
      </c>
      <c r="T409" s="2"/>
      <c r="U409" s="2" t="str">
        <f t="shared" si="19"/>
        <v>Not Required</v>
      </c>
      <c r="V409" s="2" t="s">
        <v>1282</v>
      </c>
    </row>
    <row r="410" spans="1:22" hidden="1" x14ac:dyDescent="0.3">
      <c r="A410" s="2" t="s">
        <v>1283</v>
      </c>
      <c r="B410" s="12">
        <f t="shared" si="18"/>
        <v>46238.582892847233</v>
      </c>
      <c r="C410" s="13">
        <v>46238.582892847233</v>
      </c>
      <c r="D410" s="2" t="s">
        <v>1284</v>
      </c>
      <c r="E410" s="2" t="str">
        <f t="shared" si="20"/>
        <v>Email Available</v>
      </c>
      <c r="F410" s="2" t="s">
        <v>1285</v>
      </c>
      <c r="G410" s="2" t="s">
        <v>195</v>
      </c>
      <c r="H410" s="2" t="s">
        <v>196</v>
      </c>
      <c r="I410" s="2" t="s">
        <v>197</v>
      </c>
      <c r="J410" s="2">
        <v>2</v>
      </c>
      <c r="K410" s="2">
        <v>13.49</v>
      </c>
      <c r="L410" s="2" t="s">
        <v>67</v>
      </c>
      <c r="M410" s="2">
        <v>2.7</v>
      </c>
      <c r="N410" s="2">
        <v>5.99</v>
      </c>
      <c r="O410" s="2">
        <v>30.27</v>
      </c>
      <c r="P410" s="2" t="s">
        <v>74</v>
      </c>
      <c r="Q410" s="2" t="s">
        <v>114</v>
      </c>
      <c r="R410" s="2" t="s">
        <v>52</v>
      </c>
      <c r="S410" s="2" t="s">
        <v>30</v>
      </c>
      <c r="T410" s="2" t="s">
        <v>31</v>
      </c>
      <c r="U410" s="2" t="str">
        <f t="shared" si="19"/>
        <v>Valid</v>
      </c>
      <c r="V410" s="2" t="s">
        <v>1286</v>
      </c>
    </row>
    <row r="411" spans="1:22" hidden="1" x14ac:dyDescent="0.3">
      <c r="A411" s="2" t="s">
        <v>1287</v>
      </c>
      <c r="B411" s="12">
        <f t="shared" si="18"/>
        <v>46238.58632328704</v>
      </c>
      <c r="C411" s="13">
        <v>46238.58632328704</v>
      </c>
      <c r="D411" s="2" t="s">
        <v>524</v>
      </c>
      <c r="E411" s="2" t="str">
        <f t="shared" si="20"/>
        <v>Email Available</v>
      </c>
      <c r="F411" s="2" t="s">
        <v>525</v>
      </c>
      <c r="G411" s="2" t="s">
        <v>266</v>
      </c>
      <c r="H411" s="2" t="s">
        <v>37</v>
      </c>
      <c r="I411" s="2" t="s">
        <v>267</v>
      </c>
      <c r="J411" s="2">
        <v>2</v>
      </c>
      <c r="K411" s="2">
        <v>15.49</v>
      </c>
      <c r="L411" s="2"/>
      <c r="M411" s="2">
        <v>0</v>
      </c>
      <c r="N411" s="2">
        <v>5.99</v>
      </c>
      <c r="O411" s="2">
        <v>36.97</v>
      </c>
      <c r="P411" s="2" t="s">
        <v>51</v>
      </c>
      <c r="Q411" s="2" t="s">
        <v>90</v>
      </c>
      <c r="R411" s="2" t="s">
        <v>29</v>
      </c>
      <c r="S411" s="2" t="s">
        <v>30</v>
      </c>
      <c r="T411" s="2" t="s">
        <v>454</v>
      </c>
      <c r="U411" s="2" t="str">
        <f t="shared" si="19"/>
        <v>Valid</v>
      </c>
      <c r="V411" s="2" t="s">
        <v>1288</v>
      </c>
    </row>
    <row r="412" spans="1:22" hidden="1" x14ac:dyDescent="0.3">
      <c r="A412" s="2" t="s">
        <v>1289</v>
      </c>
      <c r="B412" s="12">
        <f t="shared" si="18"/>
        <v>46120</v>
      </c>
      <c r="C412" s="13" t="s">
        <v>142</v>
      </c>
      <c r="D412" s="2" t="s">
        <v>1290</v>
      </c>
      <c r="E412" s="2" t="str">
        <f t="shared" si="20"/>
        <v>Email Available</v>
      </c>
      <c r="F412" s="2" t="s">
        <v>1291</v>
      </c>
      <c r="G412" s="2" t="s">
        <v>112</v>
      </c>
      <c r="H412" s="2" t="s">
        <v>81</v>
      </c>
      <c r="I412" s="2" t="s">
        <v>113</v>
      </c>
      <c r="J412" s="2">
        <v>1</v>
      </c>
      <c r="K412" s="2">
        <v>22.99</v>
      </c>
      <c r="L412" s="2"/>
      <c r="M412" s="2">
        <v>0</v>
      </c>
      <c r="N412" s="2">
        <v>4.99</v>
      </c>
      <c r="O412" s="2">
        <v>27.98</v>
      </c>
      <c r="P412" s="2" t="s">
        <v>51</v>
      </c>
      <c r="Q412" s="2" t="s">
        <v>114</v>
      </c>
      <c r="R412" s="2" t="s">
        <v>52</v>
      </c>
      <c r="S412" s="2" t="s">
        <v>75</v>
      </c>
      <c r="T412" s="2"/>
      <c r="U412" s="2" t="str">
        <f t="shared" si="19"/>
        <v>Not Required</v>
      </c>
      <c r="V412" s="2" t="s">
        <v>1292</v>
      </c>
    </row>
    <row r="413" spans="1:22" hidden="1" x14ac:dyDescent="0.3">
      <c r="A413" s="2" t="s">
        <v>1293</v>
      </c>
      <c r="B413" s="12">
        <f t="shared" si="18"/>
        <v>46120</v>
      </c>
      <c r="C413" s="13" t="s">
        <v>142</v>
      </c>
      <c r="D413" s="2" t="s">
        <v>1294</v>
      </c>
      <c r="E413" s="2" t="str">
        <f t="shared" si="20"/>
        <v>Email Available</v>
      </c>
      <c r="F413" s="2" t="s">
        <v>1275</v>
      </c>
      <c r="G413" s="2" t="s">
        <v>1265</v>
      </c>
      <c r="H413" s="2" t="s">
        <v>23</v>
      </c>
      <c r="I413" s="2" t="s">
        <v>59</v>
      </c>
      <c r="J413" s="2">
        <v>1</v>
      </c>
      <c r="K413" s="2">
        <v>9.99</v>
      </c>
      <c r="L413" s="2" t="s">
        <v>208</v>
      </c>
      <c r="M413" s="2">
        <v>1.5</v>
      </c>
      <c r="N413" s="2">
        <v>5.99</v>
      </c>
      <c r="O413" s="2">
        <v>14.48</v>
      </c>
      <c r="P413" s="2" t="s">
        <v>74</v>
      </c>
      <c r="Q413" s="2" t="s">
        <v>41</v>
      </c>
      <c r="R413" s="2" t="s">
        <v>29</v>
      </c>
      <c r="S413" s="2" t="s">
        <v>108</v>
      </c>
      <c r="T413" s="2"/>
      <c r="U413" s="2" t="str">
        <f t="shared" si="19"/>
        <v>Not Required</v>
      </c>
      <c r="V413" s="2" t="s">
        <v>1295</v>
      </c>
    </row>
    <row r="414" spans="1:22" hidden="1" x14ac:dyDescent="0.3">
      <c r="A414" s="2" t="s">
        <v>1296</v>
      </c>
      <c r="B414" s="12">
        <f t="shared" si="18"/>
        <v>46238.581240208332</v>
      </c>
      <c r="C414" s="13">
        <v>46238.581240208332</v>
      </c>
      <c r="D414" s="2" t="s">
        <v>1297</v>
      </c>
      <c r="E414" s="2" t="str">
        <f t="shared" si="20"/>
        <v>Email Available</v>
      </c>
      <c r="F414" s="2" t="s">
        <v>1298</v>
      </c>
      <c r="G414" s="2" t="s">
        <v>65</v>
      </c>
      <c r="H414" s="2" t="s">
        <v>49</v>
      </c>
      <c r="I414" s="2" t="s">
        <v>453</v>
      </c>
      <c r="J414" s="2">
        <v>1</v>
      </c>
      <c r="K414" s="2">
        <v>14.99</v>
      </c>
      <c r="L414" s="2" t="s">
        <v>1299</v>
      </c>
      <c r="M414" s="2">
        <v>2.25</v>
      </c>
      <c r="N414" s="2">
        <v>7.99</v>
      </c>
      <c r="O414" s="2">
        <v>20.73</v>
      </c>
      <c r="P414" s="2" t="s">
        <v>27</v>
      </c>
      <c r="Q414" s="2" t="s">
        <v>28</v>
      </c>
      <c r="R414" s="2" t="s">
        <v>42</v>
      </c>
      <c r="S414" s="2" t="s">
        <v>30</v>
      </c>
      <c r="T414" s="2" t="s">
        <v>454</v>
      </c>
      <c r="U414" s="2" t="str">
        <f t="shared" si="19"/>
        <v>Valid</v>
      </c>
      <c r="V414" s="2" t="s">
        <v>1300</v>
      </c>
    </row>
    <row r="415" spans="1:22" hidden="1" x14ac:dyDescent="0.3">
      <c r="A415" s="2" t="s">
        <v>1301</v>
      </c>
      <c r="B415" s="12">
        <f t="shared" si="18"/>
        <v>46238.588356099543</v>
      </c>
      <c r="C415" s="13">
        <v>46238.588356099543</v>
      </c>
      <c r="D415" s="2" t="s">
        <v>1302</v>
      </c>
      <c r="E415" s="2" t="str">
        <f t="shared" si="20"/>
        <v>Email Available</v>
      </c>
      <c r="F415" s="2" t="s">
        <v>1303</v>
      </c>
      <c r="G415" s="2" t="s">
        <v>112</v>
      </c>
      <c r="H415" s="2" t="s">
        <v>81</v>
      </c>
      <c r="I415" s="2" t="s">
        <v>113</v>
      </c>
      <c r="J415" s="2">
        <v>1</v>
      </c>
      <c r="K415" s="2">
        <v>22.99</v>
      </c>
      <c r="L415" s="2" t="s">
        <v>67</v>
      </c>
      <c r="M415" s="2">
        <v>2.2999999999999998</v>
      </c>
      <c r="N415" s="2">
        <v>4.99</v>
      </c>
      <c r="O415" s="2">
        <v>25.68</v>
      </c>
      <c r="P415" s="2" t="s">
        <v>68</v>
      </c>
      <c r="Q415" s="2" t="s">
        <v>90</v>
      </c>
      <c r="R415" s="2" t="s">
        <v>42</v>
      </c>
      <c r="S415" s="2" t="s">
        <v>43</v>
      </c>
      <c r="T415" s="2"/>
      <c r="U415" s="2" t="str">
        <f t="shared" si="19"/>
        <v>Not Required</v>
      </c>
      <c r="V415" s="2" t="s">
        <v>1304</v>
      </c>
    </row>
    <row r="416" spans="1:22" hidden="1" x14ac:dyDescent="0.3">
      <c r="A416" s="2" t="s">
        <v>1305</v>
      </c>
      <c r="B416" s="12">
        <f t="shared" si="18"/>
        <v>46238.587142673612</v>
      </c>
      <c r="C416" s="13">
        <v>46238.587142673612</v>
      </c>
      <c r="D416" s="2" t="s">
        <v>1306</v>
      </c>
      <c r="E416" s="2" t="str">
        <f t="shared" si="20"/>
        <v>Email Available</v>
      </c>
      <c r="F416" s="2" t="s">
        <v>1307</v>
      </c>
      <c r="G416" s="2" t="s">
        <v>226</v>
      </c>
      <c r="H416" s="2" t="s">
        <v>23</v>
      </c>
      <c r="I416" s="2" t="s">
        <v>227</v>
      </c>
      <c r="J416" s="2">
        <v>3</v>
      </c>
      <c r="K416" s="2">
        <v>17.989999999999998</v>
      </c>
      <c r="L416" s="2"/>
      <c r="M416" s="2">
        <v>0</v>
      </c>
      <c r="N416" s="2">
        <v>4.99</v>
      </c>
      <c r="O416" s="2" t="s">
        <v>1308</v>
      </c>
      <c r="P416" s="2" t="s">
        <v>68</v>
      </c>
      <c r="Q416" s="2" t="s">
        <v>90</v>
      </c>
      <c r="R416" s="2" t="s">
        <v>29</v>
      </c>
      <c r="S416" s="2" t="s">
        <v>75</v>
      </c>
      <c r="T416" s="2"/>
      <c r="U416" s="2" t="str">
        <f t="shared" si="19"/>
        <v>Not Required</v>
      </c>
      <c r="V416" s="2" t="s">
        <v>1309</v>
      </c>
    </row>
    <row r="417" spans="1:22" hidden="1" x14ac:dyDescent="0.3">
      <c r="A417" s="2" t="s">
        <v>1310</v>
      </c>
      <c r="B417" s="12">
        <f t="shared" si="18"/>
        <v>46120</v>
      </c>
      <c r="C417" s="13" t="s">
        <v>142</v>
      </c>
      <c r="D417" s="2" t="s">
        <v>428</v>
      </c>
      <c r="E417" s="2" t="str">
        <f t="shared" si="20"/>
        <v>Email Available</v>
      </c>
      <c r="F417" s="2" t="s">
        <v>429</v>
      </c>
      <c r="G417" s="2" t="s">
        <v>151</v>
      </c>
      <c r="H417" s="2" t="s">
        <v>49</v>
      </c>
      <c r="I417" s="2" t="s">
        <v>152</v>
      </c>
      <c r="J417" s="2">
        <v>2</v>
      </c>
      <c r="K417" s="2">
        <v>34.99</v>
      </c>
      <c r="L417" s="2" t="s">
        <v>121</v>
      </c>
      <c r="M417" s="2">
        <v>17.5</v>
      </c>
      <c r="N417" s="2">
        <v>7.99</v>
      </c>
      <c r="O417" s="2">
        <v>60.47</v>
      </c>
      <c r="P417" s="2" t="s">
        <v>74</v>
      </c>
      <c r="Q417" s="2" t="s">
        <v>90</v>
      </c>
      <c r="R417" s="2" t="s">
        <v>52</v>
      </c>
      <c r="S417" s="2" t="s">
        <v>30</v>
      </c>
      <c r="T417" s="2" t="s">
        <v>454</v>
      </c>
      <c r="U417" s="2" t="str">
        <f t="shared" si="19"/>
        <v>Valid</v>
      </c>
      <c r="V417" s="2" t="s">
        <v>1311</v>
      </c>
    </row>
    <row r="418" spans="1:22" hidden="1" x14ac:dyDescent="0.3">
      <c r="A418" s="2" t="s">
        <v>1312</v>
      </c>
      <c r="B418" s="12">
        <f t="shared" si="18"/>
        <v>46238.579099340277</v>
      </c>
      <c r="C418" s="13">
        <v>46238.579099340277</v>
      </c>
      <c r="D418" s="2" t="s">
        <v>1313</v>
      </c>
      <c r="E418" s="2" t="str">
        <f t="shared" si="20"/>
        <v>Email Available</v>
      </c>
      <c r="F418" s="2" t="s">
        <v>1314</v>
      </c>
      <c r="G418" s="2" t="s">
        <v>206</v>
      </c>
      <c r="H418" s="2" t="s">
        <v>196</v>
      </c>
      <c r="I418" s="2" t="s">
        <v>207</v>
      </c>
      <c r="J418" s="2">
        <v>1</v>
      </c>
      <c r="K418" s="2">
        <v>24.99</v>
      </c>
      <c r="L418" s="2"/>
      <c r="M418" s="2" t="s">
        <v>189</v>
      </c>
      <c r="N418" s="2">
        <v>7.99</v>
      </c>
      <c r="O418" s="2">
        <v>32.979999999999997</v>
      </c>
      <c r="P418" s="2" t="s">
        <v>40</v>
      </c>
      <c r="Q418" s="2" t="s">
        <v>28</v>
      </c>
      <c r="R418" s="2" t="s">
        <v>42</v>
      </c>
      <c r="S418" s="2" t="s">
        <v>30</v>
      </c>
      <c r="T418" s="2" t="s">
        <v>31</v>
      </c>
      <c r="U418" s="2" t="str">
        <f t="shared" si="19"/>
        <v>Valid</v>
      </c>
      <c r="V418" s="2" t="s">
        <v>1315</v>
      </c>
    </row>
    <row r="419" spans="1:22" hidden="1" x14ac:dyDescent="0.3">
      <c r="A419" s="2" t="s">
        <v>1316</v>
      </c>
      <c r="B419" s="12">
        <f t="shared" si="18"/>
        <v>46238.587887986112</v>
      </c>
      <c r="C419" s="13">
        <v>46238.587887986112</v>
      </c>
      <c r="D419" s="2" t="s">
        <v>78</v>
      </c>
      <c r="E419" s="2" t="str">
        <f t="shared" si="20"/>
        <v>Email Available</v>
      </c>
      <c r="F419" s="2" t="s">
        <v>79</v>
      </c>
      <c r="G419" s="2" t="s">
        <v>206</v>
      </c>
      <c r="H419" s="2" t="s">
        <v>196</v>
      </c>
      <c r="I419" s="2" t="s">
        <v>207</v>
      </c>
      <c r="J419" s="2">
        <v>1</v>
      </c>
      <c r="K419" s="2">
        <v>24.99</v>
      </c>
      <c r="L419" s="2" t="s">
        <v>39</v>
      </c>
      <c r="M419" s="2">
        <v>0</v>
      </c>
      <c r="N419" s="2">
        <v>0</v>
      </c>
      <c r="O419" s="2" t="s">
        <v>1229</v>
      </c>
      <c r="P419" s="2" t="s">
        <v>40</v>
      </c>
      <c r="Q419" s="2" t="s">
        <v>90</v>
      </c>
      <c r="R419" s="2" t="s">
        <v>42</v>
      </c>
      <c r="S419" s="2" t="s">
        <v>75</v>
      </c>
      <c r="T419" s="2"/>
      <c r="U419" s="2" t="str">
        <f t="shared" si="19"/>
        <v>Not Required</v>
      </c>
      <c r="V419" s="2" t="s">
        <v>1317</v>
      </c>
    </row>
    <row r="420" spans="1:22" x14ac:dyDescent="0.3">
      <c r="A420" s="2" t="s">
        <v>1318</v>
      </c>
      <c r="B420" s="12">
        <f t="shared" si="18"/>
        <v>46238.583242997687</v>
      </c>
      <c r="C420" s="13">
        <v>46238.583242997687</v>
      </c>
      <c r="D420" s="2" t="s">
        <v>335</v>
      </c>
      <c r="E420" s="2" t="str">
        <f t="shared" si="20"/>
        <v>Missing Email</v>
      </c>
      <c r="F420" s="2"/>
      <c r="G420" s="2" t="s">
        <v>206</v>
      </c>
      <c r="H420" s="2" t="s">
        <v>196</v>
      </c>
      <c r="I420" s="2" t="s">
        <v>207</v>
      </c>
      <c r="J420" s="2">
        <v>1</v>
      </c>
      <c r="K420" s="2">
        <v>24.99</v>
      </c>
      <c r="L420" s="2"/>
      <c r="M420" s="2">
        <v>0</v>
      </c>
      <c r="N420" s="2">
        <v>4.99</v>
      </c>
      <c r="O420" s="2">
        <v>29.98</v>
      </c>
      <c r="P420" s="2" t="s">
        <v>74</v>
      </c>
      <c r="Q420" s="2" t="s">
        <v>90</v>
      </c>
      <c r="R420" s="2" t="s">
        <v>29</v>
      </c>
      <c r="S420" s="2" t="s">
        <v>337</v>
      </c>
      <c r="T420" s="2"/>
      <c r="U420" s="2" t="str">
        <f t="shared" si="19"/>
        <v>Not Required</v>
      </c>
      <c r="V420" s="2" t="s">
        <v>1319</v>
      </c>
    </row>
    <row r="421" spans="1:22" hidden="1" x14ac:dyDescent="0.3">
      <c r="A421" s="2" t="s">
        <v>1320</v>
      </c>
      <c r="B421" s="12">
        <f t="shared" si="18"/>
        <v>46238.586051817132</v>
      </c>
      <c r="C421" s="13">
        <v>46238.586051817132</v>
      </c>
      <c r="D421" s="2" t="s">
        <v>1321</v>
      </c>
      <c r="E421" s="2" t="str">
        <f t="shared" si="20"/>
        <v>Email Available</v>
      </c>
      <c r="F421" s="2" t="s">
        <v>1322</v>
      </c>
      <c r="G421" s="2" t="s">
        <v>187</v>
      </c>
      <c r="H421" s="2" t="s">
        <v>37</v>
      </c>
      <c r="I421" s="2" t="s">
        <v>188</v>
      </c>
      <c r="J421" s="2">
        <v>1</v>
      </c>
      <c r="K421" s="2">
        <v>11.99</v>
      </c>
      <c r="L421" s="2" t="s">
        <v>67</v>
      </c>
      <c r="M421" s="2">
        <v>1.2</v>
      </c>
      <c r="N421" s="2">
        <v>5.99</v>
      </c>
      <c r="O421" s="2">
        <v>16.78</v>
      </c>
      <c r="P421" s="2" t="s">
        <v>51</v>
      </c>
      <c r="Q421" s="2" t="s">
        <v>90</v>
      </c>
      <c r="R421" s="2" t="s">
        <v>42</v>
      </c>
      <c r="S421" s="2" t="s">
        <v>30</v>
      </c>
      <c r="T421" s="2" t="s">
        <v>60</v>
      </c>
      <c r="U421" s="2" t="str">
        <f t="shared" si="19"/>
        <v>Valid</v>
      </c>
      <c r="V421" s="2" t="s">
        <v>1323</v>
      </c>
    </row>
    <row r="422" spans="1:22" hidden="1" x14ac:dyDescent="0.3">
      <c r="A422" s="2" t="s">
        <v>1324</v>
      </c>
      <c r="B422" s="12">
        <f t="shared" si="18"/>
        <v>46238</v>
      </c>
      <c r="C422" s="13" t="s">
        <v>1209</v>
      </c>
      <c r="D422" s="2" t="s">
        <v>1325</v>
      </c>
      <c r="E422" s="2" t="str">
        <f t="shared" si="20"/>
        <v>Email Available</v>
      </c>
      <c r="F422" s="2" t="s">
        <v>1326</v>
      </c>
      <c r="G422" s="2" t="s">
        <v>65</v>
      </c>
      <c r="H422" s="2" t="s">
        <v>49</v>
      </c>
      <c r="I422" s="2" t="s">
        <v>66</v>
      </c>
      <c r="J422" s="2">
        <v>1</v>
      </c>
      <c r="K422" s="2">
        <v>14.99</v>
      </c>
      <c r="L422" s="2" t="s">
        <v>208</v>
      </c>
      <c r="M422" s="2">
        <v>2.25</v>
      </c>
      <c r="N422" s="2">
        <v>5.99</v>
      </c>
      <c r="O422" s="2">
        <v>18.73</v>
      </c>
      <c r="P422" s="2" t="s">
        <v>68</v>
      </c>
      <c r="Q422" s="2" t="s">
        <v>28</v>
      </c>
      <c r="R422" s="2" t="s">
        <v>42</v>
      </c>
      <c r="S422" s="2" t="s">
        <v>30</v>
      </c>
      <c r="T422" s="2" t="s">
        <v>60</v>
      </c>
      <c r="U422" s="2" t="str">
        <f t="shared" si="19"/>
        <v>Valid</v>
      </c>
      <c r="V422" s="2" t="s">
        <v>1327</v>
      </c>
    </row>
    <row r="423" spans="1:22" hidden="1" x14ac:dyDescent="0.3">
      <c r="A423" s="2" t="s">
        <v>1328</v>
      </c>
      <c r="B423" s="12">
        <f t="shared" si="18"/>
        <v>46238.584679039363</v>
      </c>
      <c r="C423" s="13">
        <v>46238.584679039363</v>
      </c>
      <c r="D423" s="2" t="s">
        <v>507</v>
      </c>
      <c r="E423" s="2" t="str">
        <f t="shared" si="20"/>
        <v>Email Available</v>
      </c>
      <c r="F423" s="2" t="s">
        <v>508</v>
      </c>
      <c r="G423" s="2" t="s">
        <v>151</v>
      </c>
      <c r="H423" s="2" t="s">
        <v>49</v>
      </c>
      <c r="I423" s="2" t="s">
        <v>152</v>
      </c>
      <c r="J423" s="2">
        <v>1</v>
      </c>
      <c r="K423" s="2">
        <v>34.99</v>
      </c>
      <c r="L423" s="2" t="s">
        <v>67</v>
      </c>
      <c r="M423" s="2">
        <v>3.5</v>
      </c>
      <c r="N423" s="2">
        <v>5.99</v>
      </c>
      <c r="O423" s="2">
        <v>37.479999999999997</v>
      </c>
      <c r="P423" s="2" t="s">
        <v>27</v>
      </c>
      <c r="Q423" s="2" t="s">
        <v>28</v>
      </c>
      <c r="R423" s="2" t="s">
        <v>29</v>
      </c>
      <c r="S423" s="2" t="s">
        <v>30</v>
      </c>
      <c r="T423" s="2" t="s">
        <v>91</v>
      </c>
      <c r="U423" s="2" t="str">
        <f t="shared" si="19"/>
        <v>Valid</v>
      </c>
      <c r="V423" s="2" t="s">
        <v>1329</v>
      </c>
    </row>
    <row r="424" spans="1:22" hidden="1" x14ac:dyDescent="0.3">
      <c r="A424" s="2" t="s">
        <v>1330</v>
      </c>
      <c r="B424" s="12">
        <f t="shared" si="18"/>
        <v>46238.579666562502</v>
      </c>
      <c r="C424" s="13">
        <v>46238.579666562502</v>
      </c>
      <c r="D424" s="2" t="s">
        <v>161</v>
      </c>
      <c r="E424" s="2" t="str">
        <f t="shared" si="20"/>
        <v>Email Available</v>
      </c>
      <c r="F424" s="2" t="s">
        <v>162</v>
      </c>
      <c r="G424" s="2" t="s">
        <v>36</v>
      </c>
      <c r="H424" s="2" t="s">
        <v>37</v>
      </c>
      <c r="I424" s="2" t="s">
        <v>38</v>
      </c>
      <c r="J424" s="2">
        <v>1</v>
      </c>
      <c r="K424" s="2">
        <v>21.99</v>
      </c>
      <c r="L424" s="2" t="s">
        <v>25</v>
      </c>
      <c r="M424" s="2">
        <v>4.4000000000000004</v>
      </c>
      <c r="N424" s="2">
        <v>5.99</v>
      </c>
      <c r="O424" s="2">
        <v>23.58</v>
      </c>
      <c r="P424" s="2" t="s">
        <v>74</v>
      </c>
      <c r="Q424" s="2" t="s">
        <v>41</v>
      </c>
      <c r="R424" s="2" t="s">
        <v>52</v>
      </c>
      <c r="S424" s="2" t="s">
        <v>108</v>
      </c>
      <c r="T424" s="2"/>
      <c r="U424" s="2" t="str">
        <f t="shared" si="19"/>
        <v>Not Required</v>
      </c>
      <c r="V424" s="2" t="s">
        <v>1331</v>
      </c>
    </row>
    <row r="425" spans="1:22" hidden="1" x14ac:dyDescent="0.3">
      <c r="A425" s="2" t="s">
        <v>1332</v>
      </c>
      <c r="B425" s="12">
        <f t="shared" si="18"/>
        <v>46238.584699872677</v>
      </c>
      <c r="C425" s="13">
        <v>46238.584699872677</v>
      </c>
      <c r="D425" s="2" t="s">
        <v>416</v>
      </c>
      <c r="E425" s="2" t="str">
        <f t="shared" si="20"/>
        <v>Email Available</v>
      </c>
      <c r="F425" s="2" t="s">
        <v>417</v>
      </c>
      <c r="G425" s="2" t="s">
        <v>65</v>
      </c>
      <c r="H425" s="2" t="s">
        <v>49</v>
      </c>
      <c r="I425" s="2" t="s">
        <v>66</v>
      </c>
      <c r="J425" s="2">
        <v>2</v>
      </c>
      <c r="K425" s="2">
        <v>14.99</v>
      </c>
      <c r="L425" s="2" t="s">
        <v>208</v>
      </c>
      <c r="M425" s="2">
        <v>4.5</v>
      </c>
      <c r="N425" s="2">
        <v>7.99</v>
      </c>
      <c r="O425" s="2">
        <v>33.47</v>
      </c>
      <c r="P425" s="2" t="s">
        <v>74</v>
      </c>
      <c r="Q425" s="2" t="s">
        <v>90</v>
      </c>
      <c r="R425" s="2" t="s">
        <v>29</v>
      </c>
      <c r="S425" s="2" t="s">
        <v>43</v>
      </c>
      <c r="T425" s="2"/>
      <c r="U425" s="2" t="str">
        <f t="shared" si="19"/>
        <v>Not Required</v>
      </c>
      <c r="V425" s="2" t="s">
        <v>1333</v>
      </c>
    </row>
    <row r="426" spans="1:22" hidden="1" x14ac:dyDescent="0.3">
      <c r="A426" s="2" t="s">
        <v>1334</v>
      </c>
      <c r="B426" s="12">
        <f t="shared" si="18"/>
        <v>46238.584550902779</v>
      </c>
      <c r="C426" s="13">
        <v>46238.584550902779</v>
      </c>
      <c r="D426" s="2" t="s">
        <v>165</v>
      </c>
      <c r="E426" s="2" t="str">
        <f t="shared" si="20"/>
        <v>Email Available</v>
      </c>
      <c r="F426" s="2" t="s">
        <v>166</v>
      </c>
      <c r="G426" s="2" t="s">
        <v>266</v>
      </c>
      <c r="H426" s="2" t="s">
        <v>37</v>
      </c>
      <c r="I426" s="2" t="s">
        <v>267</v>
      </c>
      <c r="J426" s="2">
        <v>1</v>
      </c>
      <c r="K426" s="2">
        <v>15.49</v>
      </c>
      <c r="L426" s="2" t="s">
        <v>39</v>
      </c>
      <c r="M426" s="2">
        <v>0</v>
      </c>
      <c r="N426" s="2">
        <v>0</v>
      </c>
      <c r="O426" s="2">
        <v>15.49</v>
      </c>
      <c r="P426" s="2" t="s">
        <v>74</v>
      </c>
      <c r="Q426" s="2" t="s">
        <v>28</v>
      </c>
      <c r="R426" s="2" t="s">
        <v>52</v>
      </c>
      <c r="S426" s="2" t="s">
        <v>30</v>
      </c>
      <c r="T426" s="2" t="s">
        <v>31</v>
      </c>
      <c r="U426" s="2" t="str">
        <f t="shared" si="19"/>
        <v>Valid</v>
      </c>
      <c r="V426" s="2" t="s">
        <v>1335</v>
      </c>
    </row>
    <row r="427" spans="1:22" hidden="1" x14ac:dyDescent="0.3">
      <c r="A427" s="2" t="s">
        <v>1336</v>
      </c>
      <c r="B427" s="12">
        <f t="shared" si="18"/>
        <v>46238.582952523153</v>
      </c>
      <c r="C427" s="13">
        <v>46238.582952523153</v>
      </c>
      <c r="D427" s="2" t="s">
        <v>900</v>
      </c>
      <c r="E427" s="2" t="str">
        <f t="shared" si="20"/>
        <v>Email Available</v>
      </c>
      <c r="F427" s="2" t="s">
        <v>901</v>
      </c>
      <c r="G427" s="2" t="s">
        <v>36</v>
      </c>
      <c r="H427" s="2" t="s">
        <v>37</v>
      </c>
      <c r="I427" s="2" t="s">
        <v>38</v>
      </c>
      <c r="J427" s="2">
        <v>2</v>
      </c>
      <c r="K427" s="2">
        <v>21.99</v>
      </c>
      <c r="L427" s="2"/>
      <c r="M427" s="2">
        <v>0</v>
      </c>
      <c r="N427" s="2">
        <v>5.99</v>
      </c>
      <c r="O427" s="2">
        <v>49.97</v>
      </c>
      <c r="P427" s="2" t="s">
        <v>27</v>
      </c>
      <c r="Q427" s="2" t="s">
        <v>28</v>
      </c>
      <c r="R427" s="2" t="s">
        <v>42</v>
      </c>
      <c r="S427" s="2" t="s">
        <v>30</v>
      </c>
      <c r="T427" s="2" t="s">
        <v>454</v>
      </c>
      <c r="U427" s="2" t="str">
        <f t="shared" si="19"/>
        <v>Valid</v>
      </c>
      <c r="V427" s="2" t="s">
        <v>1337</v>
      </c>
    </row>
    <row r="428" spans="1:22" hidden="1" x14ac:dyDescent="0.3">
      <c r="A428" s="2" t="s">
        <v>1338</v>
      </c>
      <c r="B428" s="12">
        <f t="shared" si="18"/>
        <v>46238.586640185182</v>
      </c>
      <c r="C428" s="13">
        <v>46238.586640185182</v>
      </c>
      <c r="D428" s="2" t="s">
        <v>1339</v>
      </c>
      <c r="E428" s="2" t="str">
        <f t="shared" si="20"/>
        <v>Email Available</v>
      </c>
      <c r="F428" s="2" t="s">
        <v>1340</v>
      </c>
      <c r="G428" s="2" t="s">
        <v>266</v>
      </c>
      <c r="H428" s="2" t="s">
        <v>37</v>
      </c>
      <c r="I428" s="2" t="s">
        <v>267</v>
      </c>
      <c r="J428" s="2">
        <v>2</v>
      </c>
      <c r="K428" s="2">
        <v>15.49</v>
      </c>
      <c r="L428" s="2"/>
      <c r="M428" s="2">
        <v>0</v>
      </c>
      <c r="N428" s="2">
        <v>7.99</v>
      </c>
      <c r="O428" s="2">
        <v>38.97</v>
      </c>
      <c r="P428" s="2" t="s">
        <v>68</v>
      </c>
      <c r="Q428" s="2" t="s">
        <v>28</v>
      </c>
      <c r="R428" s="2" t="s">
        <v>52</v>
      </c>
      <c r="S428" s="2" t="s">
        <v>43</v>
      </c>
      <c r="T428" s="2"/>
      <c r="U428" s="2" t="str">
        <f t="shared" si="19"/>
        <v>Not Required</v>
      </c>
      <c r="V428" s="2" t="s">
        <v>1341</v>
      </c>
    </row>
    <row r="429" spans="1:22" hidden="1" x14ac:dyDescent="0.3">
      <c r="A429" s="2" t="s">
        <v>1342</v>
      </c>
      <c r="B429" s="12">
        <f t="shared" si="18"/>
        <v>46238.586561446762</v>
      </c>
      <c r="C429" s="13">
        <v>46238.586561446762</v>
      </c>
      <c r="D429" s="2" t="s">
        <v>297</v>
      </c>
      <c r="E429" s="2" t="str">
        <f t="shared" si="20"/>
        <v>Email Available</v>
      </c>
      <c r="F429" s="2" t="s">
        <v>298</v>
      </c>
      <c r="G429" s="2" t="s">
        <v>266</v>
      </c>
      <c r="H429" s="2" t="s">
        <v>37</v>
      </c>
      <c r="I429" s="2" t="s">
        <v>267</v>
      </c>
      <c r="J429" s="2">
        <v>1</v>
      </c>
      <c r="K429" s="2">
        <v>15.49</v>
      </c>
      <c r="L429" s="2" t="s">
        <v>1139</v>
      </c>
      <c r="M429" s="2">
        <v>1.55</v>
      </c>
      <c r="N429" s="2">
        <v>7.99</v>
      </c>
      <c r="O429" s="2">
        <v>21.93</v>
      </c>
      <c r="P429" s="2" t="s">
        <v>51</v>
      </c>
      <c r="Q429" s="2" t="s">
        <v>90</v>
      </c>
      <c r="R429" s="2" t="s">
        <v>52</v>
      </c>
      <c r="S429" s="2" t="s">
        <v>228</v>
      </c>
      <c r="T429" s="2"/>
      <c r="U429" s="2" t="str">
        <f t="shared" si="19"/>
        <v>Not Required</v>
      </c>
      <c r="V429" s="2" t="s">
        <v>1343</v>
      </c>
    </row>
    <row r="430" spans="1:22" hidden="1" x14ac:dyDescent="0.3">
      <c r="A430" s="2" t="s">
        <v>1344</v>
      </c>
      <c r="B430" s="12">
        <f t="shared" si="18"/>
        <v>46238.585245613423</v>
      </c>
      <c r="C430" s="13">
        <v>46238.585245613423</v>
      </c>
      <c r="D430" s="2" t="s">
        <v>327</v>
      </c>
      <c r="E430" s="2" t="str">
        <f t="shared" si="20"/>
        <v>Email Available</v>
      </c>
      <c r="F430" s="2" t="s">
        <v>328</v>
      </c>
      <c r="G430" s="2" t="s">
        <v>120</v>
      </c>
      <c r="H430" s="2" t="s">
        <v>23</v>
      </c>
      <c r="I430" s="2" t="s">
        <v>24</v>
      </c>
      <c r="J430" s="2">
        <v>1</v>
      </c>
      <c r="K430" s="2">
        <v>12.99</v>
      </c>
      <c r="L430" s="2" t="s">
        <v>25</v>
      </c>
      <c r="M430" s="2">
        <v>2.6</v>
      </c>
      <c r="N430" s="2">
        <v>5.99</v>
      </c>
      <c r="O430" s="2">
        <v>16.38</v>
      </c>
      <c r="P430" s="2" t="s">
        <v>74</v>
      </c>
      <c r="Q430" s="2" t="s">
        <v>28</v>
      </c>
      <c r="R430" s="2" t="s">
        <v>99</v>
      </c>
      <c r="S430" s="2" t="s">
        <v>228</v>
      </c>
      <c r="T430" s="2"/>
      <c r="U430" s="2" t="str">
        <f t="shared" si="19"/>
        <v>Not Required</v>
      </c>
      <c r="V430" s="2" t="s">
        <v>1345</v>
      </c>
    </row>
    <row r="431" spans="1:22" hidden="1" x14ac:dyDescent="0.3">
      <c r="A431" s="2" t="s">
        <v>1346</v>
      </c>
      <c r="B431" s="12">
        <f t="shared" si="18"/>
        <v>46238.57951541667</v>
      </c>
      <c r="C431" s="13">
        <v>46238.57951541667</v>
      </c>
      <c r="D431" s="2"/>
      <c r="E431" s="2" t="str">
        <f t="shared" si="20"/>
        <v>Email Available</v>
      </c>
      <c r="F431" s="2" t="s">
        <v>615</v>
      </c>
      <c r="G431" s="2" t="s">
        <v>266</v>
      </c>
      <c r="H431" s="2" t="s">
        <v>37</v>
      </c>
      <c r="I431" s="2" t="s">
        <v>267</v>
      </c>
      <c r="J431" s="2">
        <v>1</v>
      </c>
      <c r="K431" s="2">
        <v>15.49</v>
      </c>
      <c r="L431" s="2" t="s">
        <v>39</v>
      </c>
      <c r="M431" s="2">
        <v>0</v>
      </c>
      <c r="N431" s="2">
        <v>0</v>
      </c>
      <c r="O431" s="2">
        <v>15.49</v>
      </c>
      <c r="P431" s="2" t="s">
        <v>74</v>
      </c>
      <c r="Q431" s="2" t="s">
        <v>28</v>
      </c>
      <c r="R431" s="2" t="s">
        <v>42</v>
      </c>
      <c r="S431" s="2" t="s">
        <v>43</v>
      </c>
      <c r="T431" s="2"/>
      <c r="U431" s="2" t="str">
        <f t="shared" si="19"/>
        <v>Not Required</v>
      </c>
      <c r="V431" s="2" t="s">
        <v>1347</v>
      </c>
    </row>
    <row r="432" spans="1:22" hidden="1" x14ac:dyDescent="0.3">
      <c r="A432" s="2" t="s">
        <v>1348</v>
      </c>
      <c r="B432" s="12">
        <f t="shared" si="18"/>
        <v>46238.585830520831</v>
      </c>
      <c r="C432" s="13">
        <v>46238.585830520831</v>
      </c>
      <c r="D432" s="2" t="s">
        <v>424</v>
      </c>
      <c r="E432" s="2" t="str">
        <f t="shared" si="20"/>
        <v>Email Available</v>
      </c>
      <c r="F432" s="2" t="s">
        <v>425</v>
      </c>
      <c r="G432" s="2" t="s">
        <v>120</v>
      </c>
      <c r="H432" s="2" t="s">
        <v>23</v>
      </c>
      <c r="I432" s="2" t="s">
        <v>24</v>
      </c>
      <c r="J432" s="2">
        <v>1</v>
      </c>
      <c r="K432" s="2">
        <v>12.99</v>
      </c>
      <c r="L432" s="2" t="s">
        <v>208</v>
      </c>
      <c r="M432" s="2">
        <v>1.95</v>
      </c>
      <c r="N432" s="2">
        <v>7.99</v>
      </c>
      <c r="O432" s="2">
        <v>19.03</v>
      </c>
      <c r="P432" s="2" t="s">
        <v>27</v>
      </c>
      <c r="Q432" s="2" t="s">
        <v>114</v>
      </c>
      <c r="R432" s="2" t="s">
        <v>52</v>
      </c>
      <c r="S432" s="2" t="s">
        <v>30</v>
      </c>
      <c r="T432" s="2" t="s">
        <v>53</v>
      </c>
      <c r="U432" s="2" t="str">
        <f t="shared" si="19"/>
        <v>Valid</v>
      </c>
      <c r="V432" s="2" t="s">
        <v>1349</v>
      </c>
    </row>
    <row r="433" spans="1:22" hidden="1" x14ac:dyDescent="0.3">
      <c r="A433" s="2" t="s">
        <v>1350</v>
      </c>
      <c r="B433" s="12">
        <f t="shared" si="18"/>
        <v>46238.580578819441</v>
      </c>
      <c r="C433" s="13">
        <v>46238.580578819441</v>
      </c>
      <c r="D433" s="2" t="s">
        <v>396</v>
      </c>
      <c r="E433" s="2" t="str">
        <f t="shared" si="20"/>
        <v>Email Available</v>
      </c>
      <c r="F433" s="2" t="s">
        <v>397</v>
      </c>
      <c r="G433" s="2" t="s">
        <v>187</v>
      </c>
      <c r="H433" s="2" t="s">
        <v>37</v>
      </c>
      <c r="I433" s="2" t="s">
        <v>188</v>
      </c>
      <c r="J433" s="2">
        <v>1</v>
      </c>
      <c r="K433" s="2">
        <v>11.99</v>
      </c>
      <c r="L433" s="2"/>
      <c r="M433" s="2">
        <v>0</v>
      </c>
      <c r="N433" s="2">
        <v>5.99</v>
      </c>
      <c r="O433" s="2">
        <v>17.98</v>
      </c>
      <c r="P433" s="2" t="s">
        <v>51</v>
      </c>
      <c r="Q433" s="2" t="s">
        <v>90</v>
      </c>
      <c r="R433" s="2" t="s">
        <v>52</v>
      </c>
      <c r="S433" s="2" t="s">
        <v>337</v>
      </c>
      <c r="T433" s="2"/>
      <c r="U433" s="2" t="str">
        <f t="shared" si="19"/>
        <v>Not Required</v>
      </c>
      <c r="V433" s="2" t="s">
        <v>1351</v>
      </c>
    </row>
    <row r="434" spans="1:22" hidden="1" x14ac:dyDescent="0.3">
      <c r="A434" s="2" t="s">
        <v>1352</v>
      </c>
      <c r="B434" s="12">
        <f t="shared" si="18"/>
        <v>46238.582012233797</v>
      </c>
      <c r="C434" s="13">
        <v>46238.582012233797</v>
      </c>
      <c r="D434" s="2" t="s">
        <v>1353</v>
      </c>
      <c r="E434" s="2" t="str">
        <f t="shared" si="20"/>
        <v>Email Available</v>
      </c>
      <c r="F434" s="2" t="s">
        <v>724</v>
      </c>
      <c r="G434" s="2" t="s">
        <v>195</v>
      </c>
      <c r="H434" s="2" t="s">
        <v>196</v>
      </c>
      <c r="I434" s="2" t="s">
        <v>197</v>
      </c>
      <c r="J434" s="2">
        <v>1</v>
      </c>
      <c r="K434" s="2">
        <v>13.49</v>
      </c>
      <c r="L434" s="2" t="s">
        <v>25</v>
      </c>
      <c r="M434" s="2">
        <v>2.7</v>
      </c>
      <c r="N434" s="2">
        <v>4.99</v>
      </c>
      <c r="O434" s="2">
        <v>15.78</v>
      </c>
      <c r="P434" s="2" t="s">
        <v>68</v>
      </c>
      <c r="Q434" s="2" t="s">
        <v>90</v>
      </c>
      <c r="R434" s="2" t="s">
        <v>42</v>
      </c>
      <c r="S434" s="2" t="s">
        <v>30</v>
      </c>
      <c r="T434" s="2" t="s">
        <v>454</v>
      </c>
      <c r="U434" s="2" t="str">
        <f t="shared" si="19"/>
        <v>Valid</v>
      </c>
      <c r="V434" s="2" t="s">
        <v>1354</v>
      </c>
    </row>
    <row r="435" spans="1:22" hidden="1" x14ac:dyDescent="0.3">
      <c r="A435" s="2" t="s">
        <v>1355</v>
      </c>
      <c r="B435" s="12">
        <f t="shared" si="18"/>
        <v>46238.587175011577</v>
      </c>
      <c r="C435" s="13">
        <v>46238.587175011577</v>
      </c>
      <c r="D435" s="2" t="s">
        <v>1294</v>
      </c>
      <c r="E435" s="2" t="str">
        <f t="shared" si="20"/>
        <v>Email Available</v>
      </c>
      <c r="F435" s="2" t="s">
        <v>1275</v>
      </c>
      <c r="G435" s="2" t="s">
        <v>36</v>
      </c>
      <c r="H435" s="2" t="s">
        <v>37</v>
      </c>
      <c r="I435" s="2" t="s">
        <v>38</v>
      </c>
      <c r="J435" s="2">
        <v>1</v>
      </c>
      <c r="K435" s="2">
        <v>21.99</v>
      </c>
      <c r="L435" s="2"/>
      <c r="M435" s="2">
        <v>0</v>
      </c>
      <c r="N435" s="2">
        <v>5.99</v>
      </c>
      <c r="O435" s="2">
        <v>27.98</v>
      </c>
      <c r="P435" s="2" t="s">
        <v>27</v>
      </c>
      <c r="Q435" s="2" t="s">
        <v>28</v>
      </c>
      <c r="R435" s="2" t="s">
        <v>52</v>
      </c>
      <c r="S435" s="2" t="s">
        <v>108</v>
      </c>
      <c r="T435" s="2"/>
      <c r="U435" s="2" t="str">
        <f t="shared" si="19"/>
        <v>Not Required</v>
      </c>
      <c r="V435" s="2" t="s">
        <v>1356</v>
      </c>
    </row>
    <row r="436" spans="1:22" hidden="1" x14ac:dyDescent="0.3">
      <c r="A436" s="2" t="s">
        <v>1357</v>
      </c>
      <c r="B436" s="12">
        <f t="shared" si="18"/>
        <v>46238.582035127307</v>
      </c>
      <c r="C436" s="13">
        <v>46238.582035127307</v>
      </c>
      <c r="D436" s="2" t="s">
        <v>1358</v>
      </c>
      <c r="E436" s="2" t="str">
        <f t="shared" si="20"/>
        <v>Email Available</v>
      </c>
      <c r="F436" s="2" t="s">
        <v>1359</v>
      </c>
      <c r="G436" s="2" t="s">
        <v>272</v>
      </c>
      <c r="H436" s="2" t="s">
        <v>23</v>
      </c>
      <c r="I436" s="2" t="s">
        <v>273</v>
      </c>
      <c r="J436" s="2">
        <v>1</v>
      </c>
      <c r="K436" s="2">
        <v>18.989999999999998</v>
      </c>
      <c r="L436" s="2"/>
      <c r="M436" s="2">
        <v>0</v>
      </c>
      <c r="N436" s="2">
        <v>5.99</v>
      </c>
      <c r="O436" s="2">
        <v>24.98</v>
      </c>
      <c r="P436" s="2" t="s">
        <v>74</v>
      </c>
      <c r="Q436" s="2" t="s">
        <v>41</v>
      </c>
      <c r="R436" s="2" t="s">
        <v>52</v>
      </c>
      <c r="S436" s="2" t="s">
        <v>43</v>
      </c>
      <c r="T436" s="2"/>
      <c r="U436" s="2" t="str">
        <f t="shared" si="19"/>
        <v>Not Required</v>
      </c>
      <c r="V436" s="2" t="s">
        <v>1360</v>
      </c>
    </row>
    <row r="437" spans="1:22" hidden="1" x14ac:dyDescent="0.3">
      <c r="A437" s="2" t="s">
        <v>1361</v>
      </c>
      <c r="B437" s="12">
        <f t="shared" si="18"/>
        <v>46120</v>
      </c>
      <c r="C437" s="13" t="s">
        <v>142</v>
      </c>
      <c r="D437" s="2" t="s">
        <v>1362</v>
      </c>
      <c r="E437" s="2" t="str">
        <f t="shared" si="20"/>
        <v>Email Available</v>
      </c>
      <c r="F437" s="2" t="s">
        <v>1363</v>
      </c>
      <c r="G437" s="2" t="s">
        <v>65</v>
      </c>
      <c r="H437" s="2" t="s">
        <v>49</v>
      </c>
      <c r="I437" s="2" t="s">
        <v>66</v>
      </c>
      <c r="J437" s="2">
        <v>2</v>
      </c>
      <c r="K437" s="2">
        <v>14.99</v>
      </c>
      <c r="L437" s="2" t="s">
        <v>121</v>
      </c>
      <c r="M437" s="2">
        <v>7.5</v>
      </c>
      <c r="N437" s="2">
        <v>4.99</v>
      </c>
      <c r="O437" s="2">
        <v>27.47</v>
      </c>
      <c r="P437" s="2" t="s">
        <v>68</v>
      </c>
      <c r="Q437" s="2" t="s">
        <v>28</v>
      </c>
      <c r="R437" s="2" t="s">
        <v>52</v>
      </c>
      <c r="S437" s="2" t="s">
        <v>30</v>
      </c>
      <c r="T437" s="2" t="s">
        <v>53</v>
      </c>
      <c r="U437" s="2" t="str">
        <f t="shared" si="19"/>
        <v>Valid</v>
      </c>
      <c r="V437" s="2" t="s">
        <v>1364</v>
      </c>
    </row>
    <row r="438" spans="1:22" hidden="1" x14ac:dyDescent="0.3">
      <c r="A438" s="2" t="s">
        <v>1365</v>
      </c>
      <c r="B438" s="12">
        <f t="shared" si="18"/>
        <v>46238.579701759263</v>
      </c>
      <c r="C438" s="13">
        <v>46238.579701759263</v>
      </c>
      <c r="D438" s="2" t="s">
        <v>256</v>
      </c>
      <c r="E438" s="2" t="str">
        <f t="shared" si="20"/>
        <v>Email Available</v>
      </c>
      <c r="F438" s="2" t="s">
        <v>350</v>
      </c>
      <c r="G438" s="2" t="s">
        <v>87</v>
      </c>
      <c r="H438" s="2" t="s">
        <v>88</v>
      </c>
      <c r="I438" s="2" t="s">
        <v>89</v>
      </c>
      <c r="J438" s="2">
        <v>2</v>
      </c>
      <c r="K438" s="2">
        <v>54.99</v>
      </c>
      <c r="L438" s="2" t="s">
        <v>67</v>
      </c>
      <c r="M438" s="2">
        <v>11</v>
      </c>
      <c r="N438" s="2">
        <v>0</v>
      </c>
      <c r="O438" s="2">
        <v>98.98</v>
      </c>
      <c r="P438" s="2" t="s">
        <v>74</v>
      </c>
      <c r="Q438" s="2" t="s">
        <v>28</v>
      </c>
      <c r="R438" s="2" t="s">
        <v>52</v>
      </c>
      <c r="S438" s="2" t="s">
        <v>30</v>
      </c>
      <c r="T438" s="2" t="s">
        <v>115</v>
      </c>
      <c r="U438" s="2" t="str">
        <f t="shared" si="19"/>
        <v>Valid</v>
      </c>
      <c r="V438" s="2" t="s">
        <v>1366</v>
      </c>
    </row>
    <row r="439" spans="1:22" hidden="1" x14ac:dyDescent="0.3">
      <c r="A439" s="2" t="s">
        <v>1367</v>
      </c>
      <c r="B439" s="12">
        <f t="shared" si="18"/>
        <v>46238.581874629628</v>
      </c>
      <c r="C439" s="13">
        <v>46238.581874629628</v>
      </c>
      <c r="D439" s="2" t="s">
        <v>1368</v>
      </c>
      <c r="E439" s="2" t="str">
        <f t="shared" si="20"/>
        <v>Email Available</v>
      </c>
      <c r="F439" s="2" t="s">
        <v>1369</v>
      </c>
      <c r="G439" s="2" t="s">
        <v>58</v>
      </c>
      <c r="H439" s="2" t="s">
        <v>23</v>
      </c>
      <c r="I439" s="2" t="s">
        <v>59</v>
      </c>
      <c r="J439" s="2">
        <v>1</v>
      </c>
      <c r="K439" s="2">
        <v>9.99</v>
      </c>
      <c r="L439" s="2" t="s">
        <v>39</v>
      </c>
      <c r="M439" s="2">
        <v>0</v>
      </c>
      <c r="N439" s="2">
        <v>0</v>
      </c>
      <c r="O439" s="2">
        <v>9.99</v>
      </c>
      <c r="P439" s="2" t="s">
        <v>74</v>
      </c>
      <c r="Q439" s="2" t="s">
        <v>90</v>
      </c>
      <c r="R439" s="2" t="s">
        <v>52</v>
      </c>
      <c r="S439" s="2" t="s">
        <v>43</v>
      </c>
      <c r="T439" s="2"/>
      <c r="U439" s="2" t="str">
        <f t="shared" si="19"/>
        <v>Not Required</v>
      </c>
      <c r="V439" s="2" t="s">
        <v>1370</v>
      </c>
    </row>
    <row r="440" spans="1:22" hidden="1" x14ac:dyDescent="0.3">
      <c r="A440" s="2" t="s">
        <v>1371</v>
      </c>
      <c r="B440" s="12">
        <f t="shared" si="18"/>
        <v>46120</v>
      </c>
      <c r="C440" s="13" t="s">
        <v>142</v>
      </c>
      <c r="D440" s="2" t="s">
        <v>614</v>
      </c>
      <c r="E440" s="2" t="str">
        <f t="shared" si="20"/>
        <v>Email Available</v>
      </c>
      <c r="F440" s="2" t="s">
        <v>615</v>
      </c>
      <c r="G440" s="2" t="s">
        <v>36</v>
      </c>
      <c r="H440" s="2" t="s">
        <v>37</v>
      </c>
      <c r="I440" s="2" t="s">
        <v>38</v>
      </c>
      <c r="J440" s="2">
        <v>1</v>
      </c>
      <c r="K440" s="2">
        <v>21.99</v>
      </c>
      <c r="L440" s="2" t="s">
        <v>67</v>
      </c>
      <c r="M440" s="2">
        <v>2.2000000000000002</v>
      </c>
      <c r="N440" s="2">
        <v>7.99</v>
      </c>
      <c r="O440" s="2">
        <v>27.78</v>
      </c>
      <c r="P440" s="2" t="s">
        <v>51</v>
      </c>
      <c r="Q440" s="2" t="s">
        <v>41</v>
      </c>
      <c r="R440" s="2" t="s">
        <v>29</v>
      </c>
      <c r="S440" s="2" t="s">
        <v>43</v>
      </c>
      <c r="T440" s="2"/>
      <c r="U440" s="2" t="str">
        <f t="shared" si="19"/>
        <v>Not Required</v>
      </c>
      <c r="V440" s="2" t="s">
        <v>1372</v>
      </c>
    </row>
    <row r="441" spans="1:22" hidden="1" x14ac:dyDescent="0.3">
      <c r="A441" s="2" t="s">
        <v>1373</v>
      </c>
      <c r="B441" s="12">
        <f t="shared" si="18"/>
        <v>46238.582844849538</v>
      </c>
      <c r="C441" s="13">
        <v>46238.582844849538</v>
      </c>
      <c r="D441" s="2" t="s">
        <v>354</v>
      </c>
      <c r="E441" s="2" t="str">
        <f t="shared" si="20"/>
        <v>Email Available</v>
      </c>
      <c r="F441" s="2" t="s">
        <v>355</v>
      </c>
      <c r="G441" s="2" t="s">
        <v>187</v>
      </c>
      <c r="H441" s="2" t="s">
        <v>37</v>
      </c>
      <c r="I441" s="2" t="s">
        <v>188</v>
      </c>
      <c r="J441" s="2">
        <v>1</v>
      </c>
      <c r="K441" s="2">
        <v>11.99</v>
      </c>
      <c r="L441" s="2" t="s">
        <v>39</v>
      </c>
      <c r="M441" s="2">
        <v>0</v>
      </c>
      <c r="N441" s="2">
        <v>0</v>
      </c>
      <c r="O441" s="2" t="s">
        <v>409</v>
      </c>
      <c r="P441" s="2" t="s">
        <v>40</v>
      </c>
      <c r="Q441" s="2" t="s">
        <v>28</v>
      </c>
      <c r="R441" s="2" t="s">
        <v>52</v>
      </c>
      <c r="S441" s="2" t="s">
        <v>228</v>
      </c>
      <c r="T441" s="2"/>
      <c r="U441" s="2" t="str">
        <f t="shared" si="19"/>
        <v>Not Required</v>
      </c>
      <c r="V441" s="2" t="s">
        <v>1374</v>
      </c>
    </row>
    <row r="442" spans="1:22" hidden="1" x14ac:dyDescent="0.3">
      <c r="A442" s="2" t="s">
        <v>1375</v>
      </c>
      <c r="B442" s="12">
        <f t="shared" si="18"/>
        <v>46120</v>
      </c>
      <c r="C442" s="13" t="s">
        <v>142</v>
      </c>
      <c r="D442" s="2" t="s">
        <v>948</v>
      </c>
      <c r="E442" s="2" t="str">
        <f t="shared" si="20"/>
        <v>Email Available</v>
      </c>
      <c r="F442" s="2" t="s">
        <v>949</v>
      </c>
      <c r="G442" s="2" t="s">
        <v>127</v>
      </c>
      <c r="H442" s="2" t="s">
        <v>81</v>
      </c>
      <c r="I442" s="2" t="s">
        <v>128</v>
      </c>
      <c r="J442" s="2">
        <v>1</v>
      </c>
      <c r="K442" s="2">
        <v>13.99</v>
      </c>
      <c r="L442" s="2"/>
      <c r="M442" s="2">
        <v>0</v>
      </c>
      <c r="N442" s="2">
        <v>4.99</v>
      </c>
      <c r="O442" s="2">
        <v>18.98</v>
      </c>
      <c r="P442" s="2" t="s">
        <v>74</v>
      </c>
      <c r="Q442" s="2" t="s">
        <v>28</v>
      </c>
      <c r="R442" s="2" t="s">
        <v>42</v>
      </c>
      <c r="S442" s="2" t="s">
        <v>30</v>
      </c>
      <c r="T442" s="2" t="s">
        <v>53</v>
      </c>
      <c r="U442" s="2" t="str">
        <f t="shared" si="19"/>
        <v>Valid</v>
      </c>
      <c r="V442" s="2" t="s">
        <v>1376</v>
      </c>
    </row>
    <row r="443" spans="1:22" hidden="1" x14ac:dyDescent="0.3">
      <c r="A443" s="2" t="s">
        <v>1377</v>
      </c>
      <c r="B443" s="12">
        <f t="shared" si="18"/>
        <v>46238.58312221065</v>
      </c>
      <c r="C443" s="13">
        <v>46238.58312221065</v>
      </c>
      <c r="D443" s="2" t="s">
        <v>1378</v>
      </c>
      <c r="E443" s="2" t="str">
        <f t="shared" si="20"/>
        <v>Email Available</v>
      </c>
      <c r="F443" s="2" t="s">
        <v>1379</v>
      </c>
      <c r="G443" s="2" t="s">
        <v>187</v>
      </c>
      <c r="H443" s="2" t="s">
        <v>37</v>
      </c>
      <c r="I443" s="2" t="s">
        <v>188</v>
      </c>
      <c r="J443" s="2">
        <v>1</v>
      </c>
      <c r="K443" s="2">
        <v>11.99</v>
      </c>
      <c r="L443" s="2" t="s">
        <v>25</v>
      </c>
      <c r="M443" s="2">
        <v>2.4</v>
      </c>
      <c r="N443" s="2">
        <v>5.99</v>
      </c>
      <c r="O443" s="2">
        <v>15.58</v>
      </c>
      <c r="P443" s="2" t="s">
        <v>74</v>
      </c>
      <c r="Q443" s="2" t="s">
        <v>28</v>
      </c>
      <c r="R443" s="2" t="s">
        <v>52</v>
      </c>
      <c r="S443" s="2" t="s">
        <v>337</v>
      </c>
      <c r="T443" s="2"/>
      <c r="U443" s="2" t="str">
        <f t="shared" si="19"/>
        <v>Not Required</v>
      </c>
      <c r="V443" s="2" t="s">
        <v>1380</v>
      </c>
    </row>
    <row r="444" spans="1:22" hidden="1" x14ac:dyDescent="0.3">
      <c r="A444" s="2" t="s">
        <v>1381</v>
      </c>
      <c r="B444" s="12">
        <f t="shared" si="18"/>
        <v>46238.586508668981</v>
      </c>
      <c r="C444" s="13">
        <v>46238.586508668981</v>
      </c>
      <c r="D444" s="2" t="s">
        <v>1382</v>
      </c>
      <c r="E444" s="2" t="str">
        <f t="shared" si="20"/>
        <v>Email Available</v>
      </c>
      <c r="F444" s="2" t="s">
        <v>1383</v>
      </c>
      <c r="G444" s="2" t="s">
        <v>151</v>
      </c>
      <c r="H444" s="2" t="s">
        <v>49</v>
      </c>
      <c r="I444" s="2" t="s">
        <v>152</v>
      </c>
      <c r="J444" s="2">
        <v>1</v>
      </c>
      <c r="K444" s="2">
        <v>34.99</v>
      </c>
      <c r="L444" s="2"/>
      <c r="M444" s="2">
        <v>0</v>
      </c>
      <c r="N444" s="2">
        <v>7.99</v>
      </c>
      <c r="O444" s="2">
        <v>42.98</v>
      </c>
      <c r="P444" s="2" t="s">
        <v>51</v>
      </c>
      <c r="Q444" s="2" t="s">
        <v>28</v>
      </c>
      <c r="R444" s="2" t="s">
        <v>29</v>
      </c>
      <c r="S444" s="2" t="s">
        <v>228</v>
      </c>
      <c r="T444" s="2"/>
      <c r="U444" s="2" t="str">
        <f t="shared" si="19"/>
        <v>Not Required</v>
      </c>
      <c r="V444" s="2" t="s">
        <v>1384</v>
      </c>
    </row>
    <row r="445" spans="1:22" hidden="1" x14ac:dyDescent="0.3">
      <c r="A445" s="2" t="s">
        <v>1385</v>
      </c>
      <c r="B445" s="12">
        <f t="shared" si="18"/>
        <v>46238</v>
      </c>
      <c r="C445" s="13" t="s">
        <v>722</v>
      </c>
      <c r="D445" s="2" t="s">
        <v>1131</v>
      </c>
      <c r="E445" s="2" t="str">
        <f t="shared" si="20"/>
        <v>Email Available</v>
      </c>
      <c r="F445" s="2" t="s">
        <v>1132</v>
      </c>
      <c r="G445" s="2" t="s">
        <v>151</v>
      </c>
      <c r="H445" s="2" t="s">
        <v>49</v>
      </c>
      <c r="I445" s="2" t="s">
        <v>152</v>
      </c>
      <c r="J445" s="2">
        <v>1</v>
      </c>
      <c r="K445" s="2">
        <v>34.99</v>
      </c>
      <c r="L445" s="2"/>
      <c r="M445" s="2">
        <v>0</v>
      </c>
      <c r="N445" s="2">
        <v>7.99</v>
      </c>
      <c r="O445" s="2">
        <v>42.98</v>
      </c>
      <c r="P445" s="2" t="s">
        <v>74</v>
      </c>
      <c r="Q445" s="2" t="s">
        <v>41</v>
      </c>
      <c r="R445" s="2" t="s">
        <v>52</v>
      </c>
      <c r="S445" s="2" t="s">
        <v>337</v>
      </c>
      <c r="T445" s="2"/>
      <c r="U445" s="2" t="str">
        <f t="shared" si="19"/>
        <v>Not Required</v>
      </c>
      <c r="V445" s="2" t="s">
        <v>1386</v>
      </c>
    </row>
    <row r="446" spans="1:22" hidden="1" x14ac:dyDescent="0.3">
      <c r="A446" s="2" t="s">
        <v>1391</v>
      </c>
      <c r="B446" s="12">
        <f t="shared" si="18"/>
        <v>46238.584731145827</v>
      </c>
      <c r="C446" s="13">
        <v>46238.584731145827</v>
      </c>
      <c r="D446" s="2" t="s">
        <v>1392</v>
      </c>
      <c r="E446" s="2" t="str">
        <f t="shared" si="20"/>
        <v>Email Available</v>
      </c>
      <c r="F446" s="2" t="s">
        <v>1393</v>
      </c>
      <c r="G446" s="2" t="s">
        <v>368</v>
      </c>
      <c r="H446" s="2" t="s">
        <v>88</v>
      </c>
      <c r="I446" s="2" t="s">
        <v>369</v>
      </c>
      <c r="J446" s="2">
        <v>1</v>
      </c>
      <c r="K446" s="2">
        <v>54.99</v>
      </c>
      <c r="L446" s="2" t="s">
        <v>121</v>
      </c>
      <c r="M446" s="2">
        <v>13.75</v>
      </c>
      <c r="N446" s="2">
        <v>7.99</v>
      </c>
      <c r="O446" s="2">
        <v>49.23</v>
      </c>
      <c r="P446" s="2" t="s">
        <v>51</v>
      </c>
      <c r="Q446" s="2" t="s">
        <v>28</v>
      </c>
      <c r="R446" s="2" t="s">
        <v>52</v>
      </c>
      <c r="S446" s="2" t="s">
        <v>228</v>
      </c>
      <c r="T446" s="2"/>
      <c r="U446" s="2" t="str">
        <f t="shared" si="19"/>
        <v>Not Required</v>
      </c>
      <c r="V446" s="2" t="s">
        <v>1394</v>
      </c>
    </row>
    <row r="447" spans="1:22" x14ac:dyDescent="0.3">
      <c r="A447" s="2" t="s">
        <v>1395</v>
      </c>
      <c r="B447" s="12">
        <f t="shared" si="18"/>
        <v>46238.586880358787</v>
      </c>
      <c r="C447" s="13">
        <v>46238.586880358787</v>
      </c>
      <c r="D447" s="2" t="s">
        <v>193</v>
      </c>
      <c r="E447" s="2" t="str">
        <f t="shared" si="20"/>
        <v>Missing Email</v>
      </c>
      <c r="F447" s="2"/>
      <c r="G447" s="2" t="s">
        <v>58</v>
      </c>
      <c r="H447" s="2" t="s">
        <v>23</v>
      </c>
      <c r="I447" s="2" t="s">
        <v>59</v>
      </c>
      <c r="J447" s="2">
        <v>2</v>
      </c>
      <c r="K447" s="2">
        <v>9.99</v>
      </c>
      <c r="L447" s="2" t="s">
        <v>25</v>
      </c>
      <c r="M447" s="2">
        <v>4</v>
      </c>
      <c r="N447" s="2">
        <v>4.99</v>
      </c>
      <c r="O447" s="2">
        <v>20.97</v>
      </c>
      <c r="P447" s="2" t="s">
        <v>51</v>
      </c>
      <c r="Q447" s="2" t="s">
        <v>28</v>
      </c>
      <c r="R447" s="2" t="s">
        <v>29</v>
      </c>
      <c r="S447" s="2" t="s">
        <v>30</v>
      </c>
      <c r="T447" s="2" t="s">
        <v>31</v>
      </c>
      <c r="U447" s="2" t="str">
        <f t="shared" si="19"/>
        <v>Valid</v>
      </c>
      <c r="V447" s="2" t="s">
        <v>1396</v>
      </c>
    </row>
    <row r="448" spans="1:22" x14ac:dyDescent="0.3">
      <c r="A448" s="2" t="s">
        <v>1397</v>
      </c>
      <c r="B448" s="12">
        <f t="shared" si="18"/>
        <v>46238.582060266213</v>
      </c>
      <c r="C448" s="13">
        <v>46238.582060266213</v>
      </c>
      <c r="D448" s="2" t="s">
        <v>169</v>
      </c>
      <c r="E448" s="2" t="str">
        <f t="shared" si="20"/>
        <v>Missing Email</v>
      </c>
      <c r="F448" s="2"/>
      <c r="G448" s="2" t="s">
        <v>241</v>
      </c>
      <c r="H448" s="2" t="s">
        <v>242</v>
      </c>
      <c r="I448" s="2" t="s">
        <v>243</v>
      </c>
      <c r="J448" s="2">
        <v>2</v>
      </c>
      <c r="K448" s="2">
        <v>27.99</v>
      </c>
      <c r="L448" s="2" t="s">
        <v>121</v>
      </c>
      <c r="M448" s="2">
        <v>13.99</v>
      </c>
      <c r="N448" s="2">
        <v>5.99</v>
      </c>
      <c r="O448" s="2">
        <v>47.98</v>
      </c>
      <c r="P448" s="2" t="s">
        <v>40</v>
      </c>
      <c r="Q448" s="2" t="s">
        <v>41</v>
      </c>
      <c r="R448" s="2" t="s">
        <v>52</v>
      </c>
      <c r="S448" s="2" t="s">
        <v>108</v>
      </c>
      <c r="T448" s="2"/>
      <c r="U448" s="2" t="str">
        <f t="shared" si="19"/>
        <v>Not Required</v>
      </c>
      <c r="V448" s="2" t="s">
        <v>1398</v>
      </c>
    </row>
    <row r="449" spans="1:22" hidden="1" x14ac:dyDescent="0.3">
      <c r="A449" s="2" t="s">
        <v>1399</v>
      </c>
      <c r="B449" s="12">
        <f t="shared" si="18"/>
        <v>46238.5842671875</v>
      </c>
      <c r="C449" s="13">
        <v>46238.5842671875</v>
      </c>
      <c r="D449" s="2" t="s">
        <v>420</v>
      </c>
      <c r="E449" s="2" t="str">
        <f t="shared" si="20"/>
        <v>Email Available</v>
      </c>
      <c r="F449" s="2" t="s">
        <v>421</v>
      </c>
      <c r="G449" s="2" t="s">
        <v>368</v>
      </c>
      <c r="H449" s="2" t="s">
        <v>88</v>
      </c>
      <c r="I449" s="2" t="s">
        <v>369</v>
      </c>
      <c r="J449" s="2">
        <v>2</v>
      </c>
      <c r="K449" s="2">
        <v>54.99</v>
      </c>
      <c r="L449" s="2" t="s">
        <v>67</v>
      </c>
      <c r="M449" s="2">
        <v>11</v>
      </c>
      <c r="N449" s="2">
        <v>0</v>
      </c>
      <c r="O449" s="2">
        <v>98.98</v>
      </c>
      <c r="P449" s="2" t="s">
        <v>51</v>
      </c>
      <c r="Q449" s="2" t="s">
        <v>90</v>
      </c>
      <c r="R449" s="2" t="s">
        <v>52</v>
      </c>
      <c r="S449" s="2" t="s">
        <v>337</v>
      </c>
      <c r="T449" s="2"/>
      <c r="U449" s="2" t="str">
        <f t="shared" si="19"/>
        <v>Not Required</v>
      </c>
      <c r="V449" s="2" t="s">
        <v>1400</v>
      </c>
    </row>
    <row r="450" spans="1:22" hidden="1" x14ac:dyDescent="0.3">
      <c r="A450" s="2" t="s">
        <v>1401</v>
      </c>
      <c r="B450" s="12">
        <f>DATE(VALUE(RIGHT(C450,4)),MATCH(LEFT(C450,3),{"Jan","Feb","Mar","Apr","May","Jun","Jul","Aug","Sep","Oct","Nov","Dec"},0),VALUE(MID(C450,5,2)))</f>
        <v>46238</v>
      </c>
      <c r="C450" s="13" t="s">
        <v>176</v>
      </c>
      <c r="D450" s="2" t="s">
        <v>480</v>
      </c>
      <c r="E450" s="2" t="str">
        <f t="shared" si="20"/>
        <v>Email Available</v>
      </c>
      <c r="F450" s="2" t="s">
        <v>481</v>
      </c>
      <c r="G450" s="2" t="s">
        <v>206</v>
      </c>
      <c r="H450" s="2" t="s">
        <v>196</v>
      </c>
      <c r="I450" s="2" t="s">
        <v>207</v>
      </c>
      <c r="J450" s="2">
        <v>1</v>
      </c>
      <c r="K450" s="2">
        <v>24.99</v>
      </c>
      <c r="L450" s="2" t="s">
        <v>208</v>
      </c>
      <c r="M450" s="2">
        <v>3.75</v>
      </c>
      <c r="N450" s="2">
        <v>5.99</v>
      </c>
      <c r="O450" s="2">
        <v>27.23</v>
      </c>
      <c r="P450" s="2" t="s">
        <v>51</v>
      </c>
      <c r="Q450" s="2" t="s">
        <v>90</v>
      </c>
      <c r="R450" s="2" t="s">
        <v>52</v>
      </c>
      <c r="S450" s="2" t="s">
        <v>75</v>
      </c>
      <c r="T450" s="2"/>
      <c r="U450" s="2" t="str">
        <f t="shared" ref="U450:U513" si="21">IF(AND(S450="United States",T450=""),"Missing state",IF(T450="","Not Required","Valid"))</f>
        <v>Not Required</v>
      </c>
      <c r="V450" s="2" t="s">
        <v>1402</v>
      </c>
    </row>
    <row r="451" spans="1:22" hidden="1" x14ac:dyDescent="0.3">
      <c r="A451" s="2" t="s">
        <v>1403</v>
      </c>
      <c r="B451" s="12">
        <f t="shared" ref="B451:B513" si="22">IF(ISNUMBER(C451),C451,DATEVALUE(SUBSTITUTE(TRIM(C451),CHAR(160)," ")))</f>
        <v>46238.58292385417</v>
      </c>
      <c r="C451" s="13">
        <v>46238.58292385417</v>
      </c>
      <c r="D451" s="2" t="s">
        <v>1404</v>
      </c>
      <c r="E451" s="2" t="str">
        <f t="shared" ref="E451:E514" si="23">IF(TRIM(F451)="","Missing Email","Email Available")</f>
        <v>Email Available</v>
      </c>
      <c r="F451" s="2" t="s">
        <v>1405</v>
      </c>
      <c r="G451" s="2" t="s">
        <v>226</v>
      </c>
      <c r="H451" s="2" t="s">
        <v>23</v>
      </c>
      <c r="I451" s="2" t="s">
        <v>227</v>
      </c>
      <c r="J451" s="2">
        <v>1</v>
      </c>
      <c r="K451" s="2">
        <v>17.989999999999998</v>
      </c>
      <c r="L451" s="2" t="s">
        <v>25</v>
      </c>
      <c r="M451" s="2">
        <v>3.6</v>
      </c>
      <c r="N451" s="2">
        <v>5.99</v>
      </c>
      <c r="O451" s="2">
        <v>20.38</v>
      </c>
      <c r="P451" s="2" t="s">
        <v>40</v>
      </c>
      <c r="Q451" s="2" t="s">
        <v>114</v>
      </c>
      <c r="R451" s="2" t="s">
        <v>29</v>
      </c>
      <c r="S451" s="2" t="s">
        <v>75</v>
      </c>
      <c r="T451" s="2"/>
      <c r="U451" s="2" t="str">
        <f t="shared" si="21"/>
        <v>Not Required</v>
      </c>
      <c r="V451" s="2" t="s">
        <v>1406</v>
      </c>
    </row>
    <row r="452" spans="1:22" hidden="1" x14ac:dyDescent="0.3">
      <c r="A452" s="2" t="s">
        <v>1407</v>
      </c>
      <c r="B452" s="12">
        <f t="shared" si="22"/>
        <v>46238.587132592591</v>
      </c>
      <c r="C452" s="13">
        <v>46238.587132592591</v>
      </c>
      <c r="D452" s="2" t="s">
        <v>610</v>
      </c>
      <c r="E452" s="2" t="str">
        <f t="shared" si="23"/>
        <v>Email Available</v>
      </c>
      <c r="F452" s="2" t="s">
        <v>611</v>
      </c>
      <c r="G452" s="2" t="s">
        <v>65</v>
      </c>
      <c r="H452" s="2" t="s">
        <v>49</v>
      </c>
      <c r="I452" s="2" t="s">
        <v>453</v>
      </c>
      <c r="J452" s="2">
        <v>2</v>
      </c>
      <c r="K452" s="2">
        <v>14.99</v>
      </c>
      <c r="L452" s="2"/>
      <c r="M452" s="2">
        <v>0</v>
      </c>
      <c r="N452" s="2">
        <v>5.99</v>
      </c>
      <c r="O452" s="2">
        <v>35.97</v>
      </c>
      <c r="P452" s="2" t="s">
        <v>40</v>
      </c>
      <c r="Q452" s="2" t="s">
        <v>41</v>
      </c>
      <c r="R452" s="2" t="s">
        <v>52</v>
      </c>
      <c r="S452" s="2" t="s">
        <v>43</v>
      </c>
      <c r="T452" s="2"/>
      <c r="U452" s="2" t="str">
        <f t="shared" si="21"/>
        <v>Not Required</v>
      </c>
      <c r="V452" s="2" t="s">
        <v>1408</v>
      </c>
    </row>
    <row r="453" spans="1:22" hidden="1" x14ac:dyDescent="0.3">
      <c r="A453" s="2" t="s">
        <v>1409</v>
      </c>
      <c r="B453" s="12">
        <f t="shared" si="22"/>
        <v>46120</v>
      </c>
      <c r="C453" s="13" t="s">
        <v>142</v>
      </c>
      <c r="D453" s="2" t="s">
        <v>1410</v>
      </c>
      <c r="E453" s="2" t="str">
        <f t="shared" si="23"/>
        <v>Email Available</v>
      </c>
      <c r="F453" s="2" t="s">
        <v>1411</v>
      </c>
      <c r="G453" s="2" t="s">
        <v>133</v>
      </c>
      <c r="H453" s="2" t="s">
        <v>106</v>
      </c>
      <c r="I453" s="2" t="s">
        <v>134</v>
      </c>
      <c r="J453" s="2">
        <v>1</v>
      </c>
      <c r="K453" s="2">
        <v>16.989999999999998</v>
      </c>
      <c r="L453" s="2" t="s">
        <v>121</v>
      </c>
      <c r="M453" s="2">
        <v>4.25</v>
      </c>
      <c r="N453" s="2">
        <v>4.99</v>
      </c>
      <c r="O453" s="2">
        <v>17.73</v>
      </c>
      <c r="P453" s="2" t="s">
        <v>74</v>
      </c>
      <c r="Q453" s="2" t="s">
        <v>114</v>
      </c>
      <c r="R453" s="2" t="s">
        <v>99</v>
      </c>
      <c r="S453" s="2" t="s">
        <v>30</v>
      </c>
      <c r="T453" s="2" t="s">
        <v>1412</v>
      </c>
      <c r="U453" s="2" t="str">
        <f t="shared" si="21"/>
        <v>Valid</v>
      </c>
      <c r="V453" s="2" t="s">
        <v>1413</v>
      </c>
    </row>
    <row r="454" spans="1:22" hidden="1" x14ac:dyDescent="0.3">
      <c r="A454" s="2" t="s">
        <v>1414</v>
      </c>
      <c r="B454" s="12">
        <f t="shared" si="22"/>
        <v>46238.581728935183</v>
      </c>
      <c r="C454" s="13">
        <v>46238.581728935183</v>
      </c>
      <c r="D454" s="2" t="s">
        <v>169</v>
      </c>
      <c r="E454" s="2" t="str">
        <f t="shared" si="23"/>
        <v>Email Available</v>
      </c>
      <c r="F454" s="2" t="s">
        <v>170</v>
      </c>
      <c r="G454" s="2" t="s">
        <v>266</v>
      </c>
      <c r="H454" s="2" t="s">
        <v>37</v>
      </c>
      <c r="I454" s="2" t="s">
        <v>267</v>
      </c>
      <c r="J454" s="2">
        <v>1</v>
      </c>
      <c r="K454" s="2">
        <v>15.49</v>
      </c>
      <c r="L454" s="2"/>
      <c r="M454" s="2">
        <v>0</v>
      </c>
      <c r="N454" s="2">
        <v>5.99</v>
      </c>
      <c r="O454" s="2">
        <v>21.48</v>
      </c>
      <c r="P454" s="2" t="s">
        <v>51</v>
      </c>
      <c r="Q454" s="2" t="s">
        <v>28</v>
      </c>
      <c r="R454" s="2" t="s">
        <v>29</v>
      </c>
      <c r="S454" s="2" t="s">
        <v>108</v>
      </c>
      <c r="T454" s="2"/>
      <c r="U454" s="2" t="str">
        <f t="shared" si="21"/>
        <v>Not Required</v>
      </c>
      <c r="V454" s="2" t="s">
        <v>1415</v>
      </c>
    </row>
    <row r="455" spans="1:22" hidden="1" x14ac:dyDescent="0.3">
      <c r="A455" s="2" t="s">
        <v>1416</v>
      </c>
      <c r="B455" s="12">
        <f t="shared" si="22"/>
        <v>46238</v>
      </c>
      <c r="C455" s="13" t="s">
        <v>722</v>
      </c>
      <c r="D455" s="2" t="s">
        <v>424</v>
      </c>
      <c r="E455" s="2" t="str">
        <f t="shared" si="23"/>
        <v>Email Available</v>
      </c>
      <c r="F455" s="2" t="s">
        <v>425</v>
      </c>
      <c r="G455" s="2" t="s">
        <v>315</v>
      </c>
      <c r="H455" s="2" t="s">
        <v>37</v>
      </c>
      <c r="I455" s="2" t="s">
        <v>316</v>
      </c>
      <c r="J455" s="2">
        <v>1</v>
      </c>
      <c r="K455" s="2">
        <v>8.99</v>
      </c>
      <c r="L455" s="2" t="s">
        <v>67</v>
      </c>
      <c r="M455" s="2">
        <v>0.9</v>
      </c>
      <c r="N455" s="2">
        <v>7.99</v>
      </c>
      <c r="O455" s="2" t="s">
        <v>1417</v>
      </c>
      <c r="P455" s="2" t="s">
        <v>74</v>
      </c>
      <c r="Q455" s="2" t="s">
        <v>41</v>
      </c>
      <c r="R455" s="2" t="s">
        <v>52</v>
      </c>
      <c r="S455" s="2" t="s">
        <v>30</v>
      </c>
      <c r="T455" s="2" t="s">
        <v>294</v>
      </c>
      <c r="U455" s="2" t="str">
        <f t="shared" si="21"/>
        <v>Valid</v>
      </c>
      <c r="V455" s="2" t="s">
        <v>1418</v>
      </c>
    </row>
    <row r="456" spans="1:22" hidden="1" x14ac:dyDescent="0.3">
      <c r="A456" s="2" t="s">
        <v>1419</v>
      </c>
      <c r="B456" s="12">
        <f>DATE(VALUE(RIGHT(C456,4)),MATCH(LEFT(C456,3),{"Jan","Feb","Mar","Apr","May","Jun","Jul","Aug","Sep","Oct","Nov","Dec"},0),VALUE(MID(C456,5,2)))</f>
        <v>46238</v>
      </c>
      <c r="C456" s="13" t="s">
        <v>176</v>
      </c>
      <c r="D456" s="2" t="s">
        <v>1420</v>
      </c>
      <c r="E456" s="2" t="str">
        <f t="shared" si="23"/>
        <v>Email Available</v>
      </c>
      <c r="F456" s="2" t="s">
        <v>1421</v>
      </c>
      <c r="G456" s="2" t="s">
        <v>65</v>
      </c>
      <c r="H456" s="2" t="s">
        <v>49</v>
      </c>
      <c r="I456" s="2" t="s">
        <v>453</v>
      </c>
      <c r="J456" s="2">
        <v>1</v>
      </c>
      <c r="K456" s="2">
        <v>14.99</v>
      </c>
      <c r="L456" s="2"/>
      <c r="M456" s="2">
        <v>0</v>
      </c>
      <c r="N456" s="2">
        <v>7.99</v>
      </c>
      <c r="O456" s="2">
        <v>22.98</v>
      </c>
      <c r="P456" s="2" t="s">
        <v>27</v>
      </c>
      <c r="Q456" s="2" t="s">
        <v>28</v>
      </c>
      <c r="R456" s="2" t="s">
        <v>29</v>
      </c>
      <c r="S456" s="2" t="s">
        <v>108</v>
      </c>
      <c r="T456" s="2"/>
      <c r="U456" s="2" t="str">
        <f t="shared" si="21"/>
        <v>Not Required</v>
      </c>
      <c r="V456" s="2" t="s">
        <v>1422</v>
      </c>
    </row>
    <row r="457" spans="1:22" hidden="1" x14ac:dyDescent="0.3">
      <c r="A457" s="2" t="s">
        <v>1423</v>
      </c>
      <c r="B457" s="12">
        <f t="shared" si="22"/>
        <v>46238.583042534723</v>
      </c>
      <c r="C457" s="13">
        <v>46238.583042534723</v>
      </c>
      <c r="D457" s="2" t="s">
        <v>1424</v>
      </c>
      <c r="E457" s="2" t="str">
        <f t="shared" si="23"/>
        <v>Email Available</v>
      </c>
      <c r="F457" s="2" t="s">
        <v>1425</v>
      </c>
      <c r="G457" s="2" t="s">
        <v>120</v>
      </c>
      <c r="H457" s="2" t="s">
        <v>23</v>
      </c>
      <c r="I457" s="2" t="s">
        <v>24</v>
      </c>
      <c r="J457" s="2">
        <v>1</v>
      </c>
      <c r="K457" s="2" t="s">
        <v>1163</v>
      </c>
      <c r="L457" s="2" t="s">
        <v>25</v>
      </c>
      <c r="M457" s="2">
        <v>2.6</v>
      </c>
      <c r="N457" s="2">
        <v>5.99</v>
      </c>
      <c r="O457" s="2">
        <v>16.38</v>
      </c>
      <c r="P457" s="2" t="s">
        <v>51</v>
      </c>
      <c r="Q457" s="2" t="s">
        <v>41</v>
      </c>
      <c r="R457" s="2" t="s">
        <v>42</v>
      </c>
      <c r="S457" s="2" t="s">
        <v>30</v>
      </c>
      <c r="T457" s="2" t="s">
        <v>145</v>
      </c>
      <c r="U457" s="2" t="str">
        <f t="shared" si="21"/>
        <v>Valid</v>
      </c>
      <c r="V457" s="2" t="s">
        <v>1426</v>
      </c>
    </row>
    <row r="458" spans="1:22" hidden="1" x14ac:dyDescent="0.3">
      <c r="A458" s="2" t="s">
        <v>1427</v>
      </c>
      <c r="B458" s="12">
        <f t="shared" si="22"/>
        <v>46238.578872534723</v>
      </c>
      <c r="C458" s="13">
        <v>46238.578872534723</v>
      </c>
      <c r="D458" s="2" t="s">
        <v>384</v>
      </c>
      <c r="E458" s="2" t="str">
        <f t="shared" si="23"/>
        <v>Email Available</v>
      </c>
      <c r="F458" s="2" t="s">
        <v>385</v>
      </c>
      <c r="G458" s="2" t="s">
        <v>80</v>
      </c>
      <c r="H458" s="2" t="s">
        <v>81</v>
      </c>
      <c r="I458" s="2" t="s">
        <v>82</v>
      </c>
      <c r="J458" s="2">
        <v>2</v>
      </c>
      <c r="K458" s="2">
        <v>89.99</v>
      </c>
      <c r="L458" s="2" t="s">
        <v>39</v>
      </c>
      <c r="M458" s="2">
        <v>0</v>
      </c>
      <c r="N458" s="2">
        <v>0</v>
      </c>
      <c r="O458" s="2">
        <v>179.98</v>
      </c>
      <c r="P458" s="2" t="s">
        <v>27</v>
      </c>
      <c r="Q458" s="2" t="s">
        <v>28</v>
      </c>
      <c r="R458" s="2" t="s">
        <v>42</v>
      </c>
      <c r="S458" s="2" t="s">
        <v>75</v>
      </c>
      <c r="T458" s="2"/>
      <c r="U458" s="2" t="str">
        <f t="shared" si="21"/>
        <v>Not Required</v>
      </c>
      <c r="V458" s="2" t="s">
        <v>1428</v>
      </c>
    </row>
    <row r="459" spans="1:22" hidden="1" x14ac:dyDescent="0.3">
      <c r="A459" s="2" t="s">
        <v>1429</v>
      </c>
      <c r="B459" s="12">
        <f t="shared" si="22"/>
        <v>46238.581529710653</v>
      </c>
      <c r="C459" s="13">
        <v>46238.581529710653</v>
      </c>
      <c r="D459" s="2" t="s">
        <v>384</v>
      </c>
      <c r="E459" s="2" t="str">
        <f t="shared" si="23"/>
        <v>Email Available</v>
      </c>
      <c r="F459" s="2" t="s">
        <v>385</v>
      </c>
      <c r="G459" s="2" t="s">
        <v>266</v>
      </c>
      <c r="H459" s="2" t="s">
        <v>37</v>
      </c>
      <c r="I459" s="2" t="s">
        <v>267</v>
      </c>
      <c r="J459" s="2">
        <v>3</v>
      </c>
      <c r="K459" s="2">
        <v>15.49</v>
      </c>
      <c r="L459" s="2" t="s">
        <v>208</v>
      </c>
      <c r="M459" s="2">
        <v>6.97</v>
      </c>
      <c r="N459" s="2">
        <v>4.99</v>
      </c>
      <c r="O459" s="2">
        <v>44.49</v>
      </c>
      <c r="P459" s="2" t="s">
        <v>27</v>
      </c>
      <c r="Q459" s="2" t="s">
        <v>41</v>
      </c>
      <c r="R459" s="2" t="s">
        <v>99</v>
      </c>
      <c r="S459" s="2" t="s">
        <v>75</v>
      </c>
      <c r="T459" s="2"/>
      <c r="U459" s="2" t="str">
        <f t="shared" si="21"/>
        <v>Not Required</v>
      </c>
      <c r="V459" s="2" t="s">
        <v>1430</v>
      </c>
    </row>
    <row r="460" spans="1:22" hidden="1" x14ac:dyDescent="0.3">
      <c r="A460" s="2" t="s">
        <v>1431</v>
      </c>
      <c r="B460" s="12">
        <f t="shared" si="22"/>
        <v>46238.585664722217</v>
      </c>
      <c r="C460" s="13">
        <v>46238.585664722217</v>
      </c>
      <c r="D460" s="2" t="s">
        <v>1098</v>
      </c>
      <c r="E460" s="2" t="str">
        <f t="shared" si="23"/>
        <v>Email Available</v>
      </c>
      <c r="F460" s="2" t="s">
        <v>1099</v>
      </c>
      <c r="G460" s="2" t="s">
        <v>36</v>
      </c>
      <c r="H460" s="2" t="s">
        <v>37</v>
      </c>
      <c r="I460" s="2" t="s">
        <v>38</v>
      </c>
      <c r="J460" s="2">
        <v>1</v>
      </c>
      <c r="K460" s="2">
        <v>21.99</v>
      </c>
      <c r="L460" s="2" t="s">
        <v>121</v>
      </c>
      <c r="M460" s="2">
        <v>5.5</v>
      </c>
      <c r="N460" s="2">
        <v>7.99</v>
      </c>
      <c r="O460" s="2">
        <v>24.48</v>
      </c>
      <c r="P460" s="2" t="s">
        <v>74</v>
      </c>
      <c r="Q460" s="2" t="s">
        <v>41</v>
      </c>
      <c r="R460" s="2" t="s">
        <v>52</v>
      </c>
      <c r="S460" s="2" t="s">
        <v>30</v>
      </c>
      <c r="T460" s="2" t="s">
        <v>145</v>
      </c>
      <c r="U460" s="2" t="str">
        <f t="shared" si="21"/>
        <v>Valid</v>
      </c>
      <c r="V460" s="2" t="s">
        <v>1432</v>
      </c>
    </row>
    <row r="461" spans="1:22" hidden="1" x14ac:dyDescent="0.3">
      <c r="A461" s="2" t="s">
        <v>1433</v>
      </c>
      <c r="B461" s="12">
        <f t="shared" si="22"/>
        <v>46238.586296493057</v>
      </c>
      <c r="C461" s="13">
        <v>46238.586296493057</v>
      </c>
      <c r="D461" s="2" t="s">
        <v>1434</v>
      </c>
      <c r="E461" s="2" t="str">
        <f t="shared" si="23"/>
        <v>Email Available</v>
      </c>
      <c r="F461" s="2" t="s">
        <v>47</v>
      </c>
      <c r="G461" s="2" t="s">
        <v>65</v>
      </c>
      <c r="H461" s="2" t="s">
        <v>49</v>
      </c>
      <c r="I461" s="2" t="s">
        <v>453</v>
      </c>
      <c r="J461" s="2">
        <v>2</v>
      </c>
      <c r="K461" s="2">
        <v>14.99</v>
      </c>
      <c r="L461" s="2" t="s">
        <v>67</v>
      </c>
      <c r="M461" s="2">
        <v>3</v>
      </c>
      <c r="N461" s="2">
        <v>5.99</v>
      </c>
      <c r="O461" s="2">
        <v>32.97</v>
      </c>
      <c r="P461" s="2" t="s">
        <v>51</v>
      </c>
      <c r="Q461" s="2" t="s">
        <v>114</v>
      </c>
      <c r="R461" s="2" t="s">
        <v>52</v>
      </c>
      <c r="S461" s="2" t="s">
        <v>30</v>
      </c>
      <c r="T461" s="2" t="s">
        <v>347</v>
      </c>
      <c r="U461" s="2" t="str">
        <f t="shared" si="21"/>
        <v>Valid</v>
      </c>
      <c r="V461" s="2" t="s">
        <v>1435</v>
      </c>
    </row>
    <row r="462" spans="1:22" x14ac:dyDescent="0.3">
      <c r="A462" s="2" t="s">
        <v>1436</v>
      </c>
      <c r="B462" s="12">
        <f t="shared" si="22"/>
        <v>46120</v>
      </c>
      <c r="C462" s="13" t="s">
        <v>142</v>
      </c>
      <c r="D462" s="2" t="s">
        <v>1437</v>
      </c>
      <c r="E462" s="2" t="str">
        <f t="shared" si="23"/>
        <v>Missing Email</v>
      </c>
      <c r="F462" s="2"/>
      <c r="G462" s="2" t="s">
        <v>36</v>
      </c>
      <c r="H462" s="2" t="s">
        <v>37</v>
      </c>
      <c r="I462" s="2" t="s">
        <v>38</v>
      </c>
      <c r="J462" s="2">
        <v>3</v>
      </c>
      <c r="K462" s="2">
        <v>21.99</v>
      </c>
      <c r="L462" s="2"/>
      <c r="M462" s="2">
        <v>0</v>
      </c>
      <c r="N462" s="2">
        <v>4.99</v>
      </c>
      <c r="O462" s="2">
        <v>70.959999999999994</v>
      </c>
      <c r="P462" s="2" t="s">
        <v>68</v>
      </c>
      <c r="Q462" s="2" t="s">
        <v>114</v>
      </c>
      <c r="R462" s="2" t="s">
        <v>52</v>
      </c>
      <c r="S462" s="2" t="s">
        <v>75</v>
      </c>
      <c r="T462" s="2"/>
      <c r="U462" s="2" t="str">
        <f t="shared" si="21"/>
        <v>Not Required</v>
      </c>
      <c r="V462" s="2" t="s">
        <v>1438</v>
      </c>
    </row>
    <row r="463" spans="1:22" hidden="1" x14ac:dyDescent="0.3">
      <c r="A463" s="2" t="s">
        <v>1439</v>
      </c>
      <c r="B463" s="12">
        <f t="shared" si="22"/>
        <v>46238.579096157409</v>
      </c>
      <c r="C463" s="13">
        <v>46238.579096157409</v>
      </c>
      <c r="D463" s="2" t="s">
        <v>432</v>
      </c>
      <c r="E463" s="2" t="str">
        <f t="shared" si="23"/>
        <v>Email Available</v>
      </c>
      <c r="F463" s="2" t="s">
        <v>433</v>
      </c>
      <c r="G463" s="2" t="s">
        <v>315</v>
      </c>
      <c r="H463" s="2" t="s">
        <v>37</v>
      </c>
      <c r="I463" s="2" t="s">
        <v>316</v>
      </c>
      <c r="J463" s="2">
        <v>1</v>
      </c>
      <c r="K463" s="2">
        <v>8.99</v>
      </c>
      <c r="L463" s="2" t="s">
        <v>67</v>
      </c>
      <c r="M463" s="2">
        <v>0.9</v>
      </c>
      <c r="N463" s="2">
        <v>5.99</v>
      </c>
      <c r="O463" s="2">
        <v>14.08</v>
      </c>
      <c r="P463" s="2" t="s">
        <v>27</v>
      </c>
      <c r="Q463" s="2" t="s">
        <v>28</v>
      </c>
      <c r="R463" s="2" t="s">
        <v>52</v>
      </c>
      <c r="S463" s="2" t="s">
        <v>337</v>
      </c>
      <c r="T463" s="2"/>
      <c r="U463" s="2" t="str">
        <f t="shared" si="21"/>
        <v>Not Required</v>
      </c>
      <c r="V463" s="2" t="s">
        <v>1440</v>
      </c>
    </row>
    <row r="464" spans="1:22" hidden="1" x14ac:dyDescent="0.3">
      <c r="A464" s="2" t="s">
        <v>1441</v>
      </c>
      <c r="B464" s="12">
        <f t="shared" si="22"/>
        <v>46238.587510520832</v>
      </c>
      <c r="C464" s="13">
        <v>46238.587510520832</v>
      </c>
      <c r="D464" s="2" t="s">
        <v>416</v>
      </c>
      <c r="E464" s="2" t="str">
        <f t="shared" si="23"/>
        <v>Email Available</v>
      </c>
      <c r="F464" s="2" t="s">
        <v>417</v>
      </c>
      <c r="G464" s="2" t="s">
        <v>80</v>
      </c>
      <c r="H464" s="2" t="s">
        <v>81</v>
      </c>
      <c r="I464" s="2" t="s">
        <v>82</v>
      </c>
      <c r="J464" s="2">
        <v>1</v>
      </c>
      <c r="K464" s="2">
        <v>89.99</v>
      </c>
      <c r="L464" s="2" t="s">
        <v>121</v>
      </c>
      <c r="M464" s="2">
        <v>22.5</v>
      </c>
      <c r="N464" s="2">
        <v>0</v>
      </c>
      <c r="O464" s="2">
        <v>67.489999999999995</v>
      </c>
      <c r="P464" s="2" t="s">
        <v>51</v>
      </c>
      <c r="Q464" s="2" t="s">
        <v>28</v>
      </c>
      <c r="R464" s="2" t="s">
        <v>52</v>
      </c>
      <c r="S464" s="2" t="s">
        <v>43</v>
      </c>
      <c r="T464" s="2"/>
      <c r="U464" s="2" t="str">
        <f t="shared" si="21"/>
        <v>Not Required</v>
      </c>
      <c r="V464" s="2" t="s">
        <v>1442</v>
      </c>
    </row>
    <row r="465" spans="1:22" hidden="1" x14ac:dyDescent="0.3">
      <c r="A465" s="2" t="s">
        <v>1443</v>
      </c>
      <c r="B465" s="12">
        <f t="shared" si="22"/>
        <v>46238.57910790509</v>
      </c>
      <c r="C465" s="13">
        <v>46238.57910790509</v>
      </c>
      <c r="D465" s="2" t="s">
        <v>1444</v>
      </c>
      <c r="E465" s="2" t="str">
        <f t="shared" si="23"/>
        <v>Email Available</v>
      </c>
      <c r="F465" s="2" t="s">
        <v>1445</v>
      </c>
      <c r="G465" s="2" t="s">
        <v>171</v>
      </c>
      <c r="H465" s="2" t="s">
        <v>106</v>
      </c>
      <c r="I465" s="2" t="s">
        <v>172</v>
      </c>
      <c r="J465" s="2">
        <v>1</v>
      </c>
      <c r="K465" s="2" t="s">
        <v>173</v>
      </c>
      <c r="L465" s="2" t="s">
        <v>121</v>
      </c>
      <c r="M465" s="2">
        <v>8.25</v>
      </c>
      <c r="N465" s="2">
        <v>5.99</v>
      </c>
      <c r="O465" s="2">
        <v>30.73</v>
      </c>
      <c r="P465" s="2" t="s">
        <v>51</v>
      </c>
      <c r="Q465" s="2" t="s">
        <v>114</v>
      </c>
      <c r="R465" s="2" t="s">
        <v>42</v>
      </c>
      <c r="S465" s="2" t="s">
        <v>30</v>
      </c>
      <c r="T465" s="2" t="s">
        <v>115</v>
      </c>
      <c r="U465" s="2" t="str">
        <f t="shared" si="21"/>
        <v>Valid</v>
      </c>
      <c r="V465" s="2" t="s">
        <v>1446</v>
      </c>
    </row>
    <row r="466" spans="1:22" hidden="1" x14ac:dyDescent="0.3">
      <c r="A466" s="2" t="s">
        <v>1447</v>
      </c>
      <c r="B466" s="12">
        <f t="shared" si="22"/>
        <v>46238.578777372677</v>
      </c>
      <c r="C466" s="13">
        <v>46238.578777372677</v>
      </c>
      <c r="D466" s="2" t="s">
        <v>681</v>
      </c>
      <c r="E466" s="2" t="str">
        <f t="shared" si="23"/>
        <v>Email Available</v>
      </c>
      <c r="F466" s="2" t="s">
        <v>682</v>
      </c>
      <c r="G466" s="2" t="s">
        <v>266</v>
      </c>
      <c r="H466" s="2" t="s">
        <v>37</v>
      </c>
      <c r="I466" s="2" t="s">
        <v>267</v>
      </c>
      <c r="J466" s="2">
        <v>1</v>
      </c>
      <c r="K466" s="2">
        <v>15.49</v>
      </c>
      <c r="L466" s="2"/>
      <c r="M466" s="2">
        <v>0</v>
      </c>
      <c r="N466" s="2">
        <v>5.99</v>
      </c>
      <c r="O466" s="2">
        <v>21.48</v>
      </c>
      <c r="P466" s="2" t="s">
        <v>74</v>
      </c>
      <c r="Q466" s="2" t="s">
        <v>28</v>
      </c>
      <c r="R466" s="2" t="s">
        <v>29</v>
      </c>
      <c r="S466" s="2" t="s">
        <v>75</v>
      </c>
      <c r="T466" s="2"/>
      <c r="U466" s="2" t="str">
        <f t="shared" si="21"/>
        <v>Not Required</v>
      </c>
      <c r="V466" s="2" t="s">
        <v>1448</v>
      </c>
    </row>
    <row r="467" spans="1:22" hidden="1" x14ac:dyDescent="0.3">
      <c r="A467" s="2" t="s">
        <v>1449</v>
      </c>
      <c r="B467" s="12">
        <f t="shared" si="22"/>
        <v>46238.584106805552</v>
      </c>
      <c r="C467" s="13">
        <v>46238.584106805552</v>
      </c>
      <c r="D467" s="2" t="s">
        <v>900</v>
      </c>
      <c r="E467" s="2" t="str">
        <f t="shared" si="23"/>
        <v>Email Available</v>
      </c>
      <c r="F467" s="2" t="s">
        <v>901</v>
      </c>
      <c r="G467" s="2" t="s">
        <v>112</v>
      </c>
      <c r="H467" s="2" t="s">
        <v>81</v>
      </c>
      <c r="I467" s="2" t="s">
        <v>113</v>
      </c>
      <c r="J467" s="2">
        <v>1</v>
      </c>
      <c r="K467" s="2">
        <v>22.99</v>
      </c>
      <c r="L467" s="2" t="s">
        <v>25</v>
      </c>
      <c r="M467" s="2">
        <v>4.5999999999999996</v>
      </c>
      <c r="N467" s="2">
        <v>7.99</v>
      </c>
      <c r="O467" s="2">
        <v>26.38</v>
      </c>
      <c r="P467" s="2" t="s">
        <v>40</v>
      </c>
      <c r="Q467" s="2" t="s">
        <v>28</v>
      </c>
      <c r="R467" s="2" t="s">
        <v>29</v>
      </c>
      <c r="S467" s="2" t="s">
        <v>30</v>
      </c>
      <c r="T467" s="2" t="s">
        <v>31</v>
      </c>
      <c r="U467" s="2" t="str">
        <f t="shared" si="21"/>
        <v>Valid</v>
      </c>
      <c r="V467" s="2" t="s">
        <v>1450</v>
      </c>
    </row>
    <row r="468" spans="1:22" hidden="1" x14ac:dyDescent="0.3">
      <c r="A468" s="2" t="s">
        <v>1451</v>
      </c>
      <c r="B468" s="12">
        <f t="shared" si="22"/>
        <v>46238.586267175917</v>
      </c>
      <c r="C468" s="13">
        <v>46238.586267175917</v>
      </c>
      <c r="D468" s="2" t="s">
        <v>853</v>
      </c>
      <c r="E468" s="2" t="str">
        <f t="shared" si="23"/>
        <v>Email Available</v>
      </c>
      <c r="F468" s="2" t="s">
        <v>854</v>
      </c>
      <c r="G468" s="2" t="s">
        <v>36</v>
      </c>
      <c r="H468" s="2" t="s">
        <v>37</v>
      </c>
      <c r="I468" s="2" t="s">
        <v>38</v>
      </c>
      <c r="J468" s="2">
        <v>4</v>
      </c>
      <c r="K468" s="2">
        <v>21.99</v>
      </c>
      <c r="L468" s="2"/>
      <c r="M468" s="2">
        <v>0</v>
      </c>
      <c r="N468" s="2">
        <v>0</v>
      </c>
      <c r="O468" s="2">
        <v>87.96</v>
      </c>
      <c r="P468" s="2" t="s">
        <v>27</v>
      </c>
      <c r="Q468" s="2" t="s">
        <v>28</v>
      </c>
      <c r="R468" s="2" t="s">
        <v>42</v>
      </c>
      <c r="S468" s="2" t="s">
        <v>30</v>
      </c>
      <c r="T468" s="2" t="s">
        <v>53</v>
      </c>
      <c r="U468" s="2" t="str">
        <f t="shared" si="21"/>
        <v>Valid</v>
      </c>
      <c r="V468" s="2" t="s">
        <v>1452</v>
      </c>
    </row>
    <row r="469" spans="1:22" hidden="1" x14ac:dyDescent="0.3">
      <c r="A469" s="2" t="s">
        <v>1453</v>
      </c>
      <c r="B469" s="12">
        <f t="shared" si="22"/>
        <v>46238.587784085648</v>
      </c>
      <c r="C469" s="13">
        <v>46238.587784085648</v>
      </c>
      <c r="D469" s="2" t="s">
        <v>211</v>
      </c>
      <c r="E469" s="2" t="str">
        <f t="shared" si="23"/>
        <v>Email Available</v>
      </c>
      <c r="F469" s="2" t="s">
        <v>212</v>
      </c>
      <c r="G469" s="2" t="s">
        <v>187</v>
      </c>
      <c r="H469" s="2" t="s">
        <v>37</v>
      </c>
      <c r="I469" s="2" t="s">
        <v>188</v>
      </c>
      <c r="J469" s="2">
        <v>2</v>
      </c>
      <c r="K469" s="2">
        <v>11.99</v>
      </c>
      <c r="L469" s="2" t="s">
        <v>121</v>
      </c>
      <c r="M469" s="2">
        <v>6</v>
      </c>
      <c r="N469" s="2">
        <v>7.99</v>
      </c>
      <c r="O469" s="2">
        <v>25.97</v>
      </c>
      <c r="P469" s="2" t="s">
        <v>51</v>
      </c>
      <c r="Q469" s="2" t="s">
        <v>114</v>
      </c>
      <c r="R469" s="2" t="s">
        <v>29</v>
      </c>
      <c r="S469" s="2" t="s">
        <v>108</v>
      </c>
      <c r="T469" s="2"/>
      <c r="U469" s="2" t="str">
        <f t="shared" si="21"/>
        <v>Not Required</v>
      </c>
      <c r="V469" s="2" t="s">
        <v>1454</v>
      </c>
    </row>
    <row r="470" spans="1:22" hidden="1" x14ac:dyDescent="0.3">
      <c r="A470" s="2" t="s">
        <v>1455</v>
      </c>
      <c r="B470" s="12">
        <f t="shared" si="22"/>
        <v>46238.582162939812</v>
      </c>
      <c r="C470" s="13">
        <v>46238.582162939812</v>
      </c>
      <c r="D470" s="2" t="s">
        <v>1456</v>
      </c>
      <c r="E470" s="2" t="str">
        <f t="shared" si="23"/>
        <v>Email Available</v>
      </c>
      <c r="F470" s="2" t="s">
        <v>537</v>
      </c>
      <c r="G470" s="2" t="s">
        <v>87</v>
      </c>
      <c r="H470" s="2" t="s">
        <v>88</v>
      </c>
      <c r="I470" s="2" t="s">
        <v>89</v>
      </c>
      <c r="J470" s="2">
        <v>1</v>
      </c>
      <c r="K470" s="2">
        <v>54.99</v>
      </c>
      <c r="L470" s="2" t="s">
        <v>25</v>
      </c>
      <c r="M470" s="2">
        <v>11</v>
      </c>
      <c r="N470" s="2">
        <v>7.99</v>
      </c>
      <c r="O470" s="2">
        <v>51.98</v>
      </c>
      <c r="P470" s="2" t="s">
        <v>74</v>
      </c>
      <c r="Q470" s="2" t="s">
        <v>41</v>
      </c>
      <c r="R470" s="2" t="s">
        <v>52</v>
      </c>
      <c r="S470" s="2" t="s">
        <v>30</v>
      </c>
      <c r="T470" s="2" t="s">
        <v>1135</v>
      </c>
      <c r="U470" s="2" t="str">
        <f t="shared" si="21"/>
        <v>Valid</v>
      </c>
      <c r="V470" s="2" t="s">
        <v>1457</v>
      </c>
    </row>
    <row r="471" spans="1:22" hidden="1" x14ac:dyDescent="0.3">
      <c r="A471" s="2" t="s">
        <v>1458</v>
      </c>
      <c r="B471" s="12">
        <f t="shared" si="22"/>
        <v>46238.57931144676</v>
      </c>
      <c r="C471" s="13">
        <v>46238.57931144676</v>
      </c>
      <c r="D471" s="2" t="s">
        <v>1459</v>
      </c>
      <c r="E471" s="2" t="str">
        <f t="shared" si="23"/>
        <v>Email Available</v>
      </c>
      <c r="F471" s="2" t="s">
        <v>1460</v>
      </c>
      <c r="G471" s="2" t="s">
        <v>133</v>
      </c>
      <c r="H471" s="2" t="s">
        <v>106</v>
      </c>
      <c r="I471" s="2" t="s">
        <v>134</v>
      </c>
      <c r="J471" s="2">
        <v>1</v>
      </c>
      <c r="K471" s="2">
        <v>16.989999999999998</v>
      </c>
      <c r="L471" s="2" t="s">
        <v>208</v>
      </c>
      <c r="M471" s="2">
        <v>2.5499999999999998</v>
      </c>
      <c r="N471" s="2">
        <v>4.99</v>
      </c>
      <c r="O471" s="2">
        <v>19.43</v>
      </c>
      <c r="P471" s="2" t="s">
        <v>74</v>
      </c>
      <c r="Q471" s="2" t="s">
        <v>28</v>
      </c>
      <c r="R471" s="2" t="s">
        <v>52</v>
      </c>
      <c r="S471" s="2" t="s">
        <v>30</v>
      </c>
      <c r="T471" s="2" t="s">
        <v>53</v>
      </c>
      <c r="U471" s="2" t="str">
        <f t="shared" si="21"/>
        <v>Valid</v>
      </c>
      <c r="V471" s="2" t="s">
        <v>1461</v>
      </c>
    </row>
    <row r="472" spans="1:22" hidden="1" x14ac:dyDescent="0.3">
      <c r="A472" s="2" t="s">
        <v>1462</v>
      </c>
      <c r="B472" s="12">
        <f t="shared" si="22"/>
        <v>46238.585828564806</v>
      </c>
      <c r="C472" s="13">
        <v>46238.585828564806</v>
      </c>
      <c r="D472" s="2" t="s">
        <v>1463</v>
      </c>
      <c r="E472" s="2" t="str">
        <f t="shared" si="23"/>
        <v>Email Available</v>
      </c>
      <c r="F472" s="2" t="s">
        <v>1464</v>
      </c>
      <c r="G472" s="2" t="s">
        <v>112</v>
      </c>
      <c r="H472" s="2" t="s">
        <v>81</v>
      </c>
      <c r="I472" s="2" t="s">
        <v>113</v>
      </c>
      <c r="J472" s="2">
        <v>1</v>
      </c>
      <c r="K472" s="2">
        <v>22.99</v>
      </c>
      <c r="L472" s="2" t="s">
        <v>208</v>
      </c>
      <c r="M472" s="2">
        <v>3.45</v>
      </c>
      <c r="N472" s="2">
        <v>4.99</v>
      </c>
      <c r="O472" s="2">
        <v>24.53</v>
      </c>
      <c r="P472" s="2" t="s">
        <v>51</v>
      </c>
      <c r="Q472" s="2" t="s">
        <v>41</v>
      </c>
      <c r="R472" s="2" t="s">
        <v>52</v>
      </c>
      <c r="S472" s="2" t="s">
        <v>43</v>
      </c>
      <c r="T472" s="2"/>
      <c r="U472" s="2" t="str">
        <f t="shared" si="21"/>
        <v>Not Required</v>
      </c>
      <c r="V472" s="2" t="s">
        <v>1465</v>
      </c>
    </row>
    <row r="473" spans="1:22" hidden="1" x14ac:dyDescent="0.3">
      <c r="A473" s="2" t="s">
        <v>1466</v>
      </c>
      <c r="B473" s="12">
        <f t="shared" si="22"/>
        <v>46238.583905416657</v>
      </c>
      <c r="C473" s="13">
        <v>46238.583905416657</v>
      </c>
      <c r="D473" s="2" t="s">
        <v>1467</v>
      </c>
      <c r="E473" s="2" t="str">
        <f t="shared" si="23"/>
        <v>Email Available</v>
      </c>
      <c r="F473" s="2" t="s">
        <v>1468</v>
      </c>
      <c r="G473" s="2" t="s">
        <v>105</v>
      </c>
      <c r="H473" s="2" t="s">
        <v>106</v>
      </c>
      <c r="I473" s="2" t="s">
        <v>107</v>
      </c>
      <c r="J473" s="2">
        <v>1</v>
      </c>
      <c r="K473" s="2">
        <v>19.989999999999998</v>
      </c>
      <c r="L473" s="2" t="s">
        <v>39</v>
      </c>
      <c r="M473" s="2">
        <v>0</v>
      </c>
      <c r="N473" s="2">
        <v>0</v>
      </c>
      <c r="O473" s="2">
        <v>19.989999999999998</v>
      </c>
      <c r="P473" s="2" t="s">
        <v>27</v>
      </c>
      <c r="Q473" s="2" t="s">
        <v>90</v>
      </c>
      <c r="R473" s="2" t="s">
        <v>52</v>
      </c>
      <c r="S473" s="2" t="s">
        <v>75</v>
      </c>
      <c r="T473" s="2"/>
      <c r="U473" s="2" t="str">
        <f t="shared" si="21"/>
        <v>Not Required</v>
      </c>
      <c r="V473" s="2" t="s">
        <v>1469</v>
      </c>
    </row>
    <row r="474" spans="1:22" hidden="1" x14ac:dyDescent="0.3">
      <c r="A474" s="2" t="s">
        <v>1470</v>
      </c>
      <c r="B474" s="12">
        <f t="shared" si="22"/>
        <v>46238.586766180553</v>
      </c>
      <c r="C474" s="13">
        <v>46238.586766180553</v>
      </c>
      <c r="D474" s="2" t="s">
        <v>1471</v>
      </c>
      <c r="E474" s="2" t="str">
        <f t="shared" si="23"/>
        <v>Email Available</v>
      </c>
      <c r="F474" s="2" t="s">
        <v>1472</v>
      </c>
      <c r="G474" s="2" t="s">
        <v>120</v>
      </c>
      <c r="H474" s="2" t="s">
        <v>23</v>
      </c>
      <c r="I474" s="2" t="s">
        <v>24</v>
      </c>
      <c r="J474" s="2">
        <v>1</v>
      </c>
      <c r="K474" s="2">
        <v>12.99</v>
      </c>
      <c r="L474" s="2"/>
      <c r="M474" s="2">
        <v>0</v>
      </c>
      <c r="N474" s="2">
        <v>7.99</v>
      </c>
      <c r="O474" s="2">
        <v>20.98</v>
      </c>
      <c r="P474" s="2" t="s">
        <v>51</v>
      </c>
      <c r="Q474" s="2" t="s">
        <v>28</v>
      </c>
      <c r="R474" s="2" t="s">
        <v>29</v>
      </c>
      <c r="S474" s="2" t="s">
        <v>30</v>
      </c>
      <c r="T474" s="2" t="s">
        <v>347</v>
      </c>
      <c r="U474" s="2" t="str">
        <f t="shared" si="21"/>
        <v>Valid</v>
      </c>
      <c r="V474" s="2" t="s">
        <v>1473</v>
      </c>
    </row>
    <row r="475" spans="1:22" hidden="1" x14ac:dyDescent="0.3">
      <c r="A475" s="2" t="s">
        <v>1474</v>
      </c>
      <c r="B475" s="12">
        <f t="shared" si="22"/>
        <v>46238.588373182873</v>
      </c>
      <c r="C475" s="13">
        <v>46238.588373182873</v>
      </c>
      <c r="D475" s="2" t="s">
        <v>1475</v>
      </c>
      <c r="E475" s="2" t="str">
        <f t="shared" si="23"/>
        <v>Email Available</v>
      </c>
      <c r="F475" s="2" t="s">
        <v>1298</v>
      </c>
      <c r="G475" s="2" t="s">
        <v>65</v>
      </c>
      <c r="H475" s="2" t="s">
        <v>49</v>
      </c>
      <c r="I475" s="2" t="s">
        <v>66</v>
      </c>
      <c r="J475" s="2">
        <v>1</v>
      </c>
      <c r="K475" s="2">
        <v>14.99</v>
      </c>
      <c r="L475" s="2" t="s">
        <v>67</v>
      </c>
      <c r="M475" s="2">
        <v>1.5</v>
      </c>
      <c r="N475" s="2">
        <v>7.99</v>
      </c>
      <c r="O475" s="2">
        <v>21.48</v>
      </c>
      <c r="P475" s="2" t="s">
        <v>68</v>
      </c>
      <c r="Q475" s="2" t="s">
        <v>41</v>
      </c>
      <c r="R475" s="2" t="s">
        <v>52</v>
      </c>
      <c r="S475" s="2" t="s">
        <v>30</v>
      </c>
      <c r="T475" s="2" t="s">
        <v>31</v>
      </c>
      <c r="U475" s="2" t="str">
        <f t="shared" si="21"/>
        <v>Valid</v>
      </c>
      <c r="V475" s="2" t="s">
        <v>1476</v>
      </c>
    </row>
    <row r="476" spans="1:22" x14ac:dyDescent="0.3">
      <c r="A476" s="2" t="s">
        <v>1477</v>
      </c>
      <c r="B476" s="12">
        <f t="shared" si="22"/>
        <v>46238.586491261573</v>
      </c>
      <c r="C476" s="13">
        <v>46238.586491261573</v>
      </c>
      <c r="D476" s="2" t="s">
        <v>256</v>
      </c>
      <c r="E476" s="2" t="str">
        <f t="shared" si="23"/>
        <v>Missing Email</v>
      </c>
      <c r="F476" s="2"/>
      <c r="G476" s="2" t="s">
        <v>120</v>
      </c>
      <c r="H476" s="2" t="s">
        <v>23</v>
      </c>
      <c r="I476" s="2" t="s">
        <v>24</v>
      </c>
      <c r="J476" s="2">
        <v>2</v>
      </c>
      <c r="K476" s="2">
        <v>12.99</v>
      </c>
      <c r="L476" s="2"/>
      <c r="M476" s="2">
        <v>0</v>
      </c>
      <c r="N476" s="2">
        <v>4.99</v>
      </c>
      <c r="O476" s="2" t="s">
        <v>498</v>
      </c>
      <c r="P476" s="2" t="s">
        <v>74</v>
      </c>
      <c r="Q476" s="2" t="s">
        <v>90</v>
      </c>
      <c r="R476" s="2" t="s">
        <v>52</v>
      </c>
      <c r="S476" s="2" t="s">
        <v>30</v>
      </c>
      <c r="T476" s="2" t="s">
        <v>69</v>
      </c>
      <c r="U476" s="2" t="str">
        <f t="shared" si="21"/>
        <v>Valid</v>
      </c>
      <c r="V476" s="2" t="s">
        <v>1478</v>
      </c>
    </row>
    <row r="477" spans="1:22" hidden="1" x14ac:dyDescent="0.3">
      <c r="A477" s="2" t="s">
        <v>1479</v>
      </c>
      <c r="B477" s="12">
        <f t="shared" si="22"/>
        <v>46238.583752395833</v>
      </c>
      <c r="C477" s="13">
        <v>46238.583752395833</v>
      </c>
      <c r="D477" s="2" t="s">
        <v>1098</v>
      </c>
      <c r="E477" s="2" t="str">
        <f t="shared" si="23"/>
        <v>Email Available</v>
      </c>
      <c r="F477" s="2" t="s">
        <v>1099</v>
      </c>
      <c r="G477" s="2" t="s">
        <v>315</v>
      </c>
      <c r="H477" s="2" t="s">
        <v>37</v>
      </c>
      <c r="I477" s="2" t="s">
        <v>316</v>
      </c>
      <c r="J477" s="2">
        <v>3</v>
      </c>
      <c r="K477" s="2">
        <v>8.99</v>
      </c>
      <c r="L477" s="2"/>
      <c r="M477" s="2">
        <v>0</v>
      </c>
      <c r="N477" s="2">
        <v>7.99</v>
      </c>
      <c r="O477" s="2">
        <v>34.96</v>
      </c>
      <c r="P477" s="2" t="s">
        <v>40</v>
      </c>
      <c r="Q477" s="2" t="s">
        <v>114</v>
      </c>
      <c r="R477" s="2" t="s">
        <v>99</v>
      </c>
      <c r="S477" s="2" t="s">
        <v>30</v>
      </c>
      <c r="T477" s="2" t="s">
        <v>69</v>
      </c>
      <c r="U477" s="2" t="str">
        <f t="shared" si="21"/>
        <v>Valid</v>
      </c>
      <c r="V477" s="2" t="s">
        <v>1480</v>
      </c>
    </row>
    <row r="478" spans="1:22" hidden="1" x14ac:dyDescent="0.3">
      <c r="A478" s="2" t="s">
        <v>1481</v>
      </c>
      <c r="B478" s="12">
        <f t="shared" si="22"/>
        <v>46238.588373425933</v>
      </c>
      <c r="C478" s="13">
        <v>46238.588373425933</v>
      </c>
      <c r="D478" s="2" t="s">
        <v>1482</v>
      </c>
      <c r="E478" s="2" t="str">
        <f t="shared" si="23"/>
        <v>Email Available</v>
      </c>
      <c r="F478" s="2" t="s">
        <v>1483</v>
      </c>
      <c r="G478" s="2" t="s">
        <v>65</v>
      </c>
      <c r="H478" s="2" t="s">
        <v>49</v>
      </c>
      <c r="I478" s="2" t="s">
        <v>453</v>
      </c>
      <c r="J478" s="2">
        <v>1</v>
      </c>
      <c r="K478" s="2">
        <v>14.99</v>
      </c>
      <c r="L478" s="2" t="s">
        <v>1484</v>
      </c>
      <c r="M478" s="2">
        <v>0</v>
      </c>
      <c r="N478" s="2">
        <v>0</v>
      </c>
      <c r="O478" s="2" t="s">
        <v>1485</v>
      </c>
      <c r="P478" s="2" t="s">
        <v>27</v>
      </c>
      <c r="Q478" s="2" t="s">
        <v>28</v>
      </c>
      <c r="R478" s="2" t="s">
        <v>52</v>
      </c>
      <c r="S478" s="2" t="s">
        <v>75</v>
      </c>
      <c r="T478" s="2"/>
      <c r="U478" s="2" t="str">
        <f t="shared" si="21"/>
        <v>Not Required</v>
      </c>
      <c r="V478" s="2" t="s">
        <v>1486</v>
      </c>
    </row>
    <row r="479" spans="1:22" hidden="1" x14ac:dyDescent="0.3">
      <c r="A479" s="2" t="s">
        <v>1487</v>
      </c>
      <c r="B479" s="12">
        <f t="shared" si="22"/>
        <v>46238.589002314817</v>
      </c>
      <c r="C479" s="13">
        <v>46238.589002314817</v>
      </c>
      <c r="D479" s="2" t="s">
        <v>1227</v>
      </c>
      <c r="E479" s="2" t="str">
        <f t="shared" si="23"/>
        <v>Email Available</v>
      </c>
      <c r="F479" s="2" t="s">
        <v>1228</v>
      </c>
      <c r="G479" s="2" t="s">
        <v>87</v>
      </c>
      <c r="H479" s="2" t="s">
        <v>88</v>
      </c>
      <c r="I479" s="2" t="s">
        <v>89</v>
      </c>
      <c r="J479" s="2">
        <v>1</v>
      </c>
      <c r="K479" s="2">
        <v>54.99</v>
      </c>
      <c r="L479" s="2"/>
      <c r="M479" s="2">
        <v>0</v>
      </c>
      <c r="N479" s="2">
        <v>7.99</v>
      </c>
      <c r="O479" s="2">
        <v>62.98</v>
      </c>
      <c r="P479" s="2" t="s">
        <v>74</v>
      </c>
      <c r="Q479" s="2" t="s">
        <v>90</v>
      </c>
      <c r="R479" s="2" t="s">
        <v>99</v>
      </c>
      <c r="S479" s="2" t="s">
        <v>30</v>
      </c>
      <c r="T479" s="2" t="s">
        <v>115</v>
      </c>
      <c r="U479" s="2" t="str">
        <f t="shared" si="21"/>
        <v>Valid</v>
      </c>
      <c r="V479" s="2" t="s">
        <v>1488</v>
      </c>
    </row>
    <row r="480" spans="1:22" hidden="1" x14ac:dyDescent="0.3">
      <c r="A480" s="2" t="s">
        <v>1489</v>
      </c>
      <c r="B480" s="12">
        <f t="shared" si="22"/>
        <v>46238.581097638889</v>
      </c>
      <c r="C480" s="13">
        <v>46238.581097638889</v>
      </c>
      <c r="D480" s="2" t="s">
        <v>1490</v>
      </c>
      <c r="E480" s="2" t="str">
        <f t="shared" si="23"/>
        <v>Email Available</v>
      </c>
      <c r="F480" s="2" t="s">
        <v>1117</v>
      </c>
      <c r="G480" s="2" t="s">
        <v>195</v>
      </c>
      <c r="H480" s="2" t="s">
        <v>196</v>
      </c>
      <c r="I480" s="2" t="s">
        <v>197</v>
      </c>
      <c r="J480" s="2">
        <v>1</v>
      </c>
      <c r="K480" s="2">
        <v>13.49</v>
      </c>
      <c r="L480" s="2"/>
      <c r="M480" s="2" t="s">
        <v>189</v>
      </c>
      <c r="N480" s="2">
        <v>4.99</v>
      </c>
      <c r="O480" s="2">
        <v>18.48</v>
      </c>
      <c r="P480" s="2" t="s">
        <v>27</v>
      </c>
      <c r="Q480" s="2" t="s">
        <v>114</v>
      </c>
      <c r="R480" s="2" t="s">
        <v>52</v>
      </c>
      <c r="S480" s="2" t="s">
        <v>108</v>
      </c>
      <c r="T480" s="2"/>
      <c r="U480" s="2" t="str">
        <f t="shared" si="21"/>
        <v>Not Required</v>
      </c>
      <c r="V480" s="2" t="s">
        <v>1491</v>
      </c>
    </row>
    <row r="481" spans="1:22" hidden="1" x14ac:dyDescent="0.3">
      <c r="A481" s="2" t="s">
        <v>1492</v>
      </c>
      <c r="B481" s="12">
        <f t="shared" si="22"/>
        <v>46238.583122858799</v>
      </c>
      <c r="C481" s="13">
        <v>46238.583122858799</v>
      </c>
      <c r="D481" s="2" t="s">
        <v>1280</v>
      </c>
      <c r="E481" s="2" t="str">
        <f t="shared" si="23"/>
        <v>Email Available</v>
      </c>
      <c r="F481" s="2" t="s">
        <v>1281</v>
      </c>
      <c r="G481" s="2" t="s">
        <v>187</v>
      </c>
      <c r="H481" s="2" t="s">
        <v>37</v>
      </c>
      <c r="I481" s="2" t="s">
        <v>188</v>
      </c>
      <c r="J481" s="2">
        <v>2</v>
      </c>
      <c r="K481" s="2">
        <v>11.99</v>
      </c>
      <c r="L481" s="2" t="s">
        <v>25</v>
      </c>
      <c r="M481" s="2">
        <v>4.8</v>
      </c>
      <c r="N481" s="2">
        <v>5.99</v>
      </c>
      <c r="O481" s="2">
        <v>25.17</v>
      </c>
      <c r="P481" s="2" t="s">
        <v>27</v>
      </c>
      <c r="Q481" s="2" t="s">
        <v>41</v>
      </c>
      <c r="R481" s="2" t="s">
        <v>52</v>
      </c>
      <c r="S481" s="2" t="s">
        <v>337</v>
      </c>
      <c r="T481" s="2"/>
      <c r="U481" s="2" t="str">
        <f t="shared" si="21"/>
        <v>Not Required</v>
      </c>
      <c r="V481" s="2" t="s">
        <v>1493</v>
      </c>
    </row>
    <row r="482" spans="1:22" hidden="1" x14ac:dyDescent="0.3">
      <c r="A482" s="2" t="s">
        <v>1494</v>
      </c>
      <c r="B482" s="12">
        <f t="shared" si="22"/>
        <v>46238.584702812499</v>
      </c>
      <c r="C482" s="13">
        <v>46238.584702812499</v>
      </c>
      <c r="D482" s="2" t="s">
        <v>1495</v>
      </c>
      <c r="E482" s="2" t="str">
        <f t="shared" si="23"/>
        <v>Email Available</v>
      </c>
      <c r="F482" s="2" t="s">
        <v>1496</v>
      </c>
      <c r="G482" s="2" t="s">
        <v>48</v>
      </c>
      <c r="H482" s="2" t="s">
        <v>49</v>
      </c>
      <c r="I482" s="2" t="s">
        <v>50</v>
      </c>
      <c r="J482" s="2">
        <v>1</v>
      </c>
      <c r="K482" s="2">
        <v>39.99</v>
      </c>
      <c r="L482" s="2"/>
      <c r="M482" s="2">
        <v>0</v>
      </c>
      <c r="N482" s="2">
        <v>7.99</v>
      </c>
      <c r="O482" s="2" t="s">
        <v>1497</v>
      </c>
      <c r="P482" s="2" t="s">
        <v>27</v>
      </c>
      <c r="Q482" s="2" t="s">
        <v>90</v>
      </c>
      <c r="R482" s="2" t="s">
        <v>52</v>
      </c>
      <c r="S482" s="2" t="s">
        <v>43</v>
      </c>
      <c r="T482" s="2"/>
      <c r="U482" s="2" t="str">
        <f t="shared" si="21"/>
        <v>Not Required</v>
      </c>
      <c r="V482" s="2" t="s">
        <v>1498</v>
      </c>
    </row>
    <row r="483" spans="1:22" hidden="1" x14ac:dyDescent="0.3">
      <c r="A483" s="2" t="s">
        <v>1499</v>
      </c>
      <c r="B483" s="12">
        <f t="shared" si="22"/>
        <v>46238.58084386574</v>
      </c>
      <c r="C483" s="13">
        <v>46238.58084386574</v>
      </c>
      <c r="D483" s="2" t="s">
        <v>1459</v>
      </c>
      <c r="E483" s="2" t="str">
        <f t="shared" si="23"/>
        <v>Email Available</v>
      </c>
      <c r="F483" s="2" t="s">
        <v>1460</v>
      </c>
      <c r="G483" s="2" t="s">
        <v>241</v>
      </c>
      <c r="H483" s="2" t="s">
        <v>242</v>
      </c>
      <c r="I483" s="2" t="s">
        <v>243</v>
      </c>
      <c r="J483" s="2">
        <v>1</v>
      </c>
      <c r="K483" s="2">
        <v>27.99</v>
      </c>
      <c r="L483" s="2"/>
      <c r="M483" s="2">
        <v>0</v>
      </c>
      <c r="N483" s="2">
        <v>5.99</v>
      </c>
      <c r="O483" s="2">
        <v>33.979999999999997</v>
      </c>
      <c r="P483" s="2" t="s">
        <v>40</v>
      </c>
      <c r="Q483" s="2" t="s">
        <v>28</v>
      </c>
      <c r="R483" s="2" t="s">
        <v>52</v>
      </c>
      <c r="S483" s="2" t="s">
        <v>30</v>
      </c>
      <c r="T483" s="2" t="s">
        <v>454</v>
      </c>
      <c r="U483" s="2" t="str">
        <f t="shared" si="21"/>
        <v>Valid</v>
      </c>
      <c r="V483" s="2" t="s">
        <v>1500</v>
      </c>
    </row>
    <row r="484" spans="1:22" hidden="1" x14ac:dyDescent="0.3">
      <c r="A484" s="2" t="s">
        <v>1501</v>
      </c>
      <c r="B484" s="12">
        <f t="shared" si="22"/>
        <v>46238.579906076389</v>
      </c>
      <c r="C484" s="13">
        <v>46238.579906076389</v>
      </c>
      <c r="D484" s="2" t="s">
        <v>1502</v>
      </c>
      <c r="E484" s="2" t="str">
        <f t="shared" si="23"/>
        <v>Email Available</v>
      </c>
      <c r="F484" s="2" t="s">
        <v>1503</v>
      </c>
      <c r="G484" s="2" t="s">
        <v>368</v>
      </c>
      <c r="H484" s="2" t="s">
        <v>88</v>
      </c>
      <c r="I484" s="2" t="s">
        <v>369</v>
      </c>
      <c r="J484" s="2">
        <v>3</v>
      </c>
      <c r="K484" s="2">
        <v>54.99</v>
      </c>
      <c r="L484" s="2" t="s">
        <v>25</v>
      </c>
      <c r="M484" s="2">
        <v>32.99</v>
      </c>
      <c r="N484" s="2">
        <v>0</v>
      </c>
      <c r="O484" s="2">
        <v>131.97999999999999</v>
      </c>
      <c r="P484" s="2" t="s">
        <v>27</v>
      </c>
      <c r="Q484" s="2" t="s">
        <v>28</v>
      </c>
      <c r="R484" s="2" t="s">
        <v>52</v>
      </c>
      <c r="S484" s="2" t="s">
        <v>30</v>
      </c>
      <c r="T484" s="2" t="s">
        <v>966</v>
      </c>
      <c r="U484" s="2" t="str">
        <f t="shared" si="21"/>
        <v>Valid</v>
      </c>
      <c r="V484" s="2" t="s">
        <v>1504</v>
      </c>
    </row>
    <row r="485" spans="1:22" hidden="1" x14ac:dyDescent="0.3">
      <c r="A485" s="2" t="s">
        <v>1505</v>
      </c>
      <c r="B485" s="12">
        <f t="shared" si="22"/>
        <v>46238.587945567131</v>
      </c>
      <c r="C485" s="13">
        <v>46238.587945567131</v>
      </c>
      <c r="D485" s="2" t="s">
        <v>1506</v>
      </c>
      <c r="E485" s="2" t="str">
        <f t="shared" si="23"/>
        <v>Email Available</v>
      </c>
      <c r="F485" s="2" t="s">
        <v>1507</v>
      </c>
      <c r="G485" s="2" t="s">
        <v>112</v>
      </c>
      <c r="H485" s="2" t="s">
        <v>81</v>
      </c>
      <c r="I485" s="2" t="s">
        <v>113</v>
      </c>
      <c r="J485" s="2">
        <v>2</v>
      </c>
      <c r="K485" s="2">
        <v>22.99</v>
      </c>
      <c r="L485" s="2"/>
      <c r="M485" s="2">
        <v>0</v>
      </c>
      <c r="N485" s="2">
        <v>4.99</v>
      </c>
      <c r="O485" s="2">
        <v>50.97</v>
      </c>
      <c r="P485" s="2" t="s">
        <v>74</v>
      </c>
      <c r="Q485" s="2" t="s">
        <v>114</v>
      </c>
      <c r="R485" s="2" t="s">
        <v>52</v>
      </c>
      <c r="S485" s="2" t="s">
        <v>43</v>
      </c>
      <c r="T485" s="2"/>
      <c r="U485" s="2" t="str">
        <f t="shared" si="21"/>
        <v>Not Required</v>
      </c>
      <c r="V485" s="2" t="s">
        <v>1508</v>
      </c>
    </row>
    <row r="486" spans="1:22" x14ac:dyDescent="0.3">
      <c r="A486" s="2" t="s">
        <v>1509</v>
      </c>
      <c r="B486" s="12">
        <f t="shared" si="22"/>
        <v>46120</v>
      </c>
      <c r="C486" s="13" t="s">
        <v>142</v>
      </c>
      <c r="D486" s="2" t="s">
        <v>1510</v>
      </c>
      <c r="E486" s="2" t="str">
        <f t="shared" si="23"/>
        <v>Missing Email</v>
      </c>
      <c r="F486" s="2"/>
      <c r="G486" s="2" t="s">
        <v>241</v>
      </c>
      <c r="H486" s="2" t="s">
        <v>242</v>
      </c>
      <c r="I486" s="2" t="s">
        <v>243</v>
      </c>
      <c r="J486" s="2">
        <v>1</v>
      </c>
      <c r="K486" s="2">
        <v>27.99</v>
      </c>
      <c r="L486" s="2" t="s">
        <v>381</v>
      </c>
      <c r="M486" s="2">
        <v>0</v>
      </c>
      <c r="N486" s="2">
        <v>0</v>
      </c>
      <c r="O486" s="2">
        <v>27.99</v>
      </c>
      <c r="P486" s="2" t="s">
        <v>51</v>
      </c>
      <c r="Q486" s="2" t="s">
        <v>41</v>
      </c>
      <c r="R486" s="2" t="s">
        <v>99</v>
      </c>
      <c r="S486" s="2" t="s">
        <v>228</v>
      </c>
      <c r="T486" s="2"/>
      <c r="U486" s="2" t="str">
        <f t="shared" si="21"/>
        <v>Not Required</v>
      </c>
      <c r="V486" s="2" t="s">
        <v>1511</v>
      </c>
    </row>
    <row r="487" spans="1:22" hidden="1" x14ac:dyDescent="0.3">
      <c r="A487" s="2" t="s">
        <v>1512</v>
      </c>
      <c r="B487" s="12">
        <f t="shared" si="22"/>
        <v>46238.588293553243</v>
      </c>
      <c r="C487" s="13">
        <v>46238.588293553243</v>
      </c>
      <c r="D487" s="2" t="s">
        <v>1007</v>
      </c>
      <c r="E487" s="2" t="str">
        <f t="shared" si="23"/>
        <v>Email Available</v>
      </c>
      <c r="F487" s="2" t="s">
        <v>1008</v>
      </c>
      <c r="G487" s="2" t="s">
        <v>48</v>
      </c>
      <c r="H487" s="2" t="s">
        <v>49</v>
      </c>
      <c r="I487" s="2" t="s">
        <v>50</v>
      </c>
      <c r="J487" s="2">
        <v>1</v>
      </c>
      <c r="K487" s="2" t="s">
        <v>1513</v>
      </c>
      <c r="L487" s="2"/>
      <c r="M487" s="2">
        <v>0</v>
      </c>
      <c r="N487" s="2">
        <v>7.99</v>
      </c>
      <c r="O487" s="2" t="s">
        <v>1497</v>
      </c>
      <c r="P487" s="2" t="s">
        <v>74</v>
      </c>
      <c r="Q487" s="2" t="s">
        <v>28</v>
      </c>
      <c r="R487" s="2" t="s">
        <v>42</v>
      </c>
      <c r="S487" s="2" t="s">
        <v>43</v>
      </c>
      <c r="T487" s="2"/>
      <c r="U487" s="2" t="str">
        <f t="shared" si="21"/>
        <v>Not Required</v>
      </c>
      <c r="V487" s="2" t="s">
        <v>1514</v>
      </c>
    </row>
    <row r="488" spans="1:22" hidden="1" x14ac:dyDescent="0.3">
      <c r="A488" s="2" t="s">
        <v>1515</v>
      </c>
      <c r="B488" s="12">
        <f t="shared" si="22"/>
        <v>46120</v>
      </c>
      <c r="C488" s="13" t="s">
        <v>142</v>
      </c>
      <c r="D488" s="2" t="s">
        <v>218</v>
      </c>
      <c r="E488" s="2" t="str">
        <f t="shared" si="23"/>
        <v>Email Available</v>
      </c>
      <c r="F488" s="2" t="s">
        <v>219</v>
      </c>
      <c r="G488" s="2" t="s">
        <v>368</v>
      </c>
      <c r="H488" s="2" t="s">
        <v>88</v>
      </c>
      <c r="I488" s="2" t="s">
        <v>369</v>
      </c>
      <c r="J488" s="2">
        <v>1</v>
      </c>
      <c r="K488" s="2">
        <v>54.99</v>
      </c>
      <c r="L488" s="2" t="s">
        <v>25</v>
      </c>
      <c r="M488" s="2">
        <v>11</v>
      </c>
      <c r="N488" s="2">
        <v>5.99</v>
      </c>
      <c r="O488" s="2">
        <v>49.98</v>
      </c>
      <c r="P488" s="2" t="s">
        <v>51</v>
      </c>
      <c r="Q488" s="2" t="s">
        <v>28</v>
      </c>
      <c r="R488" s="2" t="s">
        <v>52</v>
      </c>
      <c r="S488" s="2" t="s">
        <v>30</v>
      </c>
      <c r="T488" s="2" t="s">
        <v>53</v>
      </c>
      <c r="U488" s="2" t="str">
        <f t="shared" si="21"/>
        <v>Valid</v>
      </c>
      <c r="V488" s="2" t="s">
        <v>1516</v>
      </c>
    </row>
    <row r="489" spans="1:22" hidden="1" x14ac:dyDescent="0.3">
      <c r="A489" s="2" t="s">
        <v>1517</v>
      </c>
      <c r="B489" s="12">
        <f>DATE(VALUE(RIGHT(C489,4)),MATCH(LEFT(C489,3),{"Jan","Feb","Mar","Apr","May","Jun","Jul","Aug","Sep","Oct","Nov","Dec"},0),VALUE(MID(C489,5,2)))</f>
        <v>46238</v>
      </c>
      <c r="C489" s="13" t="s">
        <v>176</v>
      </c>
      <c r="D489" s="2" t="s">
        <v>335</v>
      </c>
      <c r="E489" s="2" t="str">
        <f t="shared" si="23"/>
        <v>Email Available</v>
      </c>
      <c r="F489" s="2" t="s">
        <v>336</v>
      </c>
      <c r="G489" s="2" t="s">
        <v>48</v>
      </c>
      <c r="H489" s="2" t="s">
        <v>49</v>
      </c>
      <c r="I489" s="2" t="s">
        <v>50</v>
      </c>
      <c r="J489" s="2">
        <v>1</v>
      </c>
      <c r="K489" s="2">
        <v>39.99</v>
      </c>
      <c r="L489" s="2" t="s">
        <v>25</v>
      </c>
      <c r="M489" s="2">
        <v>8</v>
      </c>
      <c r="N489" s="2">
        <v>4.99</v>
      </c>
      <c r="O489" s="2">
        <v>36.979999999999997</v>
      </c>
      <c r="P489" s="2" t="s">
        <v>27</v>
      </c>
      <c r="Q489" s="2" t="s">
        <v>41</v>
      </c>
      <c r="R489" s="2" t="s">
        <v>42</v>
      </c>
      <c r="S489" s="2" t="s">
        <v>337</v>
      </c>
      <c r="T489" s="2"/>
      <c r="U489" s="2" t="str">
        <f t="shared" si="21"/>
        <v>Not Required</v>
      </c>
      <c r="V489" s="2" t="s">
        <v>1518</v>
      </c>
    </row>
    <row r="490" spans="1:22" hidden="1" x14ac:dyDescent="0.3">
      <c r="A490" s="2" t="s">
        <v>1519</v>
      </c>
      <c r="B490" s="12">
        <f t="shared" si="22"/>
        <v>46238.580997569443</v>
      </c>
      <c r="C490" s="13">
        <v>46238.580997569443</v>
      </c>
      <c r="D490" s="2" t="s">
        <v>1520</v>
      </c>
      <c r="E490" s="2" t="str">
        <f t="shared" si="23"/>
        <v>Email Available</v>
      </c>
      <c r="F490" s="2" t="s">
        <v>1521</v>
      </c>
      <c r="G490" s="2" t="s">
        <v>368</v>
      </c>
      <c r="H490" s="2" t="s">
        <v>88</v>
      </c>
      <c r="I490" s="2" t="s">
        <v>369</v>
      </c>
      <c r="J490" s="2">
        <v>1</v>
      </c>
      <c r="K490" s="2">
        <v>54.99</v>
      </c>
      <c r="L490" s="2" t="s">
        <v>39</v>
      </c>
      <c r="M490" s="2">
        <v>0</v>
      </c>
      <c r="N490" s="2">
        <v>0</v>
      </c>
      <c r="O490" s="2">
        <v>54.99</v>
      </c>
      <c r="P490" s="2" t="s">
        <v>51</v>
      </c>
      <c r="Q490" s="2" t="s">
        <v>28</v>
      </c>
      <c r="R490" s="2" t="s">
        <v>29</v>
      </c>
      <c r="S490" s="2" t="s">
        <v>30</v>
      </c>
      <c r="T490" s="2" t="s">
        <v>294</v>
      </c>
      <c r="U490" s="2" t="str">
        <f t="shared" si="21"/>
        <v>Valid</v>
      </c>
      <c r="V490" s="2" t="s">
        <v>1522</v>
      </c>
    </row>
    <row r="491" spans="1:22" hidden="1" x14ac:dyDescent="0.3">
      <c r="A491" s="2" t="s">
        <v>1523</v>
      </c>
      <c r="B491" s="12">
        <f t="shared" si="22"/>
        <v>46238.585868310183</v>
      </c>
      <c r="C491" s="13">
        <v>46238.585868310183</v>
      </c>
      <c r="D491" s="2" t="s">
        <v>1089</v>
      </c>
      <c r="E491" s="2" t="str">
        <f t="shared" si="23"/>
        <v>Email Available</v>
      </c>
      <c r="F491" s="2" t="s">
        <v>595</v>
      </c>
      <c r="G491" s="2" t="s">
        <v>36</v>
      </c>
      <c r="H491" s="2" t="s">
        <v>37</v>
      </c>
      <c r="I491" s="2" t="s">
        <v>38</v>
      </c>
      <c r="J491" s="2">
        <v>1</v>
      </c>
      <c r="K491" s="2">
        <v>21.99</v>
      </c>
      <c r="L491" s="2" t="s">
        <v>121</v>
      </c>
      <c r="M491" s="2" t="s">
        <v>1524</v>
      </c>
      <c r="N491" s="2">
        <v>7.99</v>
      </c>
      <c r="O491" s="2">
        <v>24.48</v>
      </c>
      <c r="P491" s="2" t="s">
        <v>74</v>
      </c>
      <c r="Q491" s="2" t="s">
        <v>90</v>
      </c>
      <c r="R491" s="2" t="s">
        <v>52</v>
      </c>
      <c r="S491" s="2" t="s">
        <v>30</v>
      </c>
      <c r="T491" s="2" t="s">
        <v>31</v>
      </c>
      <c r="U491" s="2" t="str">
        <f t="shared" si="21"/>
        <v>Valid</v>
      </c>
      <c r="V491" s="2" t="s">
        <v>782</v>
      </c>
    </row>
    <row r="492" spans="1:22" hidden="1" x14ac:dyDescent="0.3">
      <c r="A492" s="2" t="s">
        <v>1525</v>
      </c>
      <c r="B492" s="12">
        <f t="shared" si="22"/>
        <v>46238.586493356481</v>
      </c>
      <c r="C492" s="13">
        <v>46238.586493356481</v>
      </c>
      <c r="D492" s="2" t="s">
        <v>1526</v>
      </c>
      <c r="E492" s="2" t="str">
        <f t="shared" si="23"/>
        <v>Email Available</v>
      </c>
      <c r="F492" s="2" t="s">
        <v>1527</v>
      </c>
      <c r="G492" s="2" t="s">
        <v>315</v>
      </c>
      <c r="H492" s="2" t="s">
        <v>37</v>
      </c>
      <c r="I492" s="2" t="s">
        <v>316</v>
      </c>
      <c r="J492" s="2">
        <v>1</v>
      </c>
      <c r="K492" s="2">
        <v>8.99</v>
      </c>
      <c r="L492" s="2" t="s">
        <v>25</v>
      </c>
      <c r="M492" s="2">
        <v>1.8</v>
      </c>
      <c r="N492" s="2">
        <v>4.99</v>
      </c>
      <c r="O492" s="2">
        <v>12.18</v>
      </c>
      <c r="P492" s="2" t="s">
        <v>74</v>
      </c>
      <c r="Q492" s="2" t="s">
        <v>28</v>
      </c>
      <c r="R492" s="2" t="s">
        <v>99</v>
      </c>
      <c r="S492" s="2" t="s">
        <v>108</v>
      </c>
      <c r="T492" s="2"/>
      <c r="U492" s="2" t="str">
        <f t="shared" si="21"/>
        <v>Not Required</v>
      </c>
      <c r="V492" s="2" t="s">
        <v>1528</v>
      </c>
    </row>
    <row r="493" spans="1:22" hidden="1" x14ac:dyDescent="0.3">
      <c r="A493" s="2" t="s">
        <v>1529</v>
      </c>
      <c r="B493" s="12">
        <f t="shared" si="22"/>
        <v>46120</v>
      </c>
      <c r="C493" s="13" t="s">
        <v>142</v>
      </c>
      <c r="D493" s="2" t="s">
        <v>1530</v>
      </c>
      <c r="E493" s="2" t="str">
        <f t="shared" si="23"/>
        <v>Email Available</v>
      </c>
      <c r="F493" s="2" t="s">
        <v>1531</v>
      </c>
      <c r="G493" s="2" t="s">
        <v>241</v>
      </c>
      <c r="H493" s="2" t="s">
        <v>242</v>
      </c>
      <c r="I493" s="2" t="s">
        <v>243</v>
      </c>
      <c r="J493" s="2">
        <v>1</v>
      </c>
      <c r="K493" s="2" t="s">
        <v>1532</v>
      </c>
      <c r="L493" s="2"/>
      <c r="M493" s="2">
        <v>0</v>
      </c>
      <c r="N493" s="2">
        <v>4.99</v>
      </c>
      <c r="O493" s="2">
        <v>32.979999999999997</v>
      </c>
      <c r="P493" s="2" t="s">
        <v>68</v>
      </c>
      <c r="Q493" s="2" t="s">
        <v>28</v>
      </c>
      <c r="R493" s="2" t="s">
        <v>52</v>
      </c>
      <c r="S493" s="2" t="s">
        <v>43</v>
      </c>
      <c r="T493" s="2"/>
      <c r="U493" s="2" t="str">
        <f t="shared" si="21"/>
        <v>Not Required</v>
      </c>
      <c r="V493" s="2" t="s">
        <v>1533</v>
      </c>
    </row>
    <row r="494" spans="1:22" hidden="1" x14ac:dyDescent="0.3">
      <c r="A494" s="2" t="s">
        <v>1534</v>
      </c>
      <c r="B494" s="12">
        <f>DATE(VALUE(RIGHT(C494,4)),MATCH(LEFT(C494,3),{"Jan","Feb","Mar","Apr","May","Jun","Jul","Aug","Sep","Oct","Nov","Dec"},0),VALUE(MID(C494,5,2)))</f>
        <v>46238</v>
      </c>
      <c r="C494" s="13" t="s">
        <v>176</v>
      </c>
      <c r="D494" s="2" t="s">
        <v>1535</v>
      </c>
      <c r="E494" s="2" t="str">
        <f t="shared" si="23"/>
        <v>Email Available</v>
      </c>
      <c r="F494" s="2" t="s">
        <v>1536</v>
      </c>
      <c r="G494" s="2" t="s">
        <v>58</v>
      </c>
      <c r="H494" s="2" t="s">
        <v>23</v>
      </c>
      <c r="I494" s="2" t="s">
        <v>59</v>
      </c>
      <c r="J494" s="2">
        <v>1</v>
      </c>
      <c r="K494" s="2">
        <v>9.99</v>
      </c>
      <c r="L494" s="2"/>
      <c r="M494" s="2">
        <v>0</v>
      </c>
      <c r="N494" s="2">
        <v>5.99</v>
      </c>
      <c r="O494" s="2">
        <v>15.98</v>
      </c>
      <c r="P494" s="2" t="s">
        <v>40</v>
      </c>
      <c r="Q494" s="2" t="s">
        <v>114</v>
      </c>
      <c r="R494" s="2" t="s">
        <v>99</v>
      </c>
      <c r="S494" s="2" t="s">
        <v>75</v>
      </c>
      <c r="T494" s="2"/>
      <c r="U494" s="2" t="str">
        <f t="shared" si="21"/>
        <v>Not Required</v>
      </c>
      <c r="V494" s="2" t="s">
        <v>1537</v>
      </c>
    </row>
    <row r="495" spans="1:22" hidden="1" x14ac:dyDescent="0.3">
      <c r="A495" s="2" t="s">
        <v>1538</v>
      </c>
      <c r="B495" s="12">
        <f t="shared" si="22"/>
        <v>46238.587920787038</v>
      </c>
      <c r="C495" s="13">
        <v>46238.587920787038</v>
      </c>
      <c r="D495" s="2" t="s">
        <v>706</v>
      </c>
      <c r="E495" s="2" t="str">
        <f t="shared" si="23"/>
        <v>Email Available</v>
      </c>
      <c r="F495" s="2" t="s">
        <v>707</v>
      </c>
      <c r="G495" s="2" t="s">
        <v>65</v>
      </c>
      <c r="H495" s="2" t="s">
        <v>49</v>
      </c>
      <c r="I495" s="2" t="s">
        <v>453</v>
      </c>
      <c r="J495" s="2">
        <v>1</v>
      </c>
      <c r="K495" s="2">
        <v>14.99</v>
      </c>
      <c r="L495" s="2"/>
      <c r="M495" s="2">
        <v>0</v>
      </c>
      <c r="N495" s="2">
        <v>4.99</v>
      </c>
      <c r="O495" s="2">
        <v>19.98</v>
      </c>
      <c r="P495" s="2" t="s">
        <v>74</v>
      </c>
      <c r="Q495" s="2" t="s">
        <v>28</v>
      </c>
      <c r="R495" s="2" t="s">
        <v>52</v>
      </c>
      <c r="S495" s="2" t="s">
        <v>30</v>
      </c>
      <c r="T495" s="2" t="s">
        <v>69</v>
      </c>
      <c r="U495" s="2" t="str">
        <f t="shared" si="21"/>
        <v>Valid</v>
      </c>
      <c r="V495" s="2" t="s">
        <v>1539</v>
      </c>
    </row>
    <row r="496" spans="1:22" hidden="1" x14ac:dyDescent="0.3">
      <c r="A496" s="2" t="s">
        <v>1540</v>
      </c>
      <c r="B496" s="12">
        <f t="shared" si="22"/>
        <v>46238.580854409724</v>
      </c>
      <c r="C496" s="13">
        <v>46238.580854409724</v>
      </c>
      <c r="D496" s="2" t="s">
        <v>1113</v>
      </c>
      <c r="E496" s="2" t="str">
        <f t="shared" si="23"/>
        <v>Email Available</v>
      </c>
      <c r="F496" s="2" t="s">
        <v>1114</v>
      </c>
      <c r="G496" s="2" t="s">
        <v>127</v>
      </c>
      <c r="H496" s="2" t="s">
        <v>81</v>
      </c>
      <c r="I496" s="2" t="s">
        <v>128</v>
      </c>
      <c r="J496" s="2">
        <v>1</v>
      </c>
      <c r="K496" s="2">
        <v>13.99</v>
      </c>
      <c r="L496" s="2"/>
      <c r="M496" s="2">
        <v>0</v>
      </c>
      <c r="N496" s="2">
        <v>4.99</v>
      </c>
      <c r="O496" s="2">
        <v>18.98</v>
      </c>
      <c r="P496" s="2" t="s">
        <v>68</v>
      </c>
      <c r="Q496" s="2" t="s">
        <v>28</v>
      </c>
      <c r="R496" s="2" t="s">
        <v>99</v>
      </c>
      <c r="S496" s="2" t="s">
        <v>30</v>
      </c>
      <c r="T496" s="2" t="s">
        <v>454</v>
      </c>
      <c r="U496" s="2" t="str">
        <f t="shared" si="21"/>
        <v>Valid</v>
      </c>
      <c r="V496" s="2" t="s">
        <v>1541</v>
      </c>
    </row>
    <row r="497" spans="1:22" hidden="1" x14ac:dyDescent="0.3">
      <c r="A497" s="2" t="s">
        <v>1542</v>
      </c>
      <c r="B497" s="12">
        <f t="shared" si="22"/>
        <v>46238.578975439807</v>
      </c>
      <c r="C497" s="13">
        <v>46238.578975439807</v>
      </c>
      <c r="D497" s="2" t="s">
        <v>1543</v>
      </c>
      <c r="E497" s="2" t="str">
        <f t="shared" si="23"/>
        <v>Email Available</v>
      </c>
      <c r="F497" s="2" t="s">
        <v>1544</v>
      </c>
      <c r="G497" s="2" t="s">
        <v>157</v>
      </c>
      <c r="H497" s="2" t="s">
        <v>37</v>
      </c>
      <c r="I497" s="2" t="s">
        <v>158</v>
      </c>
      <c r="J497" s="2">
        <v>1</v>
      </c>
      <c r="K497" s="2">
        <v>29.99</v>
      </c>
      <c r="L497" s="2" t="s">
        <v>121</v>
      </c>
      <c r="M497" s="2">
        <v>7.5</v>
      </c>
      <c r="N497" s="2">
        <v>5.99</v>
      </c>
      <c r="O497" s="2">
        <v>28.48</v>
      </c>
      <c r="P497" s="2" t="s">
        <v>27</v>
      </c>
      <c r="Q497" s="2" t="s">
        <v>114</v>
      </c>
      <c r="R497" s="2" t="s">
        <v>99</v>
      </c>
      <c r="S497" s="2" t="s">
        <v>30</v>
      </c>
      <c r="T497" s="2" t="s">
        <v>351</v>
      </c>
      <c r="U497" s="2" t="str">
        <f t="shared" si="21"/>
        <v>Valid</v>
      </c>
      <c r="V497" s="2" t="s">
        <v>1545</v>
      </c>
    </row>
    <row r="498" spans="1:22" hidden="1" x14ac:dyDescent="0.3">
      <c r="A498" s="2" t="s">
        <v>1546</v>
      </c>
      <c r="B498" s="12">
        <f t="shared" si="22"/>
        <v>46238.584165694447</v>
      </c>
      <c r="C498" s="13">
        <v>46238.584165694447</v>
      </c>
      <c r="D498" s="2" t="s">
        <v>111</v>
      </c>
      <c r="E498" s="2" t="str">
        <f t="shared" si="23"/>
        <v>Email Available</v>
      </c>
      <c r="F498" s="2" t="s">
        <v>1547</v>
      </c>
      <c r="G498" s="2" t="s">
        <v>105</v>
      </c>
      <c r="H498" s="2" t="s">
        <v>106</v>
      </c>
      <c r="I498" s="2" t="s">
        <v>107</v>
      </c>
      <c r="J498" s="2">
        <v>1</v>
      </c>
      <c r="K498" s="2">
        <v>19.989999999999998</v>
      </c>
      <c r="L498" s="2" t="s">
        <v>67</v>
      </c>
      <c r="M498" s="2">
        <v>2</v>
      </c>
      <c r="N498" s="2">
        <v>4.99</v>
      </c>
      <c r="O498" s="2">
        <v>22.98</v>
      </c>
      <c r="P498" s="2" t="s">
        <v>40</v>
      </c>
      <c r="Q498" s="2" t="s">
        <v>28</v>
      </c>
      <c r="R498" s="2" t="s">
        <v>52</v>
      </c>
      <c r="S498" s="2" t="s">
        <v>30</v>
      </c>
      <c r="T498" s="2" t="s">
        <v>31</v>
      </c>
      <c r="U498" s="2" t="str">
        <f t="shared" si="21"/>
        <v>Valid</v>
      </c>
      <c r="V498" s="2" t="s">
        <v>1548</v>
      </c>
    </row>
    <row r="499" spans="1:22" x14ac:dyDescent="0.3">
      <c r="A499" s="2" t="s">
        <v>1549</v>
      </c>
      <c r="B499" s="12">
        <f t="shared" si="22"/>
        <v>46238.582818703697</v>
      </c>
      <c r="C499" s="13">
        <v>46238.582818703697</v>
      </c>
      <c r="D499" s="2" t="s">
        <v>1227</v>
      </c>
      <c r="E499" s="2" t="str">
        <f t="shared" si="23"/>
        <v>Missing Email</v>
      </c>
      <c r="F499" s="2"/>
      <c r="G499" s="2" t="s">
        <v>80</v>
      </c>
      <c r="H499" s="2" t="s">
        <v>81</v>
      </c>
      <c r="I499" s="2" t="s">
        <v>82</v>
      </c>
      <c r="J499" s="2">
        <v>1</v>
      </c>
      <c r="K499" s="2">
        <v>89.99</v>
      </c>
      <c r="L499" s="2"/>
      <c r="M499" s="2">
        <v>0</v>
      </c>
      <c r="N499" s="2">
        <v>0</v>
      </c>
      <c r="O499" s="2">
        <v>89.99</v>
      </c>
      <c r="P499" s="2" t="s">
        <v>68</v>
      </c>
      <c r="Q499" s="2" t="s">
        <v>28</v>
      </c>
      <c r="R499" s="2" t="s">
        <v>52</v>
      </c>
      <c r="S499" s="2" t="s">
        <v>30</v>
      </c>
      <c r="T499" s="2" t="s">
        <v>91</v>
      </c>
      <c r="U499" s="2" t="str">
        <f t="shared" si="21"/>
        <v>Valid</v>
      </c>
      <c r="V499" s="2" t="s">
        <v>1550</v>
      </c>
    </row>
    <row r="500" spans="1:22" hidden="1" x14ac:dyDescent="0.3">
      <c r="A500" s="2" t="s">
        <v>1551</v>
      </c>
      <c r="B500" s="12">
        <f t="shared" si="22"/>
        <v>46238.588649513891</v>
      </c>
      <c r="C500" s="13">
        <v>46238.588649513891</v>
      </c>
      <c r="D500" s="2" t="s">
        <v>1552</v>
      </c>
      <c r="E500" s="2" t="str">
        <f t="shared" si="23"/>
        <v>Email Available</v>
      </c>
      <c r="F500" s="2" t="s">
        <v>1553</v>
      </c>
      <c r="G500" s="2" t="s">
        <v>133</v>
      </c>
      <c r="H500" s="2" t="s">
        <v>106</v>
      </c>
      <c r="I500" s="2" t="s">
        <v>134</v>
      </c>
      <c r="J500" s="2">
        <v>2</v>
      </c>
      <c r="K500" s="2">
        <v>16.989999999999998</v>
      </c>
      <c r="L500" s="2"/>
      <c r="M500" s="2">
        <v>0</v>
      </c>
      <c r="N500" s="2">
        <v>5.99</v>
      </c>
      <c r="O500" s="2">
        <v>39.97</v>
      </c>
      <c r="P500" s="2" t="s">
        <v>40</v>
      </c>
      <c r="Q500" s="2" t="s">
        <v>28</v>
      </c>
      <c r="R500" s="2" t="s">
        <v>52</v>
      </c>
      <c r="S500" s="2" t="s">
        <v>75</v>
      </c>
      <c r="T500" s="2"/>
      <c r="U500" s="2" t="str">
        <f t="shared" si="21"/>
        <v>Not Required</v>
      </c>
      <c r="V500" s="2" t="s">
        <v>1554</v>
      </c>
    </row>
    <row r="501" spans="1:22" hidden="1" x14ac:dyDescent="0.3">
      <c r="A501" s="2" t="s">
        <v>1555</v>
      </c>
      <c r="B501" s="12">
        <f t="shared" si="22"/>
        <v>46238</v>
      </c>
      <c r="C501" s="13" t="s">
        <v>148</v>
      </c>
      <c r="D501" s="2" t="s">
        <v>1248</v>
      </c>
      <c r="E501" s="2" t="str">
        <f t="shared" si="23"/>
        <v>Email Available</v>
      </c>
      <c r="F501" s="2" t="s">
        <v>1249</v>
      </c>
      <c r="G501" s="2" t="s">
        <v>266</v>
      </c>
      <c r="H501" s="2" t="s">
        <v>37</v>
      </c>
      <c r="I501" s="2" t="s">
        <v>267</v>
      </c>
      <c r="J501" s="2">
        <v>1</v>
      </c>
      <c r="K501" s="2">
        <v>15.49</v>
      </c>
      <c r="L501" s="2" t="s">
        <v>208</v>
      </c>
      <c r="M501" s="2">
        <v>2.3199999999999998</v>
      </c>
      <c r="N501" s="2">
        <v>4.99</v>
      </c>
      <c r="O501" s="2">
        <v>18.16</v>
      </c>
      <c r="P501" s="2" t="s">
        <v>68</v>
      </c>
      <c r="Q501" s="2" t="s">
        <v>28</v>
      </c>
      <c r="R501" s="2" t="s">
        <v>52</v>
      </c>
      <c r="S501" s="2" t="s">
        <v>30</v>
      </c>
      <c r="T501" s="2" t="s">
        <v>115</v>
      </c>
      <c r="U501" s="2" t="str">
        <f t="shared" si="21"/>
        <v>Valid</v>
      </c>
      <c r="V501" s="2" t="s">
        <v>1556</v>
      </c>
    </row>
    <row r="502" spans="1:22" hidden="1" x14ac:dyDescent="0.3">
      <c r="A502" s="2" t="s">
        <v>1557</v>
      </c>
      <c r="B502" s="12">
        <f t="shared" si="22"/>
        <v>46238.578795972222</v>
      </c>
      <c r="C502" s="13">
        <v>46238.578795972222</v>
      </c>
      <c r="D502" s="2" t="s">
        <v>502</v>
      </c>
      <c r="E502" s="2" t="str">
        <f t="shared" si="23"/>
        <v>Email Available</v>
      </c>
      <c r="F502" s="2" t="s">
        <v>503</v>
      </c>
      <c r="G502" s="2" t="s">
        <v>58</v>
      </c>
      <c r="H502" s="2" t="s">
        <v>23</v>
      </c>
      <c r="I502" s="2" t="s">
        <v>59</v>
      </c>
      <c r="J502" s="2">
        <v>1</v>
      </c>
      <c r="K502" s="2">
        <v>9.99</v>
      </c>
      <c r="L502" s="2" t="s">
        <v>121</v>
      </c>
      <c r="M502" s="2">
        <v>2.5</v>
      </c>
      <c r="N502" s="2">
        <v>4.99</v>
      </c>
      <c r="O502" s="2">
        <v>12.48</v>
      </c>
      <c r="P502" s="2" t="s">
        <v>40</v>
      </c>
      <c r="Q502" s="2" t="s">
        <v>41</v>
      </c>
      <c r="R502" s="2" t="s">
        <v>52</v>
      </c>
      <c r="S502" s="2" t="s">
        <v>108</v>
      </c>
      <c r="T502" s="2"/>
      <c r="U502" s="2" t="str">
        <f t="shared" si="21"/>
        <v>Not Required</v>
      </c>
      <c r="V502" s="2" t="s">
        <v>1558</v>
      </c>
    </row>
    <row r="503" spans="1:22" hidden="1" x14ac:dyDescent="0.3">
      <c r="A503" s="2" t="s">
        <v>1559</v>
      </c>
      <c r="B503" s="12">
        <f t="shared" si="22"/>
        <v>46238.587609282411</v>
      </c>
      <c r="C503" s="13">
        <v>46238.587609282411</v>
      </c>
      <c r="D503" s="2" t="s">
        <v>1560</v>
      </c>
      <c r="E503" s="2" t="str">
        <f t="shared" si="23"/>
        <v>Email Available</v>
      </c>
      <c r="F503" s="2" t="s">
        <v>1561</v>
      </c>
      <c r="G503" s="2" t="s">
        <v>272</v>
      </c>
      <c r="H503" s="2" t="s">
        <v>23</v>
      </c>
      <c r="I503" s="2" t="s">
        <v>273</v>
      </c>
      <c r="J503" s="2">
        <v>1</v>
      </c>
      <c r="K503" s="2">
        <v>18.989999999999998</v>
      </c>
      <c r="L503" s="2"/>
      <c r="M503" s="2">
        <v>0</v>
      </c>
      <c r="N503" s="2">
        <v>5.99</v>
      </c>
      <c r="O503" s="2" t="s">
        <v>954</v>
      </c>
      <c r="P503" s="2" t="s">
        <v>40</v>
      </c>
      <c r="Q503" s="2" t="s">
        <v>114</v>
      </c>
      <c r="R503" s="2" t="s">
        <v>42</v>
      </c>
      <c r="S503" s="2" t="s">
        <v>30</v>
      </c>
      <c r="T503" s="2" t="s">
        <v>31</v>
      </c>
      <c r="U503" s="2" t="str">
        <f t="shared" si="21"/>
        <v>Valid</v>
      </c>
      <c r="V503" s="2" t="s">
        <v>1562</v>
      </c>
    </row>
    <row r="504" spans="1:22" hidden="1" x14ac:dyDescent="0.3">
      <c r="A504" s="2" t="s">
        <v>1563</v>
      </c>
      <c r="B504" s="12">
        <f t="shared" si="22"/>
        <v>46238.583837129627</v>
      </c>
      <c r="C504" s="13">
        <v>46238.583837129627</v>
      </c>
      <c r="D504" s="2" t="s">
        <v>1564</v>
      </c>
      <c r="E504" s="2" t="str">
        <f t="shared" si="23"/>
        <v>Email Available</v>
      </c>
      <c r="F504" s="2" t="s">
        <v>1565</v>
      </c>
      <c r="G504" s="2" t="s">
        <v>48</v>
      </c>
      <c r="H504" s="2" t="s">
        <v>49</v>
      </c>
      <c r="I504" s="2" t="s">
        <v>50</v>
      </c>
      <c r="J504" s="2">
        <v>2</v>
      </c>
      <c r="K504" s="2">
        <v>39.99</v>
      </c>
      <c r="L504" s="2" t="s">
        <v>39</v>
      </c>
      <c r="M504" s="2" t="s">
        <v>189</v>
      </c>
      <c r="N504" s="2">
        <v>0</v>
      </c>
      <c r="O504" s="2">
        <v>79.98</v>
      </c>
      <c r="P504" s="2" t="s">
        <v>74</v>
      </c>
      <c r="Q504" s="2" t="s">
        <v>114</v>
      </c>
      <c r="R504" s="2" t="s">
        <v>99</v>
      </c>
      <c r="S504" s="2" t="s">
        <v>30</v>
      </c>
      <c r="T504" s="2" t="s">
        <v>248</v>
      </c>
      <c r="U504" s="2" t="str">
        <f t="shared" si="21"/>
        <v>Valid</v>
      </c>
      <c r="V504" s="2" t="s">
        <v>1566</v>
      </c>
    </row>
    <row r="505" spans="1:22" hidden="1" x14ac:dyDescent="0.3">
      <c r="A505" s="2" t="s">
        <v>1567</v>
      </c>
      <c r="B505" s="12">
        <f t="shared" si="22"/>
        <v>46238.583883599538</v>
      </c>
      <c r="C505" s="13">
        <v>46238.583883599538</v>
      </c>
      <c r="D505" s="2" t="s">
        <v>428</v>
      </c>
      <c r="E505" s="2" t="str">
        <f t="shared" si="23"/>
        <v>Email Available</v>
      </c>
      <c r="F505" s="2" t="s">
        <v>429</v>
      </c>
      <c r="G505" s="2" t="s">
        <v>112</v>
      </c>
      <c r="H505" s="2" t="s">
        <v>81</v>
      </c>
      <c r="I505" s="2" t="s">
        <v>113</v>
      </c>
      <c r="J505" s="2">
        <v>1</v>
      </c>
      <c r="K505" s="2">
        <v>22.99</v>
      </c>
      <c r="L505" s="2" t="s">
        <v>121</v>
      </c>
      <c r="M505" s="2">
        <v>5.75</v>
      </c>
      <c r="N505" s="2">
        <v>4.99</v>
      </c>
      <c r="O505" s="2">
        <v>22.23</v>
      </c>
      <c r="P505" s="2" t="s">
        <v>40</v>
      </c>
      <c r="Q505" s="2" t="s">
        <v>28</v>
      </c>
      <c r="R505" s="2" t="s">
        <v>52</v>
      </c>
      <c r="S505" s="2" t="s">
        <v>30</v>
      </c>
      <c r="T505" s="2" t="s">
        <v>60</v>
      </c>
      <c r="U505" s="2" t="str">
        <f t="shared" si="21"/>
        <v>Valid</v>
      </c>
      <c r="V505" s="2" t="s">
        <v>1568</v>
      </c>
    </row>
    <row r="506" spans="1:22" hidden="1" x14ac:dyDescent="0.3">
      <c r="A506" s="2" t="s">
        <v>1569</v>
      </c>
      <c r="B506" s="12">
        <f t="shared" si="22"/>
        <v>46238.586306319441</v>
      </c>
      <c r="C506" s="13">
        <v>46238.586306319441</v>
      </c>
      <c r="D506" s="2" t="s">
        <v>1570</v>
      </c>
      <c r="E506" s="2" t="str">
        <f t="shared" si="23"/>
        <v>Email Available</v>
      </c>
      <c r="F506" s="2" t="s">
        <v>1571</v>
      </c>
      <c r="G506" s="2" t="s">
        <v>151</v>
      </c>
      <c r="H506" s="2" t="s">
        <v>49</v>
      </c>
      <c r="I506" s="2" t="s">
        <v>152</v>
      </c>
      <c r="J506" s="2">
        <v>2</v>
      </c>
      <c r="K506" s="2">
        <v>34.99</v>
      </c>
      <c r="L506" s="2"/>
      <c r="M506" s="2">
        <v>0</v>
      </c>
      <c r="N506" s="2">
        <v>5.99</v>
      </c>
      <c r="O506" s="2">
        <v>75.97</v>
      </c>
      <c r="P506" s="2" t="s">
        <v>27</v>
      </c>
      <c r="Q506" s="2" t="s">
        <v>114</v>
      </c>
      <c r="R506" s="2" t="s">
        <v>52</v>
      </c>
      <c r="S506" s="2" t="s">
        <v>43</v>
      </c>
      <c r="T506" s="2"/>
      <c r="U506" s="2" t="str">
        <f t="shared" si="21"/>
        <v>Not Required</v>
      </c>
      <c r="V506" s="2" t="s">
        <v>1572</v>
      </c>
    </row>
    <row r="507" spans="1:22" hidden="1" x14ac:dyDescent="0.3">
      <c r="A507" s="2" t="s">
        <v>1573</v>
      </c>
      <c r="B507" s="12">
        <f t="shared" si="22"/>
        <v>46238</v>
      </c>
      <c r="C507" s="13" t="s">
        <v>1574</v>
      </c>
      <c r="D507" s="2" t="s">
        <v>1575</v>
      </c>
      <c r="E507" s="2" t="str">
        <f t="shared" si="23"/>
        <v>Email Available</v>
      </c>
      <c r="F507" s="2" t="s">
        <v>1576</v>
      </c>
      <c r="G507" s="2" t="s">
        <v>127</v>
      </c>
      <c r="H507" s="2" t="s">
        <v>81</v>
      </c>
      <c r="I507" s="2" t="s">
        <v>128</v>
      </c>
      <c r="J507" s="2">
        <v>1</v>
      </c>
      <c r="K507" s="2">
        <v>13.99</v>
      </c>
      <c r="L507" s="2" t="s">
        <v>208</v>
      </c>
      <c r="M507" s="2">
        <v>2.1</v>
      </c>
      <c r="N507" s="2">
        <v>4.99</v>
      </c>
      <c r="O507" s="2">
        <v>16.88</v>
      </c>
      <c r="P507" s="2" t="s">
        <v>51</v>
      </c>
      <c r="Q507" s="2" t="s">
        <v>90</v>
      </c>
      <c r="R507" s="2" t="s">
        <v>52</v>
      </c>
      <c r="S507" s="2" t="s">
        <v>108</v>
      </c>
      <c r="T507" s="2"/>
      <c r="U507" s="2" t="str">
        <f t="shared" si="21"/>
        <v>Not Required</v>
      </c>
      <c r="V507" s="2" t="s">
        <v>1577</v>
      </c>
    </row>
    <row r="508" spans="1:22" hidden="1" x14ac:dyDescent="0.3">
      <c r="A508" s="2" t="s">
        <v>1578</v>
      </c>
      <c r="B508" s="12">
        <f t="shared" si="22"/>
        <v>46238.580890474543</v>
      </c>
      <c r="C508" s="13">
        <v>46238.580890474543</v>
      </c>
      <c r="D508" s="2" t="s">
        <v>815</v>
      </c>
      <c r="E508" s="2" t="str">
        <f t="shared" si="23"/>
        <v>Email Available</v>
      </c>
      <c r="F508" s="2" t="s">
        <v>816</v>
      </c>
      <c r="G508" s="2" t="s">
        <v>120</v>
      </c>
      <c r="H508" s="2" t="s">
        <v>23</v>
      </c>
      <c r="I508" s="2" t="s">
        <v>24</v>
      </c>
      <c r="J508" s="2">
        <v>1</v>
      </c>
      <c r="K508" s="2">
        <v>12.99</v>
      </c>
      <c r="L508" s="2"/>
      <c r="M508" s="2">
        <v>0</v>
      </c>
      <c r="N508" s="2">
        <v>7.99</v>
      </c>
      <c r="O508" s="2">
        <v>20.98</v>
      </c>
      <c r="P508" s="2" t="s">
        <v>74</v>
      </c>
      <c r="Q508" s="2" t="s">
        <v>28</v>
      </c>
      <c r="R508" s="2" t="s">
        <v>52</v>
      </c>
      <c r="S508" s="2" t="s">
        <v>30</v>
      </c>
      <c r="T508" s="2" t="s">
        <v>939</v>
      </c>
      <c r="U508" s="2" t="str">
        <f t="shared" si="21"/>
        <v>Valid</v>
      </c>
      <c r="V508" s="2" t="s">
        <v>1579</v>
      </c>
    </row>
    <row r="509" spans="1:22" hidden="1" x14ac:dyDescent="0.3">
      <c r="A509" s="2" t="s">
        <v>1580</v>
      </c>
      <c r="B509" s="12">
        <f t="shared" si="22"/>
        <v>46238.588386759257</v>
      </c>
      <c r="C509" s="13">
        <v>46238.588386759257</v>
      </c>
      <c r="D509" s="2" t="s">
        <v>524</v>
      </c>
      <c r="E509" s="2" t="str">
        <f t="shared" si="23"/>
        <v>Email Available</v>
      </c>
      <c r="F509" s="2" t="s">
        <v>525</v>
      </c>
      <c r="G509" s="2" t="s">
        <v>272</v>
      </c>
      <c r="H509" s="2" t="s">
        <v>23</v>
      </c>
      <c r="I509" s="2" t="s">
        <v>273</v>
      </c>
      <c r="J509" s="2">
        <v>1</v>
      </c>
      <c r="K509" s="2">
        <v>18.989999999999998</v>
      </c>
      <c r="L509" s="2" t="s">
        <v>25</v>
      </c>
      <c r="M509" s="2">
        <v>3.8</v>
      </c>
      <c r="N509" s="2">
        <v>7.99</v>
      </c>
      <c r="O509" s="2">
        <v>23.18</v>
      </c>
      <c r="P509" s="2" t="s">
        <v>74</v>
      </c>
      <c r="Q509" s="2" t="s">
        <v>28</v>
      </c>
      <c r="R509" s="2" t="s">
        <v>52</v>
      </c>
      <c r="S509" s="2" t="s">
        <v>30</v>
      </c>
      <c r="T509" s="2" t="s">
        <v>53</v>
      </c>
      <c r="U509" s="2" t="str">
        <f t="shared" si="21"/>
        <v>Valid</v>
      </c>
      <c r="V509" s="2" t="s">
        <v>1581</v>
      </c>
    </row>
    <row r="510" spans="1:22" hidden="1" x14ac:dyDescent="0.3">
      <c r="A510" s="2" t="s">
        <v>1582</v>
      </c>
      <c r="B510" s="12">
        <f t="shared" si="22"/>
        <v>46238.584779780103</v>
      </c>
      <c r="C510" s="13">
        <v>46238.584779780103</v>
      </c>
      <c r="D510" s="2" t="s">
        <v>1290</v>
      </c>
      <c r="E510" s="2" t="str">
        <f t="shared" si="23"/>
        <v>Email Available</v>
      </c>
      <c r="F510" s="2" t="s">
        <v>1291</v>
      </c>
      <c r="G510" s="2" t="s">
        <v>48</v>
      </c>
      <c r="H510" s="2" t="s">
        <v>49</v>
      </c>
      <c r="I510" s="2" t="s">
        <v>50</v>
      </c>
      <c r="J510" s="2">
        <v>2</v>
      </c>
      <c r="K510" s="2">
        <v>39.99</v>
      </c>
      <c r="L510" s="2" t="s">
        <v>25</v>
      </c>
      <c r="M510" s="2">
        <v>16</v>
      </c>
      <c r="N510" s="2">
        <v>0</v>
      </c>
      <c r="O510" s="2">
        <v>63.98</v>
      </c>
      <c r="P510" s="2" t="s">
        <v>68</v>
      </c>
      <c r="Q510" s="2" t="s">
        <v>90</v>
      </c>
      <c r="R510" s="2" t="s">
        <v>52</v>
      </c>
      <c r="S510" s="2" t="s">
        <v>75</v>
      </c>
      <c r="T510" s="2"/>
      <c r="U510" s="2" t="str">
        <f t="shared" si="21"/>
        <v>Not Required</v>
      </c>
      <c r="V510" s="2" t="s">
        <v>1583</v>
      </c>
    </row>
    <row r="511" spans="1:22" hidden="1" x14ac:dyDescent="0.3">
      <c r="A511" s="2" t="s">
        <v>1584</v>
      </c>
      <c r="B511" s="12">
        <f t="shared" si="22"/>
        <v>46238.588086759257</v>
      </c>
      <c r="C511" s="13">
        <v>46238.588086759257</v>
      </c>
      <c r="D511" s="2" t="s">
        <v>177</v>
      </c>
      <c r="E511" s="2" t="str">
        <f t="shared" si="23"/>
        <v>Email Available</v>
      </c>
      <c r="F511" s="2" t="s">
        <v>178</v>
      </c>
      <c r="G511" s="2" t="s">
        <v>65</v>
      </c>
      <c r="H511" s="2" t="s">
        <v>49</v>
      </c>
      <c r="I511" s="2" t="s">
        <v>66</v>
      </c>
      <c r="J511" s="2">
        <v>1</v>
      </c>
      <c r="K511" s="2">
        <v>14.99</v>
      </c>
      <c r="L511" s="2"/>
      <c r="M511" s="2">
        <v>0</v>
      </c>
      <c r="N511" s="2">
        <v>7.99</v>
      </c>
      <c r="O511" s="2">
        <v>22.98</v>
      </c>
      <c r="P511" s="2" t="s">
        <v>51</v>
      </c>
      <c r="Q511" s="2" t="s">
        <v>41</v>
      </c>
      <c r="R511" s="2" t="s">
        <v>42</v>
      </c>
      <c r="S511" s="2" t="s">
        <v>30</v>
      </c>
      <c r="T511" s="2" t="s">
        <v>53</v>
      </c>
      <c r="U511" s="2" t="str">
        <f t="shared" si="21"/>
        <v>Valid</v>
      </c>
      <c r="V511" s="2" t="s">
        <v>1585</v>
      </c>
    </row>
    <row r="512" spans="1:22" hidden="1" x14ac:dyDescent="0.3">
      <c r="A512" s="2" t="s">
        <v>1586</v>
      </c>
      <c r="B512" s="12">
        <f t="shared" si="22"/>
        <v>46238</v>
      </c>
      <c r="C512" s="13" t="s">
        <v>1037</v>
      </c>
      <c r="D512" s="2" t="s">
        <v>1587</v>
      </c>
      <c r="E512" s="2" t="str">
        <f t="shared" si="23"/>
        <v>Email Available</v>
      </c>
      <c r="F512" s="2" t="s">
        <v>1588</v>
      </c>
      <c r="G512" s="2" t="s">
        <v>112</v>
      </c>
      <c r="H512" s="2" t="s">
        <v>81</v>
      </c>
      <c r="I512" s="2" t="s">
        <v>113</v>
      </c>
      <c r="J512" s="2">
        <v>1</v>
      </c>
      <c r="K512" s="2">
        <v>22.99</v>
      </c>
      <c r="L512" s="2" t="s">
        <v>121</v>
      </c>
      <c r="M512" s="2">
        <v>5.75</v>
      </c>
      <c r="N512" s="2">
        <v>4.99</v>
      </c>
      <c r="O512" s="2" t="s">
        <v>1589</v>
      </c>
      <c r="P512" s="2" t="s">
        <v>51</v>
      </c>
      <c r="Q512" s="2" t="s">
        <v>41</v>
      </c>
      <c r="R512" s="2" t="s">
        <v>29</v>
      </c>
      <c r="S512" s="2" t="s">
        <v>30</v>
      </c>
      <c r="T512" s="2" t="s">
        <v>69</v>
      </c>
      <c r="U512" s="2" t="str">
        <f t="shared" si="21"/>
        <v>Valid</v>
      </c>
      <c r="V512" s="2" t="s">
        <v>1590</v>
      </c>
    </row>
    <row r="513" spans="1:22" hidden="1" x14ac:dyDescent="0.3">
      <c r="A513" s="2" t="s">
        <v>1591</v>
      </c>
      <c r="B513" s="12">
        <f t="shared" si="22"/>
        <v>46238</v>
      </c>
      <c r="C513" s="13" t="s">
        <v>344</v>
      </c>
      <c r="D513" s="2" t="s">
        <v>565</v>
      </c>
      <c r="E513" s="2" t="str">
        <f t="shared" si="23"/>
        <v>Email Available</v>
      </c>
      <c r="F513" s="2" t="s">
        <v>566</v>
      </c>
      <c r="G513" s="2" t="s">
        <v>87</v>
      </c>
      <c r="H513" s="2" t="s">
        <v>88</v>
      </c>
      <c r="I513" s="2" t="s">
        <v>89</v>
      </c>
      <c r="J513" s="2">
        <v>1</v>
      </c>
      <c r="K513" s="2" t="s">
        <v>370</v>
      </c>
      <c r="L513" s="2" t="s">
        <v>208</v>
      </c>
      <c r="M513" s="2">
        <v>8.25</v>
      </c>
      <c r="N513" s="2">
        <v>7.99</v>
      </c>
      <c r="O513" s="2">
        <v>54.73</v>
      </c>
      <c r="P513" s="2" t="s">
        <v>27</v>
      </c>
      <c r="Q513" s="2" t="s">
        <v>28</v>
      </c>
      <c r="R513" s="2" t="s">
        <v>29</v>
      </c>
      <c r="S513" s="2" t="s">
        <v>43</v>
      </c>
      <c r="T513" s="2"/>
      <c r="U513" s="2" t="str">
        <f t="shared" si="21"/>
        <v>Not Required</v>
      </c>
      <c r="V513" s="2" t="s">
        <v>1592</v>
      </c>
    </row>
    <row r="514" spans="1:22" hidden="1" x14ac:dyDescent="0.3">
      <c r="A514" s="2" t="s">
        <v>1593</v>
      </c>
      <c r="B514" s="12">
        <f t="shared" ref="B514:B576" si="24">IF(ISNUMBER(C514),C514,DATEVALUE(SUBSTITUTE(TRIM(C514),CHAR(160)," ")))</f>
        <v>46238.58259928241</v>
      </c>
      <c r="C514" s="13">
        <v>46238.58259928241</v>
      </c>
      <c r="D514" s="2" t="s">
        <v>256</v>
      </c>
      <c r="E514" s="2" t="str">
        <f t="shared" si="23"/>
        <v>Email Available</v>
      </c>
      <c r="F514" s="2" t="s">
        <v>350</v>
      </c>
      <c r="G514" s="2" t="s">
        <v>58</v>
      </c>
      <c r="H514" s="2" t="s">
        <v>23</v>
      </c>
      <c r="I514" s="2" t="s">
        <v>59</v>
      </c>
      <c r="J514" s="2">
        <v>2</v>
      </c>
      <c r="K514" s="2">
        <v>9.99</v>
      </c>
      <c r="L514" s="2" t="s">
        <v>208</v>
      </c>
      <c r="M514" s="2">
        <v>3</v>
      </c>
      <c r="N514" s="2">
        <v>5.99</v>
      </c>
      <c r="O514" s="2">
        <v>22.97</v>
      </c>
      <c r="P514" s="2" t="s">
        <v>51</v>
      </c>
      <c r="Q514" s="2" t="s">
        <v>28</v>
      </c>
      <c r="R514" s="2" t="s">
        <v>52</v>
      </c>
      <c r="S514" s="2" t="s">
        <v>30</v>
      </c>
      <c r="T514" s="2" t="s">
        <v>91</v>
      </c>
      <c r="U514" s="2" t="str">
        <f t="shared" ref="U514:U576" si="25">IF(AND(S514="United States",T514=""),"Missing state",IF(T514="","Not Required","Valid"))</f>
        <v>Valid</v>
      </c>
      <c r="V514" s="2" t="s">
        <v>1594</v>
      </c>
    </row>
    <row r="515" spans="1:22" hidden="1" x14ac:dyDescent="0.3">
      <c r="A515" s="2" t="s">
        <v>1595</v>
      </c>
      <c r="B515" s="12">
        <f t="shared" si="24"/>
        <v>46238.581570057868</v>
      </c>
      <c r="C515" s="13">
        <v>46238.581570057868</v>
      </c>
      <c r="D515" s="2" t="s">
        <v>1596</v>
      </c>
      <c r="E515" s="2" t="str">
        <f t="shared" ref="E515:E578" si="26">IF(TRIM(F515)="","Missing Email","Email Available")</f>
        <v>Email Available</v>
      </c>
      <c r="F515" s="2" t="s">
        <v>182</v>
      </c>
      <c r="G515" s="2" t="s">
        <v>157</v>
      </c>
      <c r="H515" s="2" t="s">
        <v>37</v>
      </c>
      <c r="I515" s="2" t="s">
        <v>158</v>
      </c>
      <c r="J515" s="2">
        <v>1</v>
      </c>
      <c r="K515" s="2">
        <v>29.99</v>
      </c>
      <c r="L515" s="2" t="s">
        <v>1181</v>
      </c>
      <c r="M515" s="2" t="s">
        <v>1597</v>
      </c>
      <c r="N515" s="2">
        <v>5.99</v>
      </c>
      <c r="O515" s="2">
        <v>28.48</v>
      </c>
      <c r="P515" s="2" t="s">
        <v>74</v>
      </c>
      <c r="Q515" s="2" t="s">
        <v>41</v>
      </c>
      <c r="R515" s="2" t="s">
        <v>42</v>
      </c>
      <c r="S515" s="2" t="s">
        <v>30</v>
      </c>
      <c r="T515" s="2" t="s">
        <v>499</v>
      </c>
      <c r="U515" s="2" t="str">
        <f t="shared" si="25"/>
        <v>Valid</v>
      </c>
      <c r="V515" s="2" t="s">
        <v>1598</v>
      </c>
    </row>
    <row r="516" spans="1:22" hidden="1" x14ac:dyDescent="0.3">
      <c r="A516" s="2" t="s">
        <v>1599</v>
      </c>
      <c r="B516" s="12">
        <f t="shared" si="24"/>
        <v>46238.585917025463</v>
      </c>
      <c r="C516" s="13">
        <v>46238.585917025463</v>
      </c>
      <c r="D516" s="2" t="s">
        <v>218</v>
      </c>
      <c r="E516" s="2" t="str">
        <f t="shared" si="26"/>
        <v>Email Available</v>
      </c>
      <c r="F516" s="2" t="s">
        <v>219</v>
      </c>
      <c r="G516" s="2" t="s">
        <v>284</v>
      </c>
      <c r="H516" s="2" t="s">
        <v>23</v>
      </c>
      <c r="I516" s="2" t="s">
        <v>285</v>
      </c>
      <c r="J516" s="2">
        <v>2</v>
      </c>
      <c r="K516" s="2">
        <v>24.99</v>
      </c>
      <c r="L516" s="2" t="s">
        <v>208</v>
      </c>
      <c r="M516" s="2">
        <v>7.5</v>
      </c>
      <c r="N516" s="2">
        <v>5.99</v>
      </c>
      <c r="O516" s="2">
        <v>48.47</v>
      </c>
      <c r="P516" s="2" t="s">
        <v>51</v>
      </c>
      <c r="Q516" s="2" t="s">
        <v>90</v>
      </c>
      <c r="R516" s="2" t="s">
        <v>29</v>
      </c>
      <c r="S516" s="2" t="s">
        <v>30</v>
      </c>
      <c r="T516" s="2" t="s">
        <v>347</v>
      </c>
      <c r="U516" s="2" t="str">
        <f t="shared" si="25"/>
        <v>Valid</v>
      </c>
      <c r="V516" s="2" t="s">
        <v>1600</v>
      </c>
    </row>
    <row r="517" spans="1:22" hidden="1" x14ac:dyDescent="0.3">
      <c r="A517" s="2" t="s">
        <v>1601</v>
      </c>
      <c r="B517" s="12">
        <f t="shared" si="24"/>
        <v>46238.583853344913</v>
      </c>
      <c r="C517" s="13">
        <v>46238.583853344913</v>
      </c>
      <c r="D517" s="2" t="s">
        <v>1602</v>
      </c>
      <c r="E517" s="2" t="str">
        <f t="shared" si="26"/>
        <v>Email Available</v>
      </c>
      <c r="F517" s="2" t="s">
        <v>907</v>
      </c>
      <c r="G517" s="2" t="s">
        <v>171</v>
      </c>
      <c r="H517" s="2" t="s">
        <v>106</v>
      </c>
      <c r="I517" s="2" t="s">
        <v>172</v>
      </c>
      <c r="J517" s="2">
        <v>1</v>
      </c>
      <c r="K517" s="2">
        <v>32.99</v>
      </c>
      <c r="L517" s="2" t="s">
        <v>208</v>
      </c>
      <c r="M517" s="2" t="s">
        <v>1603</v>
      </c>
      <c r="N517" s="2">
        <v>5.99</v>
      </c>
      <c r="O517" s="2">
        <v>34.03</v>
      </c>
      <c r="P517" s="2" t="s">
        <v>68</v>
      </c>
      <c r="Q517" s="2" t="s">
        <v>28</v>
      </c>
      <c r="R517" s="2" t="s">
        <v>52</v>
      </c>
      <c r="S517" s="2" t="s">
        <v>30</v>
      </c>
      <c r="T517" s="2" t="s">
        <v>145</v>
      </c>
      <c r="U517" s="2" t="str">
        <f t="shared" si="25"/>
        <v>Valid</v>
      </c>
      <c r="V517" s="2" t="s">
        <v>1604</v>
      </c>
    </row>
    <row r="518" spans="1:22" hidden="1" x14ac:dyDescent="0.3">
      <c r="A518" s="2" t="s">
        <v>1605</v>
      </c>
      <c r="B518" s="12">
        <f t="shared" si="24"/>
        <v>46120</v>
      </c>
      <c r="C518" s="13" t="s">
        <v>142</v>
      </c>
      <c r="D518" s="2" t="s">
        <v>256</v>
      </c>
      <c r="E518" s="2" t="str">
        <f t="shared" si="26"/>
        <v>Email Available</v>
      </c>
      <c r="F518" s="2" t="s">
        <v>350</v>
      </c>
      <c r="G518" s="2" t="s">
        <v>266</v>
      </c>
      <c r="H518" s="2" t="s">
        <v>37</v>
      </c>
      <c r="I518" s="2" t="s">
        <v>267</v>
      </c>
      <c r="J518" s="2">
        <v>1</v>
      </c>
      <c r="K518" s="2" t="s">
        <v>324</v>
      </c>
      <c r="L518" s="2" t="s">
        <v>39</v>
      </c>
      <c r="M518" s="2">
        <v>0</v>
      </c>
      <c r="N518" s="2">
        <v>0</v>
      </c>
      <c r="O518" s="2">
        <v>15.49</v>
      </c>
      <c r="P518" s="2" t="s">
        <v>51</v>
      </c>
      <c r="Q518" s="2" t="s">
        <v>41</v>
      </c>
      <c r="R518" s="2" t="s">
        <v>52</v>
      </c>
      <c r="S518" s="2" t="s">
        <v>30</v>
      </c>
      <c r="T518" s="2" t="s">
        <v>294</v>
      </c>
      <c r="U518" s="2" t="str">
        <f t="shared" si="25"/>
        <v>Valid</v>
      </c>
      <c r="V518" s="2" t="s">
        <v>1606</v>
      </c>
    </row>
    <row r="519" spans="1:22" hidden="1" x14ac:dyDescent="0.3">
      <c r="A519" s="2" t="s">
        <v>1607</v>
      </c>
      <c r="B519" s="12">
        <f t="shared" si="24"/>
        <v>46238.581777106483</v>
      </c>
      <c r="C519" s="13">
        <v>46238.581777106483</v>
      </c>
      <c r="D519" s="2" t="s">
        <v>1608</v>
      </c>
      <c r="E519" s="2" t="str">
        <f t="shared" si="26"/>
        <v>Email Available</v>
      </c>
      <c r="F519" s="2" t="s">
        <v>1609</v>
      </c>
      <c r="G519" s="2" t="s">
        <v>65</v>
      </c>
      <c r="H519" s="2" t="s">
        <v>49</v>
      </c>
      <c r="I519" s="2" t="s">
        <v>66</v>
      </c>
      <c r="J519" s="2">
        <v>1</v>
      </c>
      <c r="K519" s="2">
        <v>14.99</v>
      </c>
      <c r="L519" s="2"/>
      <c r="M519" s="2">
        <v>0</v>
      </c>
      <c r="N519" s="2">
        <v>5.99</v>
      </c>
      <c r="O519" s="2">
        <v>20.98</v>
      </c>
      <c r="P519" s="2" t="s">
        <v>27</v>
      </c>
      <c r="Q519" s="2" t="s">
        <v>114</v>
      </c>
      <c r="R519" s="2" t="s">
        <v>52</v>
      </c>
      <c r="S519" s="2" t="s">
        <v>75</v>
      </c>
      <c r="T519" s="2"/>
      <c r="U519" s="2" t="str">
        <f t="shared" si="25"/>
        <v>Not Required</v>
      </c>
      <c r="V519" s="2" t="s">
        <v>1610</v>
      </c>
    </row>
    <row r="520" spans="1:22" hidden="1" x14ac:dyDescent="0.3">
      <c r="A520" s="2" t="s">
        <v>1611</v>
      </c>
      <c r="B520" s="12">
        <f t="shared" si="24"/>
        <v>46238</v>
      </c>
      <c r="C520" s="13" t="s">
        <v>148</v>
      </c>
      <c r="D520" s="2" t="s">
        <v>1612</v>
      </c>
      <c r="E520" s="2" t="str">
        <f t="shared" si="26"/>
        <v>Email Available</v>
      </c>
      <c r="F520" s="2" t="s">
        <v>1613</v>
      </c>
      <c r="G520" s="2" t="s">
        <v>241</v>
      </c>
      <c r="H520" s="2" t="s">
        <v>242</v>
      </c>
      <c r="I520" s="2" t="s">
        <v>243</v>
      </c>
      <c r="J520" s="2">
        <v>1</v>
      </c>
      <c r="K520" s="2">
        <v>27.99</v>
      </c>
      <c r="L520" s="2"/>
      <c r="M520" s="2">
        <v>0</v>
      </c>
      <c r="N520" s="2">
        <v>7.99</v>
      </c>
      <c r="O520" s="2">
        <v>35.979999999999997</v>
      </c>
      <c r="P520" s="2" t="s">
        <v>51</v>
      </c>
      <c r="Q520" s="2" t="s">
        <v>28</v>
      </c>
      <c r="R520" s="2" t="s">
        <v>52</v>
      </c>
      <c r="S520" s="2" t="s">
        <v>337</v>
      </c>
      <c r="T520" s="2"/>
      <c r="U520" s="2" t="str">
        <f t="shared" si="25"/>
        <v>Not Required</v>
      </c>
      <c r="V520" s="2" t="s">
        <v>1614</v>
      </c>
    </row>
    <row r="521" spans="1:22" hidden="1" x14ac:dyDescent="0.3">
      <c r="A521" s="2" t="s">
        <v>1615</v>
      </c>
      <c r="B521" s="12">
        <f t="shared" si="24"/>
        <v>46238.588743263892</v>
      </c>
      <c r="C521" s="13">
        <v>46238.588743263892</v>
      </c>
      <c r="D521" s="2" t="s">
        <v>1616</v>
      </c>
      <c r="E521" s="2" t="str">
        <f t="shared" si="26"/>
        <v>Email Available</v>
      </c>
      <c r="F521" s="2" t="s">
        <v>1617</v>
      </c>
      <c r="G521" s="2" t="s">
        <v>48</v>
      </c>
      <c r="H521" s="2" t="s">
        <v>49</v>
      </c>
      <c r="I521" s="2" t="s">
        <v>50</v>
      </c>
      <c r="J521" s="2">
        <v>2</v>
      </c>
      <c r="K521" s="2">
        <v>39.99</v>
      </c>
      <c r="L521" s="2" t="s">
        <v>208</v>
      </c>
      <c r="M521" s="2">
        <v>12</v>
      </c>
      <c r="N521" s="2">
        <v>0</v>
      </c>
      <c r="O521" s="2">
        <v>67.98</v>
      </c>
      <c r="P521" s="2" t="s">
        <v>27</v>
      </c>
      <c r="Q521" s="2" t="s">
        <v>28</v>
      </c>
      <c r="R521" s="2" t="s">
        <v>99</v>
      </c>
      <c r="S521" s="2" t="s">
        <v>75</v>
      </c>
      <c r="T521" s="2"/>
      <c r="U521" s="2" t="str">
        <f t="shared" si="25"/>
        <v>Not Required</v>
      </c>
      <c r="V521" s="2" t="s">
        <v>1618</v>
      </c>
    </row>
    <row r="522" spans="1:22" hidden="1" x14ac:dyDescent="0.3">
      <c r="A522" s="2" t="s">
        <v>1619</v>
      </c>
      <c r="B522" s="12">
        <f t="shared" si="24"/>
        <v>46238.581500659719</v>
      </c>
      <c r="C522" s="13">
        <v>46238.581500659719</v>
      </c>
      <c r="D522" s="2" t="s">
        <v>1353</v>
      </c>
      <c r="E522" s="2" t="str">
        <f t="shared" si="26"/>
        <v>Email Available</v>
      </c>
      <c r="F522" s="2" t="s">
        <v>724</v>
      </c>
      <c r="G522" s="2" t="s">
        <v>187</v>
      </c>
      <c r="H522" s="2" t="s">
        <v>37</v>
      </c>
      <c r="I522" s="2" t="s">
        <v>188</v>
      </c>
      <c r="J522" s="2">
        <v>1</v>
      </c>
      <c r="K522" s="2">
        <v>11.99</v>
      </c>
      <c r="L522" s="2" t="s">
        <v>25</v>
      </c>
      <c r="M522" s="2">
        <v>2.4</v>
      </c>
      <c r="N522" s="2">
        <v>5.99</v>
      </c>
      <c r="O522" s="2">
        <v>779</v>
      </c>
      <c r="P522" s="2" t="s">
        <v>68</v>
      </c>
      <c r="Q522" s="2" t="s">
        <v>114</v>
      </c>
      <c r="R522" s="2" t="s">
        <v>52</v>
      </c>
      <c r="S522" s="2" t="s">
        <v>30</v>
      </c>
      <c r="T522" s="2" t="s">
        <v>966</v>
      </c>
      <c r="U522" s="2" t="str">
        <f t="shared" si="25"/>
        <v>Valid</v>
      </c>
      <c r="V522" s="2" t="s">
        <v>1620</v>
      </c>
    </row>
    <row r="523" spans="1:22" hidden="1" x14ac:dyDescent="0.3">
      <c r="A523" s="2" t="s">
        <v>1621</v>
      </c>
      <c r="B523" s="12">
        <f t="shared" si="24"/>
        <v>46238.582296805558</v>
      </c>
      <c r="C523" s="13">
        <v>46238.582296805558</v>
      </c>
      <c r="D523" s="2" t="s">
        <v>853</v>
      </c>
      <c r="E523" s="2" t="str">
        <f t="shared" si="26"/>
        <v>Email Available</v>
      </c>
      <c r="F523" s="2" t="s">
        <v>854</v>
      </c>
      <c r="G523" s="2" t="s">
        <v>112</v>
      </c>
      <c r="H523" s="2" t="s">
        <v>81</v>
      </c>
      <c r="I523" s="2" t="s">
        <v>113</v>
      </c>
      <c r="J523" s="2">
        <v>1</v>
      </c>
      <c r="K523" s="2">
        <v>22.99</v>
      </c>
      <c r="L523" s="2" t="s">
        <v>208</v>
      </c>
      <c r="M523" s="2">
        <v>3.45</v>
      </c>
      <c r="N523" s="2">
        <v>4.99</v>
      </c>
      <c r="O523" s="2">
        <v>24.53</v>
      </c>
      <c r="P523" s="2" t="s">
        <v>68</v>
      </c>
      <c r="Q523" s="2" t="s">
        <v>28</v>
      </c>
      <c r="R523" s="2" t="s">
        <v>29</v>
      </c>
      <c r="S523" s="2" t="s">
        <v>30</v>
      </c>
      <c r="T523" s="2" t="s">
        <v>91</v>
      </c>
      <c r="U523" s="2" t="str">
        <f t="shared" si="25"/>
        <v>Valid</v>
      </c>
      <c r="V523" s="2" t="s">
        <v>1622</v>
      </c>
    </row>
    <row r="524" spans="1:22" hidden="1" x14ac:dyDescent="0.3">
      <c r="A524" s="2" t="s">
        <v>1623</v>
      </c>
      <c r="B524" s="12">
        <f t="shared" si="24"/>
        <v>46238.580820462957</v>
      </c>
      <c r="C524" s="13">
        <v>46238.580820462957</v>
      </c>
      <c r="D524" s="2" t="s">
        <v>1624</v>
      </c>
      <c r="E524" s="2" t="str">
        <f t="shared" si="26"/>
        <v>Email Available</v>
      </c>
      <c r="F524" s="2" t="s">
        <v>1445</v>
      </c>
      <c r="G524" s="2" t="s">
        <v>80</v>
      </c>
      <c r="H524" s="2" t="s">
        <v>81</v>
      </c>
      <c r="I524" s="2" t="s">
        <v>82</v>
      </c>
      <c r="J524" s="2">
        <v>3</v>
      </c>
      <c r="K524" s="2" t="s">
        <v>579</v>
      </c>
      <c r="L524" s="2"/>
      <c r="M524" s="2" t="s">
        <v>189</v>
      </c>
      <c r="N524" s="2">
        <v>0</v>
      </c>
      <c r="O524" s="2">
        <v>269.97000000000003</v>
      </c>
      <c r="P524" s="2" t="s">
        <v>74</v>
      </c>
      <c r="Q524" s="2" t="s">
        <v>28</v>
      </c>
      <c r="R524" s="2" t="s">
        <v>52</v>
      </c>
      <c r="S524" s="2" t="s">
        <v>30</v>
      </c>
      <c r="T524" s="2" t="s">
        <v>53</v>
      </c>
      <c r="U524" s="2" t="str">
        <f t="shared" si="25"/>
        <v>Valid</v>
      </c>
      <c r="V524" s="2" t="s">
        <v>1625</v>
      </c>
    </row>
    <row r="525" spans="1:22" hidden="1" x14ac:dyDescent="0.3">
      <c r="A525" s="2" t="s">
        <v>1626</v>
      </c>
      <c r="B525" s="12">
        <f t="shared" si="24"/>
        <v>46238.588469444447</v>
      </c>
      <c r="C525" s="13">
        <v>46238.588469444447</v>
      </c>
      <c r="D525" s="2" t="s">
        <v>1142</v>
      </c>
      <c r="E525" s="2" t="str">
        <f t="shared" si="26"/>
        <v>Email Available</v>
      </c>
      <c r="F525" s="2" t="s">
        <v>1143</v>
      </c>
      <c r="G525" s="2" t="s">
        <v>65</v>
      </c>
      <c r="H525" s="2" t="s">
        <v>49</v>
      </c>
      <c r="I525" s="2" t="s">
        <v>66</v>
      </c>
      <c r="J525" s="2">
        <v>1</v>
      </c>
      <c r="K525" s="2">
        <v>14.99</v>
      </c>
      <c r="L525" s="2"/>
      <c r="M525" s="2">
        <v>0</v>
      </c>
      <c r="N525" s="2">
        <v>4.99</v>
      </c>
      <c r="O525" s="2">
        <v>19.98</v>
      </c>
      <c r="P525" s="2" t="s">
        <v>27</v>
      </c>
      <c r="Q525" s="2" t="s">
        <v>41</v>
      </c>
      <c r="R525" s="2" t="s">
        <v>52</v>
      </c>
      <c r="S525" s="2" t="s">
        <v>30</v>
      </c>
      <c r="T525" s="2" t="s">
        <v>91</v>
      </c>
      <c r="U525" s="2" t="str">
        <f t="shared" si="25"/>
        <v>Valid</v>
      </c>
      <c r="V525" s="2" t="s">
        <v>1627</v>
      </c>
    </row>
    <row r="526" spans="1:22" hidden="1" x14ac:dyDescent="0.3">
      <c r="A526" s="2" t="s">
        <v>1628</v>
      </c>
      <c r="B526" s="12">
        <f t="shared" si="24"/>
        <v>46238.585831597222</v>
      </c>
      <c r="C526" s="13">
        <v>46238.585831597222</v>
      </c>
      <c r="D526" s="2" t="s">
        <v>643</v>
      </c>
      <c r="E526" s="2" t="str">
        <f t="shared" si="26"/>
        <v>Email Available</v>
      </c>
      <c r="F526" s="2" t="s">
        <v>644</v>
      </c>
      <c r="G526" s="2" t="s">
        <v>171</v>
      </c>
      <c r="H526" s="2" t="s">
        <v>106</v>
      </c>
      <c r="I526" s="2" t="s">
        <v>172</v>
      </c>
      <c r="J526" s="2">
        <v>1</v>
      </c>
      <c r="K526" s="2">
        <v>32.99</v>
      </c>
      <c r="L526" s="2" t="s">
        <v>208</v>
      </c>
      <c r="M526" s="2">
        <v>4.95</v>
      </c>
      <c r="N526" s="2">
        <v>7.99</v>
      </c>
      <c r="O526" s="2">
        <v>36.03</v>
      </c>
      <c r="P526" s="2" t="s">
        <v>40</v>
      </c>
      <c r="Q526" s="2" t="s">
        <v>41</v>
      </c>
      <c r="R526" s="2" t="s">
        <v>42</v>
      </c>
      <c r="S526" s="2" t="s">
        <v>30</v>
      </c>
      <c r="T526" s="2" t="s">
        <v>351</v>
      </c>
      <c r="U526" s="2" t="str">
        <f t="shared" si="25"/>
        <v>Valid</v>
      </c>
      <c r="V526" s="2" t="s">
        <v>1629</v>
      </c>
    </row>
    <row r="527" spans="1:22" hidden="1" x14ac:dyDescent="0.3">
      <c r="A527" s="2" t="s">
        <v>1630</v>
      </c>
      <c r="B527" s="12">
        <f t="shared" si="24"/>
        <v>46238.583044131941</v>
      </c>
      <c r="C527" s="13">
        <v>46238.583044131941</v>
      </c>
      <c r="D527" s="2" t="s">
        <v>1631</v>
      </c>
      <c r="E527" s="2" t="str">
        <f t="shared" si="26"/>
        <v>Email Available</v>
      </c>
      <c r="F527" s="2" t="s">
        <v>1632</v>
      </c>
      <c r="G527" s="2" t="s">
        <v>284</v>
      </c>
      <c r="H527" s="2" t="s">
        <v>23</v>
      </c>
      <c r="I527" s="2" t="s">
        <v>285</v>
      </c>
      <c r="J527" s="2">
        <v>1</v>
      </c>
      <c r="K527" s="2">
        <v>24.99</v>
      </c>
      <c r="L527" s="2" t="s">
        <v>67</v>
      </c>
      <c r="M527" s="2">
        <v>2.5</v>
      </c>
      <c r="N527" s="2">
        <v>7.99</v>
      </c>
      <c r="O527" s="2">
        <v>30.48</v>
      </c>
      <c r="P527" s="2" t="s">
        <v>68</v>
      </c>
      <c r="Q527" s="2" t="s">
        <v>28</v>
      </c>
      <c r="R527" s="2" t="s">
        <v>29</v>
      </c>
      <c r="S527" s="2" t="s">
        <v>30</v>
      </c>
      <c r="T527" s="2" t="s">
        <v>145</v>
      </c>
      <c r="U527" s="2" t="str">
        <f t="shared" si="25"/>
        <v>Valid</v>
      </c>
      <c r="V527" s="2" t="s">
        <v>1633</v>
      </c>
    </row>
    <row r="528" spans="1:22" hidden="1" x14ac:dyDescent="0.3">
      <c r="A528" s="2" t="s">
        <v>1634</v>
      </c>
      <c r="B528" s="12">
        <f t="shared" si="24"/>
        <v>46238.579856909717</v>
      </c>
      <c r="C528" s="13">
        <v>46238.579856909717</v>
      </c>
      <c r="D528" s="2" t="s">
        <v>181</v>
      </c>
      <c r="E528" s="2" t="str">
        <f t="shared" si="26"/>
        <v>Email Available</v>
      </c>
      <c r="F528" s="2" t="s">
        <v>182</v>
      </c>
      <c r="G528" s="2" t="s">
        <v>80</v>
      </c>
      <c r="H528" s="2" t="s">
        <v>81</v>
      </c>
      <c r="I528" s="2" t="s">
        <v>82</v>
      </c>
      <c r="J528" s="2">
        <v>2</v>
      </c>
      <c r="K528" s="2">
        <v>89.99</v>
      </c>
      <c r="L528" s="2"/>
      <c r="M528" s="2" t="s">
        <v>189</v>
      </c>
      <c r="N528" s="2">
        <v>0</v>
      </c>
      <c r="O528" s="2">
        <v>179.98</v>
      </c>
      <c r="P528" s="2" t="s">
        <v>51</v>
      </c>
      <c r="Q528" s="2" t="s">
        <v>114</v>
      </c>
      <c r="R528" s="2" t="s">
        <v>29</v>
      </c>
      <c r="S528" s="2" t="s">
        <v>30</v>
      </c>
      <c r="T528" s="2" t="s">
        <v>60</v>
      </c>
      <c r="U528" s="2" t="str">
        <f t="shared" si="25"/>
        <v>Valid</v>
      </c>
      <c r="V528" s="2" t="s">
        <v>1635</v>
      </c>
    </row>
    <row r="529" spans="1:22" hidden="1" x14ac:dyDescent="0.3">
      <c r="A529" s="2" t="s">
        <v>1636</v>
      </c>
      <c r="B529" s="12">
        <f t="shared" si="24"/>
        <v>46238.588058472233</v>
      </c>
      <c r="C529" s="13">
        <v>46238.588058472233</v>
      </c>
      <c r="D529" s="2" t="s">
        <v>662</v>
      </c>
      <c r="E529" s="2" t="str">
        <f t="shared" si="26"/>
        <v>Email Available</v>
      </c>
      <c r="F529" s="2" t="s">
        <v>663</v>
      </c>
      <c r="G529" s="2" t="s">
        <v>58</v>
      </c>
      <c r="H529" s="2" t="s">
        <v>23</v>
      </c>
      <c r="I529" s="2" t="s">
        <v>59</v>
      </c>
      <c r="J529" s="2">
        <v>2</v>
      </c>
      <c r="K529" s="2">
        <v>9.99</v>
      </c>
      <c r="L529" s="2"/>
      <c r="M529" s="2">
        <v>0</v>
      </c>
      <c r="N529" s="2">
        <v>5.99</v>
      </c>
      <c r="O529" s="2">
        <v>25.97</v>
      </c>
      <c r="P529" s="2" t="s">
        <v>68</v>
      </c>
      <c r="Q529" s="2" t="s">
        <v>90</v>
      </c>
      <c r="R529" s="2" t="s">
        <v>52</v>
      </c>
      <c r="S529" s="2" t="s">
        <v>30</v>
      </c>
      <c r="T529" s="2" t="s">
        <v>454</v>
      </c>
      <c r="U529" s="2" t="str">
        <f t="shared" si="25"/>
        <v>Valid</v>
      </c>
      <c r="V529" s="2" t="s">
        <v>1637</v>
      </c>
    </row>
    <row r="530" spans="1:22" hidden="1" x14ac:dyDescent="0.3">
      <c r="A530" s="2" t="s">
        <v>1638</v>
      </c>
      <c r="B530" s="12">
        <f t="shared" si="24"/>
        <v>46238.583183333343</v>
      </c>
      <c r="C530" s="13">
        <v>46238.583183333343</v>
      </c>
      <c r="D530" s="2" t="s">
        <v>1639</v>
      </c>
      <c r="E530" s="2" t="str">
        <f t="shared" si="26"/>
        <v>Email Available</v>
      </c>
      <c r="F530" s="2" t="s">
        <v>1640</v>
      </c>
      <c r="G530" s="2" t="s">
        <v>112</v>
      </c>
      <c r="H530" s="2" t="s">
        <v>81</v>
      </c>
      <c r="I530" s="2" t="s">
        <v>113</v>
      </c>
      <c r="J530" s="2">
        <v>1</v>
      </c>
      <c r="K530" s="2">
        <v>22.99</v>
      </c>
      <c r="L530" s="2" t="s">
        <v>25</v>
      </c>
      <c r="M530" s="2">
        <v>4.5999999999999996</v>
      </c>
      <c r="N530" s="2">
        <v>4.99</v>
      </c>
      <c r="O530" s="2">
        <v>23.38</v>
      </c>
      <c r="P530" s="2" t="s">
        <v>68</v>
      </c>
      <c r="Q530" s="2" t="s">
        <v>28</v>
      </c>
      <c r="R530" s="2" t="s">
        <v>42</v>
      </c>
      <c r="S530" s="2" t="s">
        <v>108</v>
      </c>
      <c r="T530" s="2"/>
      <c r="U530" s="2" t="str">
        <f t="shared" si="25"/>
        <v>Not Required</v>
      </c>
      <c r="V530" s="2" t="s">
        <v>1641</v>
      </c>
    </row>
    <row r="531" spans="1:22" hidden="1" x14ac:dyDescent="0.3">
      <c r="A531" s="2" t="s">
        <v>1642</v>
      </c>
      <c r="B531" s="12">
        <f t="shared" si="24"/>
        <v>46238.586105740738</v>
      </c>
      <c r="C531" s="13">
        <v>46238.586105740738</v>
      </c>
      <c r="D531" s="2" t="s">
        <v>331</v>
      </c>
      <c r="E531" s="2" t="str">
        <f t="shared" si="26"/>
        <v>Email Available</v>
      </c>
      <c r="F531" s="2" t="s">
        <v>332</v>
      </c>
      <c r="G531" s="2" t="s">
        <v>133</v>
      </c>
      <c r="H531" s="2" t="s">
        <v>106</v>
      </c>
      <c r="I531" s="2" t="s">
        <v>134</v>
      </c>
      <c r="J531" s="2">
        <v>1</v>
      </c>
      <c r="K531" s="2">
        <v>16.989999999999998</v>
      </c>
      <c r="L531" s="2"/>
      <c r="M531" s="2">
        <v>0</v>
      </c>
      <c r="N531" s="2">
        <v>7.99</v>
      </c>
      <c r="O531" s="2">
        <v>24.98</v>
      </c>
      <c r="P531" s="2" t="s">
        <v>40</v>
      </c>
      <c r="Q531" s="2" t="s">
        <v>28</v>
      </c>
      <c r="R531" s="2" t="s">
        <v>52</v>
      </c>
      <c r="S531" s="2" t="s">
        <v>30</v>
      </c>
      <c r="T531" s="2" t="s">
        <v>60</v>
      </c>
      <c r="U531" s="2" t="str">
        <f t="shared" si="25"/>
        <v>Valid</v>
      </c>
      <c r="V531" s="2" t="s">
        <v>1643</v>
      </c>
    </row>
    <row r="532" spans="1:22" hidden="1" x14ac:dyDescent="0.3">
      <c r="A532" s="2" t="s">
        <v>1644</v>
      </c>
      <c r="B532" s="12">
        <f t="shared" si="24"/>
        <v>46238.588937418979</v>
      </c>
      <c r="C532" s="13">
        <v>46238.588937418979</v>
      </c>
      <c r="D532" s="2" t="s">
        <v>1645</v>
      </c>
      <c r="E532" s="2" t="str">
        <f t="shared" si="26"/>
        <v>Email Available</v>
      </c>
      <c r="F532" s="2" t="s">
        <v>1553</v>
      </c>
      <c r="G532" s="2" t="s">
        <v>80</v>
      </c>
      <c r="H532" s="2" t="s">
        <v>81</v>
      </c>
      <c r="I532" s="2" t="s">
        <v>82</v>
      </c>
      <c r="J532" s="2">
        <v>1</v>
      </c>
      <c r="K532" s="2">
        <v>89.99</v>
      </c>
      <c r="L532" s="2" t="s">
        <v>25</v>
      </c>
      <c r="M532" s="2" t="s">
        <v>1646</v>
      </c>
      <c r="N532" s="2">
        <v>0</v>
      </c>
      <c r="O532" s="2">
        <v>71.989999999999995</v>
      </c>
      <c r="P532" s="2" t="s">
        <v>68</v>
      </c>
      <c r="Q532" s="2" t="s">
        <v>28</v>
      </c>
      <c r="R532" s="2" t="s">
        <v>42</v>
      </c>
      <c r="S532" s="2" t="s">
        <v>75</v>
      </c>
      <c r="T532" s="2"/>
      <c r="U532" s="2" t="str">
        <f t="shared" si="25"/>
        <v>Not Required</v>
      </c>
      <c r="V532" s="2" t="s">
        <v>1647</v>
      </c>
    </row>
    <row r="533" spans="1:22" hidden="1" x14ac:dyDescent="0.3">
      <c r="A533" s="2" t="s">
        <v>1648</v>
      </c>
      <c r="B533" s="12">
        <f t="shared" si="24"/>
        <v>46238.584768506953</v>
      </c>
      <c r="C533" s="13">
        <v>46238.584768506953</v>
      </c>
      <c r="D533" s="2" t="s">
        <v>993</v>
      </c>
      <c r="E533" s="2" t="str">
        <f t="shared" si="26"/>
        <v>Email Available</v>
      </c>
      <c r="F533" s="2" t="s">
        <v>678</v>
      </c>
      <c r="G533" s="2" t="s">
        <v>241</v>
      </c>
      <c r="H533" s="2" t="s">
        <v>242</v>
      </c>
      <c r="I533" s="2" t="s">
        <v>243</v>
      </c>
      <c r="J533" s="2">
        <v>1</v>
      </c>
      <c r="K533" s="2">
        <v>27.99</v>
      </c>
      <c r="L533" s="2"/>
      <c r="M533" s="2">
        <v>0</v>
      </c>
      <c r="N533" s="2">
        <v>4.99</v>
      </c>
      <c r="O533" s="2">
        <v>32.979999999999997</v>
      </c>
      <c r="P533" s="2" t="s">
        <v>40</v>
      </c>
      <c r="Q533" s="2" t="s">
        <v>28</v>
      </c>
      <c r="R533" s="2" t="s">
        <v>52</v>
      </c>
      <c r="S533" s="2" t="s">
        <v>30</v>
      </c>
      <c r="T533" s="2" t="s">
        <v>966</v>
      </c>
      <c r="U533" s="2" t="str">
        <f t="shared" si="25"/>
        <v>Valid</v>
      </c>
      <c r="V533" s="2" t="s">
        <v>1649</v>
      </c>
    </row>
    <row r="534" spans="1:22" hidden="1" x14ac:dyDescent="0.3">
      <c r="A534" s="2" t="s">
        <v>1650</v>
      </c>
      <c r="B534" s="12">
        <f t="shared" si="24"/>
        <v>46238.582413784723</v>
      </c>
      <c r="C534" s="13">
        <v>46238.582413784723</v>
      </c>
      <c r="D534" s="2" t="s">
        <v>1193</v>
      </c>
      <c r="E534" s="2" t="str">
        <f t="shared" si="26"/>
        <v>Email Available</v>
      </c>
      <c r="F534" s="2" t="s">
        <v>1194</v>
      </c>
      <c r="G534" s="2" t="s">
        <v>87</v>
      </c>
      <c r="H534" s="2" t="s">
        <v>88</v>
      </c>
      <c r="I534" s="2" t="s">
        <v>89</v>
      </c>
      <c r="J534" s="2">
        <v>1</v>
      </c>
      <c r="K534" s="2">
        <v>54.99</v>
      </c>
      <c r="L534" s="2" t="s">
        <v>121</v>
      </c>
      <c r="M534" s="2">
        <v>13.75</v>
      </c>
      <c r="N534" s="2">
        <v>4.99</v>
      </c>
      <c r="O534" s="2">
        <v>46.23</v>
      </c>
      <c r="P534" s="2" t="s">
        <v>40</v>
      </c>
      <c r="Q534" s="2" t="s">
        <v>28</v>
      </c>
      <c r="R534" s="2" t="s">
        <v>99</v>
      </c>
      <c r="S534" s="2" t="s">
        <v>30</v>
      </c>
      <c r="T534" s="2" t="s">
        <v>939</v>
      </c>
      <c r="U534" s="2" t="str">
        <f t="shared" si="25"/>
        <v>Valid</v>
      </c>
      <c r="V534" s="2" t="s">
        <v>1651</v>
      </c>
    </row>
    <row r="535" spans="1:22" hidden="1" x14ac:dyDescent="0.3">
      <c r="A535" s="2" t="s">
        <v>1652</v>
      </c>
      <c r="B535" s="12">
        <f t="shared" si="24"/>
        <v>46238.584837476847</v>
      </c>
      <c r="C535" s="13">
        <v>46238.584837476847</v>
      </c>
      <c r="D535" s="2" t="s">
        <v>1653</v>
      </c>
      <c r="E535" s="2" t="str">
        <f t="shared" si="26"/>
        <v>Email Available</v>
      </c>
      <c r="F535" s="2" t="s">
        <v>1654</v>
      </c>
      <c r="G535" s="2" t="s">
        <v>127</v>
      </c>
      <c r="H535" s="2" t="s">
        <v>81</v>
      </c>
      <c r="I535" s="2" t="s">
        <v>128</v>
      </c>
      <c r="J535" s="2">
        <v>1</v>
      </c>
      <c r="K535" s="2">
        <v>13.99</v>
      </c>
      <c r="L535" s="2" t="s">
        <v>67</v>
      </c>
      <c r="M535" s="2" t="s">
        <v>1655</v>
      </c>
      <c r="N535" s="2">
        <v>4.99</v>
      </c>
      <c r="O535" s="2">
        <v>17.579999999999998</v>
      </c>
      <c r="P535" s="2" t="s">
        <v>40</v>
      </c>
      <c r="Q535" s="2" t="s">
        <v>28</v>
      </c>
      <c r="R535" s="2" t="s">
        <v>52</v>
      </c>
      <c r="S535" s="2" t="s">
        <v>228</v>
      </c>
      <c r="T535" s="2"/>
      <c r="U535" s="2" t="str">
        <f t="shared" si="25"/>
        <v>Not Required</v>
      </c>
      <c r="V535" s="2" t="s">
        <v>1656</v>
      </c>
    </row>
    <row r="536" spans="1:22" hidden="1" x14ac:dyDescent="0.3">
      <c r="A536" s="2" t="s">
        <v>1657</v>
      </c>
      <c r="B536" s="12">
        <f t="shared" si="24"/>
        <v>46238.586425914349</v>
      </c>
      <c r="C536" s="13">
        <v>46238.586425914349</v>
      </c>
      <c r="D536" s="2" t="s">
        <v>448</v>
      </c>
      <c r="E536" s="2" t="str">
        <f t="shared" si="26"/>
        <v>Email Available</v>
      </c>
      <c r="F536" s="2" t="s">
        <v>449</v>
      </c>
      <c r="G536" s="2" t="s">
        <v>241</v>
      </c>
      <c r="H536" s="2" t="s">
        <v>242</v>
      </c>
      <c r="I536" s="2" t="s">
        <v>243</v>
      </c>
      <c r="J536" s="2">
        <v>1</v>
      </c>
      <c r="K536" s="2" t="s">
        <v>1532</v>
      </c>
      <c r="L536" s="2"/>
      <c r="M536" s="2">
        <v>0</v>
      </c>
      <c r="N536" s="2">
        <v>5.99</v>
      </c>
      <c r="O536" s="2" t="s">
        <v>1658</v>
      </c>
      <c r="P536" s="2" t="s">
        <v>51</v>
      </c>
      <c r="Q536" s="2" t="s">
        <v>28</v>
      </c>
      <c r="R536" s="2" t="s">
        <v>42</v>
      </c>
      <c r="S536" s="2" t="s">
        <v>30</v>
      </c>
      <c r="T536" s="2" t="s">
        <v>31</v>
      </c>
      <c r="U536" s="2" t="str">
        <f t="shared" si="25"/>
        <v>Valid</v>
      </c>
      <c r="V536" s="2" t="s">
        <v>1659</v>
      </c>
    </row>
    <row r="537" spans="1:22" hidden="1" x14ac:dyDescent="0.3">
      <c r="A537" s="2" t="s">
        <v>1663</v>
      </c>
      <c r="B537" s="12">
        <f t="shared" si="24"/>
        <v>46238.588320625</v>
      </c>
      <c r="C537" s="13">
        <v>46238.588320625</v>
      </c>
      <c r="D537" s="2" t="s">
        <v>971</v>
      </c>
      <c r="E537" s="2" t="str">
        <f t="shared" si="26"/>
        <v>Email Available</v>
      </c>
      <c r="F537" s="2" t="s">
        <v>972</v>
      </c>
      <c r="G537" s="2" t="s">
        <v>368</v>
      </c>
      <c r="H537" s="2" t="s">
        <v>88</v>
      </c>
      <c r="I537" s="2" t="s">
        <v>369</v>
      </c>
      <c r="J537" s="2">
        <v>1</v>
      </c>
      <c r="K537" s="2">
        <v>54.99</v>
      </c>
      <c r="L537" s="2"/>
      <c r="M537" s="2">
        <v>0</v>
      </c>
      <c r="N537" s="2">
        <v>5.99</v>
      </c>
      <c r="O537" s="2">
        <v>60.98</v>
      </c>
      <c r="P537" s="2" t="s">
        <v>40</v>
      </c>
      <c r="Q537" s="2" t="s">
        <v>90</v>
      </c>
      <c r="R537" s="2" t="s">
        <v>29</v>
      </c>
      <c r="S537" s="2" t="s">
        <v>337</v>
      </c>
      <c r="T537" s="2"/>
      <c r="U537" s="2" t="str">
        <f t="shared" si="25"/>
        <v>Not Required</v>
      </c>
      <c r="V537" s="2" t="s">
        <v>1664</v>
      </c>
    </row>
    <row r="538" spans="1:22" hidden="1" x14ac:dyDescent="0.3">
      <c r="A538" s="2" t="s">
        <v>1665</v>
      </c>
      <c r="B538" s="12">
        <f t="shared" si="24"/>
        <v>46238.582700798608</v>
      </c>
      <c r="C538" s="13">
        <v>46238.582700798608</v>
      </c>
      <c r="D538" s="2" t="s">
        <v>412</v>
      </c>
      <c r="E538" s="2" t="str">
        <f t="shared" si="26"/>
        <v>Email Available</v>
      </c>
      <c r="F538" s="2" t="s">
        <v>413</v>
      </c>
      <c r="G538" s="2" t="s">
        <v>171</v>
      </c>
      <c r="H538" s="2" t="s">
        <v>106</v>
      </c>
      <c r="I538" s="2" t="s">
        <v>172</v>
      </c>
      <c r="J538" s="2">
        <v>1</v>
      </c>
      <c r="K538" s="2">
        <v>32.99</v>
      </c>
      <c r="L538" s="2"/>
      <c r="M538" s="2">
        <v>0</v>
      </c>
      <c r="N538" s="2">
        <v>4.99</v>
      </c>
      <c r="O538" s="2">
        <v>37.979999999999997</v>
      </c>
      <c r="P538" s="2" t="s">
        <v>51</v>
      </c>
      <c r="Q538" s="2" t="s">
        <v>28</v>
      </c>
      <c r="R538" s="2" t="s">
        <v>52</v>
      </c>
      <c r="S538" s="2" t="s">
        <v>30</v>
      </c>
      <c r="T538" s="2" t="s">
        <v>966</v>
      </c>
      <c r="U538" s="2" t="str">
        <f t="shared" si="25"/>
        <v>Valid</v>
      </c>
      <c r="V538" s="2" t="s">
        <v>1666</v>
      </c>
    </row>
    <row r="539" spans="1:22" hidden="1" x14ac:dyDescent="0.3">
      <c r="A539" s="2" t="s">
        <v>1667</v>
      </c>
      <c r="B539" s="12">
        <f t="shared" si="24"/>
        <v>46238.581285185188</v>
      </c>
      <c r="C539" s="13">
        <v>46238.581285185188</v>
      </c>
      <c r="D539" s="2" t="s">
        <v>1616</v>
      </c>
      <c r="E539" s="2" t="str">
        <f t="shared" si="26"/>
        <v>Email Available</v>
      </c>
      <c r="F539" s="2" t="s">
        <v>1617</v>
      </c>
      <c r="G539" s="2" t="s">
        <v>36</v>
      </c>
      <c r="H539" s="2" t="s">
        <v>37</v>
      </c>
      <c r="I539" s="2" t="s">
        <v>38</v>
      </c>
      <c r="J539" s="2">
        <v>1</v>
      </c>
      <c r="K539" s="2">
        <v>21.99</v>
      </c>
      <c r="L539" s="2"/>
      <c r="M539" s="2">
        <v>0</v>
      </c>
      <c r="N539" s="2">
        <v>7.99</v>
      </c>
      <c r="O539" s="2">
        <v>29.98</v>
      </c>
      <c r="P539" s="2" t="s">
        <v>40</v>
      </c>
      <c r="Q539" s="2" t="s">
        <v>90</v>
      </c>
      <c r="R539" s="2" t="s">
        <v>99</v>
      </c>
      <c r="S539" s="2" t="s">
        <v>75</v>
      </c>
      <c r="T539" s="2"/>
      <c r="U539" s="2" t="str">
        <f t="shared" si="25"/>
        <v>Not Required</v>
      </c>
      <c r="V539" s="2" t="s">
        <v>1668</v>
      </c>
    </row>
    <row r="540" spans="1:22" hidden="1" x14ac:dyDescent="0.3">
      <c r="A540" s="2" t="s">
        <v>1669</v>
      </c>
      <c r="B540" s="12">
        <f t="shared" si="24"/>
        <v>46238.586651469908</v>
      </c>
      <c r="C540" s="13">
        <v>46238.586651469908</v>
      </c>
      <c r="D540" s="2" t="s">
        <v>1670</v>
      </c>
      <c r="E540" s="2" t="str">
        <f t="shared" si="26"/>
        <v>Email Available</v>
      </c>
      <c r="F540" s="2" t="s">
        <v>1671</v>
      </c>
      <c r="G540" s="2" t="s">
        <v>58</v>
      </c>
      <c r="H540" s="2" t="s">
        <v>23</v>
      </c>
      <c r="I540" s="2" t="s">
        <v>59</v>
      </c>
      <c r="J540" s="2">
        <v>1</v>
      </c>
      <c r="K540" s="2">
        <v>9.99</v>
      </c>
      <c r="L540" s="2"/>
      <c r="M540" s="2">
        <v>0</v>
      </c>
      <c r="N540" s="2">
        <v>4.99</v>
      </c>
      <c r="O540" s="2">
        <v>14.98</v>
      </c>
      <c r="P540" s="2" t="s">
        <v>27</v>
      </c>
      <c r="Q540" s="2" t="s">
        <v>41</v>
      </c>
      <c r="R540" s="2" t="s">
        <v>99</v>
      </c>
      <c r="S540" s="2" t="s">
        <v>30</v>
      </c>
      <c r="T540" s="2" t="s">
        <v>53</v>
      </c>
      <c r="U540" s="2" t="str">
        <f t="shared" si="25"/>
        <v>Valid</v>
      </c>
      <c r="V540" s="2" t="s">
        <v>1672</v>
      </c>
    </row>
    <row r="541" spans="1:22" hidden="1" x14ac:dyDescent="0.3">
      <c r="A541" s="2" t="s">
        <v>1673</v>
      </c>
      <c r="B541" s="12">
        <f t="shared" si="24"/>
        <v>46238.585685370374</v>
      </c>
      <c r="C541" s="13">
        <v>46238.585685370374</v>
      </c>
      <c r="D541" s="2" t="s">
        <v>681</v>
      </c>
      <c r="E541" s="2" t="str">
        <f t="shared" si="26"/>
        <v>Email Available</v>
      </c>
      <c r="F541" s="2" t="s">
        <v>682</v>
      </c>
      <c r="G541" s="2" t="s">
        <v>157</v>
      </c>
      <c r="H541" s="2" t="s">
        <v>37</v>
      </c>
      <c r="I541" s="2" t="s">
        <v>158</v>
      </c>
      <c r="J541" s="2">
        <v>1</v>
      </c>
      <c r="K541" s="2">
        <v>29.99</v>
      </c>
      <c r="L541" s="2"/>
      <c r="M541" s="2">
        <v>0</v>
      </c>
      <c r="N541" s="2">
        <v>5.99</v>
      </c>
      <c r="O541" s="2">
        <v>35.979999999999997</v>
      </c>
      <c r="P541" s="2" t="s">
        <v>74</v>
      </c>
      <c r="Q541" s="2" t="s">
        <v>28</v>
      </c>
      <c r="R541" s="2" t="s">
        <v>99</v>
      </c>
      <c r="S541" s="2" t="s">
        <v>75</v>
      </c>
      <c r="T541" s="2"/>
      <c r="U541" s="2" t="str">
        <f t="shared" si="25"/>
        <v>Not Required</v>
      </c>
      <c r="V541" s="2" t="s">
        <v>1674</v>
      </c>
    </row>
    <row r="542" spans="1:22" hidden="1" x14ac:dyDescent="0.3">
      <c r="A542" s="2" t="s">
        <v>1675</v>
      </c>
      <c r="B542" s="12">
        <f t="shared" si="24"/>
        <v>46238</v>
      </c>
      <c r="C542" s="13" t="s">
        <v>344</v>
      </c>
      <c r="D542" s="2" t="s">
        <v>1676</v>
      </c>
      <c r="E542" s="2" t="str">
        <f t="shared" si="26"/>
        <v>Email Available</v>
      </c>
      <c r="F542" s="2" t="s">
        <v>1677</v>
      </c>
      <c r="G542" s="2" t="s">
        <v>368</v>
      </c>
      <c r="H542" s="2" t="s">
        <v>88</v>
      </c>
      <c r="I542" s="2" t="s">
        <v>369</v>
      </c>
      <c r="J542" s="2">
        <v>1</v>
      </c>
      <c r="K542" s="2">
        <v>54.99</v>
      </c>
      <c r="L542" s="2"/>
      <c r="M542" s="2">
        <v>0</v>
      </c>
      <c r="N542" s="2">
        <v>4.99</v>
      </c>
      <c r="O542" s="2">
        <v>2999</v>
      </c>
      <c r="P542" s="2" t="s">
        <v>40</v>
      </c>
      <c r="Q542" s="2" t="s">
        <v>28</v>
      </c>
      <c r="R542" s="2" t="s">
        <v>52</v>
      </c>
      <c r="S542" s="2" t="s">
        <v>30</v>
      </c>
      <c r="T542" s="2" t="s">
        <v>91</v>
      </c>
      <c r="U542" s="2" t="str">
        <f t="shared" si="25"/>
        <v>Valid</v>
      </c>
      <c r="V542" s="2" t="s">
        <v>1678</v>
      </c>
    </row>
    <row r="543" spans="1:22" hidden="1" x14ac:dyDescent="0.3">
      <c r="A543" s="2" t="s">
        <v>1679</v>
      </c>
      <c r="B543" s="12">
        <f t="shared" si="24"/>
        <v>46238.580755312498</v>
      </c>
      <c r="C543" s="13">
        <v>46238.580755312498</v>
      </c>
      <c r="D543" s="2" t="s">
        <v>181</v>
      </c>
      <c r="E543" s="2" t="str">
        <f t="shared" si="26"/>
        <v>Email Available</v>
      </c>
      <c r="F543" s="2" t="s">
        <v>182</v>
      </c>
      <c r="G543" s="2" t="s">
        <v>58</v>
      </c>
      <c r="H543" s="2" t="s">
        <v>23</v>
      </c>
      <c r="I543" s="2" t="s">
        <v>59</v>
      </c>
      <c r="J543" s="2">
        <v>1</v>
      </c>
      <c r="K543" s="2">
        <v>9.99</v>
      </c>
      <c r="L543" s="2" t="s">
        <v>25</v>
      </c>
      <c r="M543" s="2">
        <v>2</v>
      </c>
      <c r="N543" s="2">
        <v>7.99</v>
      </c>
      <c r="O543" s="2">
        <v>15.98</v>
      </c>
      <c r="P543" s="2" t="s">
        <v>51</v>
      </c>
      <c r="Q543" s="2" t="s">
        <v>28</v>
      </c>
      <c r="R543" s="2" t="s">
        <v>52</v>
      </c>
      <c r="S543" s="2" t="s">
        <v>30</v>
      </c>
      <c r="T543" s="2" t="s">
        <v>75</v>
      </c>
      <c r="U543" s="2" t="str">
        <f t="shared" si="25"/>
        <v>Valid</v>
      </c>
      <c r="V543" s="2" t="s">
        <v>1680</v>
      </c>
    </row>
    <row r="544" spans="1:22" hidden="1" x14ac:dyDescent="0.3">
      <c r="A544" s="2" t="s">
        <v>1681</v>
      </c>
      <c r="B544" s="12">
        <f t="shared" si="24"/>
        <v>46238.581202800917</v>
      </c>
      <c r="C544" s="13">
        <v>46238.581202800917</v>
      </c>
      <c r="D544" s="2" t="s">
        <v>354</v>
      </c>
      <c r="E544" s="2" t="str">
        <f t="shared" si="26"/>
        <v>Email Available</v>
      </c>
      <c r="F544" s="2" t="s">
        <v>355</v>
      </c>
      <c r="G544" s="2" t="s">
        <v>151</v>
      </c>
      <c r="H544" s="2" t="s">
        <v>49</v>
      </c>
      <c r="I544" s="2" t="s">
        <v>152</v>
      </c>
      <c r="J544" s="2">
        <v>2</v>
      </c>
      <c r="K544" s="2">
        <v>34.99</v>
      </c>
      <c r="L544" s="2"/>
      <c r="M544" s="2">
        <v>0</v>
      </c>
      <c r="N544" s="2">
        <v>7.99</v>
      </c>
      <c r="O544" s="2">
        <v>77.97</v>
      </c>
      <c r="P544" s="2" t="s">
        <v>68</v>
      </c>
      <c r="Q544" s="2" t="s">
        <v>114</v>
      </c>
      <c r="R544" s="2" t="s">
        <v>42</v>
      </c>
      <c r="S544" s="2" t="s">
        <v>228</v>
      </c>
      <c r="T544" s="2"/>
      <c r="U544" s="2" t="str">
        <f t="shared" si="25"/>
        <v>Not Required</v>
      </c>
      <c r="V544" s="2" t="s">
        <v>1682</v>
      </c>
    </row>
    <row r="545" spans="1:22" hidden="1" x14ac:dyDescent="0.3">
      <c r="A545" s="2" t="s">
        <v>1685</v>
      </c>
      <c r="B545" s="12">
        <f t="shared" si="24"/>
        <v>46238.584400949083</v>
      </c>
      <c r="C545" s="13">
        <v>46238.584400949083</v>
      </c>
      <c r="D545" s="2" t="s">
        <v>565</v>
      </c>
      <c r="E545" s="2" t="str">
        <f t="shared" si="26"/>
        <v>Email Available</v>
      </c>
      <c r="F545" s="2" t="s">
        <v>566</v>
      </c>
      <c r="G545" s="2" t="s">
        <v>266</v>
      </c>
      <c r="H545" s="2" t="s">
        <v>37</v>
      </c>
      <c r="I545" s="2" t="s">
        <v>267</v>
      </c>
      <c r="J545" s="2">
        <v>2</v>
      </c>
      <c r="K545" s="2">
        <v>15.49</v>
      </c>
      <c r="L545" s="2" t="s">
        <v>25</v>
      </c>
      <c r="M545" s="2">
        <v>6.2</v>
      </c>
      <c r="N545" s="2">
        <v>5.99</v>
      </c>
      <c r="O545" s="2">
        <v>30.77</v>
      </c>
      <c r="P545" s="2" t="s">
        <v>74</v>
      </c>
      <c r="Q545" s="2" t="s">
        <v>90</v>
      </c>
      <c r="R545" s="2" t="s">
        <v>29</v>
      </c>
      <c r="S545" s="2" t="s">
        <v>43</v>
      </c>
      <c r="T545" s="2"/>
      <c r="U545" s="2" t="str">
        <f t="shared" si="25"/>
        <v>Not Required</v>
      </c>
      <c r="V545" s="2" t="s">
        <v>1686</v>
      </c>
    </row>
    <row r="546" spans="1:22" x14ac:dyDescent="0.3">
      <c r="A546" s="2" t="s">
        <v>1687</v>
      </c>
      <c r="B546" s="12">
        <f t="shared" si="24"/>
        <v>46238.581196851846</v>
      </c>
      <c r="C546" s="13">
        <v>46238.581196851846</v>
      </c>
      <c r="D546" s="2" t="s">
        <v>1290</v>
      </c>
      <c r="E546" s="2" t="str">
        <f t="shared" si="26"/>
        <v>Missing Email</v>
      </c>
      <c r="F546" s="2"/>
      <c r="G546" s="2" t="s">
        <v>112</v>
      </c>
      <c r="H546" s="2" t="s">
        <v>81</v>
      </c>
      <c r="I546" s="2" t="s">
        <v>113</v>
      </c>
      <c r="J546" s="2">
        <v>1</v>
      </c>
      <c r="K546" s="2">
        <v>22.99</v>
      </c>
      <c r="L546" s="2" t="s">
        <v>25</v>
      </c>
      <c r="M546" s="2">
        <v>4.5999999999999996</v>
      </c>
      <c r="N546" s="2">
        <v>5.99</v>
      </c>
      <c r="O546" s="2">
        <v>24.38</v>
      </c>
      <c r="P546" s="2" t="s">
        <v>27</v>
      </c>
      <c r="Q546" s="2" t="s">
        <v>28</v>
      </c>
      <c r="R546" s="2" t="s">
        <v>99</v>
      </c>
      <c r="S546" s="2" t="s">
        <v>75</v>
      </c>
      <c r="T546" s="2"/>
      <c r="U546" s="2" t="str">
        <f t="shared" si="25"/>
        <v>Not Required</v>
      </c>
      <c r="V546" s="2" t="s">
        <v>1688</v>
      </c>
    </row>
    <row r="547" spans="1:22" hidden="1" x14ac:dyDescent="0.3">
      <c r="A547" s="2" t="s">
        <v>1689</v>
      </c>
      <c r="B547" s="12">
        <f t="shared" si="24"/>
        <v>46238.581001770843</v>
      </c>
      <c r="C547" s="13">
        <v>46238.581001770843</v>
      </c>
      <c r="D547" s="2" t="s">
        <v>1526</v>
      </c>
      <c r="E547" s="2" t="str">
        <f t="shared" si="26"/>
        <v>Email Available</v>
      </c>
      <c r="F547" s="2" t="s">
        <v>1527</v>
      </c>
      <c r="G547" s="2" t="s">
        <v>195</v>
      </c>
      <c r="H547" s="2" t="s">
        <v>196</v>
      </c>
      <c r="I547" s="2" t="s">
        <v>197</v>
      </c>
      <c r="J547" s="2">
        <v>3</v>
      </c>
      <c r="K547" s="2">
        <v>13.49</v>
      </c>
      <c r="L547" s="2" t="s">
        <v>25</v>
      </c>
      <c r="M547" s="2">
        <v>8.09</v>
      </c>
      <c r="N547" s="2">
        <v>5.99</v>
      </c>
      <c r="O547" s="2">
        <v>38.369999999999997</v>
      </c>
      <c r="P547" s="2" t="s">
        <v>40</v>
      </c>
      <c r="Q547" s="2" t="s">
        <v>41</v>
      </c>
      <c r="R547" s="2" t="s">
        <v>52</v>
      </c>
      <c r="S547" s="2" t="s">
        <v>108</v>
      </c>
      <c r="T547" s="2"/>
      <c r="U547" s="2" t="str">
        <f t="shared" si="25"/>
        <v>Not Required</v>
      </c>
      <c r="V547" s="2" t="s">
        <v>1690</v>
      </c>
    </row>
    <row r="548" spans="1:22" hidden="1" x14ac:dyDescent="0.3">
      <c r="A548" s="2" t="s">
        <v>1691</v>
      </c>
      <c r="B548" s="12">
        <f t="shared" si="24"/>
        <v>46238.583976608803</v>
      </c>
      <c r="C548" s="13">
        <v>46238.583976608803</v>
      </c>
      <c r="D548" s="2" t="s">
        <v>335</v>
      </c>
      <c r="E548" s="2" t="str">
        <f t="shared" si="26"/>
        <v>Email Available</v>
      </c>
      <c r="F548" s="2" t="s">
        <v>336</v>
      </c>
      <c r="G548" s="2" t="s">
        <v>105</v>
      </c>
      <c r="H548" s="2" t="s">
        <v>106</v>
      </c>
      <c r="I548" s="2" t="s">
        <v>107</v>
      </c>
      <c r="J548" s="2">
        <v>1</v>
      </c>
      <c r="K548" s="2">
        <v>19.989999999999998</v>
      </c>
      <c r="L548" s="2" t="s">
        <v>67</v>
      </c>
      <c r="M548" s="2">
        <v>2</v>
      </c>
      <c r="N548" s="2">
        <v>7.99</v>
      </c>
      <c r="O548" s="2">
        <v>25.98</v>
      </c>
      <c r="P548" s="2" t="s">
        <v>68</v>
      </c>
      <c r="Q548" s="2" t="s">
        <v>114</v>
      </c>
      <c r="R548" s="2" t="s">
        <v>52</v>
      </c>
      <c r="S548" s="2" t="s">
        <v>337</v>
      </c>
      <c r="T548" s="2"/>
      <c r="U548" s="2" t="str">
        <f t="shared" si="25"/>
        <v>Not Required</v>
      </c>
      <c r="V548" s="2" t="s">
        <v>1692</v>
      </c>
    </row>
    <row r="549" spans="1:22" hidden="1" x14ac:dyDescent="0.3">
      <c r="A549" s="2" t="s">
        <v>1693</v>
      </c>
      <c r="B549" s="12">
        <f t="shared" si="24"/>
        <v>46238.588188009257</v>
      </c>
      <c r="C549" s="13">
        <v>46238.588188009257</v>
      </c>
      <c r="D549" s="2" t="s">
        <v>881</v>
      </c>
      <c r="E549" s="2" t="str">
        <f t="shared" si="26"/>
        <v>Email Available</v>
      </c>
      <c r="F549" s="2" t="s">
        <v>882</v>
      </c>
      <c r="G549" s="2" t="s">
        <v>266</v>
      </c>
      <c r="H549" s="2" t="s">
        <v>37</v>
      </c>
      <c r="I549" s="2" t="s">
        <v>267</v>
      </c>
      <c r="J549" s="2">
        <v>1</v>
      </c>
      <c r="K549" s="2">
        <v>15.49</v>
      </c>
      <c r="L549" s="2"/>
      <c r="M549" s="2" t="s">
        <v>189</v>
      </c>
      <c r="N549" s="2">
        <v>7.99</v>
      </c>
      <c r="O549" s="2">
        <v>23.48</v>
      </c>
      <c r="P549" s="2" t="s">
        <v>27</v>
      </c>
      <c r="Q549" s="2" t="s">
        <v>114</v>
      </c>
      <c r="R549" s="2" t="s">
        <v>99</v>
      </c>
      <c r="S549" s="2" t="s">
        <v>30</v>
      </c>
      <c r="T549" s="2" t="s">
        <v>69</v>
      </c>
      <c r="U549" s="2" t="str">
        <f t="shared" si="25"/>
        <v>Valid</v>
      </c>
      <c r="V549" s="2" t="s">
        <v>1694</v>
      </c>
    </row>
    <row r="550" spans="1:22" hidden="1" x14ac:dyDescent="0.3">
      <c r="A550" s="2" t="s">
        <v>1695</v>
      </c>
      <c r="B550" s="12">
        <f t="shared" si="24"/>
        <v>46238</v>
      </c>
      <c r="C550" s="13" t="s">
        <v>344</v>
      </c>
      <c r="D550" s="2" t="s">
        <v>1294</v>
      </c>
      <c r="E550" s="2" t="str">
        <f t="shared" si="26"/>
        <v>Email Available</v>
      </c>
      <c r="F550" s="2" t="s">
        <v>1275</v>
      </c>
      <c r="G550" s="2" t="s">
        <v>206</v>
      </c>
      <c r="H550" s="2" t="s">
        <v>196</v>
      </c>
      <c r="I550" s="2" t="s">
        <v>207</v>
      </c>
      <c r="J550" s="2">
        <v>2</v>
      </c>
      <c r="K550" s="2" t="s">
        <v>1229</v>
      </c>
      <c r="L550" s="2"/>
      <c r="M550" s="2">
        <v>0</v>
      </c>
      <c r="N550" s="2">
        <v>5.99</v>
      </c>
      <c r="O550" s="2">
        <v>55.97</v>
      </c>
      <c r="P550" s="2" t="s">
        <v>68</v>
      </c>
      <c r="Q550" s="2" t="s">
        <v>41</v>
      </c>
      <c r="R550" s="2" t="s">
        <v>29</v>
      </c>
      <c r="S550" s="2" t="s">
        <v>108</v>
      </c>
      <c r="T550" s="2"/>
      <c r="U550" s="2" t="str">
        <f t="shared" si="25"/>
        <v>Not Required</v>
      </c>
      <c r="V550" s="2" t="s">
        <v>1696</v>
      </c>
    </row>
    <row r="551" spans="1:22" hidden="1" x14ac:dyDescent="0.3">
      <c r="A551" s="2" t="s">
        <v>1697</v>
      </c>
      <c r="B551" s="12">
        <f t="shared" si="24"/>
        <v>46238.581901273152</v>
      </c>
      <c r="C551" s="13">
        <v>46238.581901273152</v>
      </c>
      <c r="D551" s="2" t="s">
        <v>1698</v>
      </c>
      <c r="E551" s="2" t="str">
        <f t="shared" si="26"/>
        <v>Email Available</v>
      </c>
      <c r="F551" s="2" t="s">
        <v>1699</v>
      </c>
      <c r="G551" s="2" t="s">
        <v>368</v>
      </c>
      <c r="H551" s="2" t="s">
        <v>88</v>
      </c>
      <c r="I551" s="2" t="s">
        <v>369</v>
      </c>
      <c r="J551" s="2">
        <v>2</v>
      </c>
      <c r="K551" s="2">
        <v>54.99</v>
      </c>
      <c r="L551" s="2" t="s">
        <v>208</v>
      </c>
      <c r="M551" s="2">
        <v>16.5</v>
      </c>
      <c r="N551" s="2">
        <v>0</v>
      </c>
      <c r="O551" s="2">
        <v>93.48</v>
      </c>
      <c r="P551" s="2" t="s">
        <v>68</v>
      </c>
      <c r="Q551" s="2" t="s">
        <v>90</v>
      </c>
      <c r="R551" s="2" t="s">
        <v>29</v>
      </c>
      <c r="S551" s="2" t="s">
        <v>228</v>
      </c>
      <c r="T551" s="2"/>
      <c r="U551" s="2" t="str">
        <f t="shared" si="25"/>
        <v>Not Required</v>
      </c>
      <c r="V551" s="2" t="s">
        <v>1700</v>
      </c>
    </row>
    <row r="552" spans="1:22" hidden="1" x14ac:dyDescent="0.3">
      <c r="A552" s="2" t="s">
        <v>1701</v>
      </c>
      <c r="B552" s="12">
        <f t="shared" si="24"/>
        <v>46238.58628304398</v>
      </c>
      <c r="C552" s="13">
        <v>46238.58628304398</v>
      </c>
      <c r="D552" s="2" t="s">
        <v>718</v>
      </c>
      <c r="E552" s="2" t="str">
        <f t="shared" si="26"/>
        <v>Email Available</v>
      </c>
      <c r="F552" s="2" t="s">
        <v>719</v>
      </c>
      <c r="G552" s="2" t="s">
        <v>80</v>
      </c>
      <c r="H552" s="2" t="s">
        <v>81</v>
      </c>
      <c r="I552" s="2" t="s">
        <v>82</v>
      </c>
      <c r="J552" s="2">
        <v>4</v>
      </c>
      <c r="K552" s="2">
        <v>89.99</v>
      </c>
      <c r="L552" s="2" t="s">
        <v>208</v>
      </c>
      <c r="M552" s="2">
        <v>53.99</v>
      </c>
      <c r="N552" s="2">
        <v>0</v>
      </c>
      <c r="O552" s="2">
        <v>305.97000000000003</v>
      </c>
      <c r="P552" s="2" t="s">
        <v>68</v>
      </c>
      <c r="Q552" s="2" t="s">
        <v>28</v>
      </c>
      <c r="R552" s="2" t="s">
        <v>52</v>
      </c>
      <c r="S552" s="2" t="s">
        <v>30</v>
      </c>
      <c r="T552" s="2" t="s">
        <v>294</v>
      </c>
      <c r="U552" s="2" t="str">
        <f t="shared" si="25"/>
        <v>Valid</v>
      </c>
      <c r="V552" s="2" t="s">
        <v>1702</v>
      </c>
    </row>
    <row r="553" spans="1:22" hidden="1" x14ac:dyDescent="0.3">
      <c r="A553" s="2" t="s">
        <v>1703</v>
      </c>
      <c r="B553" s="12">
        <f t="shared" si="24"/>
        <v>46238.579914120368</v>
      </c>
      <c r="C553" s="13">
        <v>46238.579914120368</v>
      </c>
      <c r="D553" s="2" t="s">
        <v>1109</v>
      </c>
      <c r="E553" s="2" t="str">
        <f t="shared" si="26"/>
        <v>Email Available</v>
      </c>
      <c r="F553" s="2" t="s">
        <v>1110</v>
      </c>
      <c r="G553" s="2" t="s">
        <v>157</v>
      </c>
      <c r="H553" s="2" t="s">
        <v>37</v>
      </c>
      <c r="I553" s="2" t="s">
        <v>158</v>
      </c>
      <c r="J553" s="2">
        <v>1</v>
      </c>
      <c r="K553" s="2">
        <v>29.99</v>
      </c>
      <c r="L553" s="2" t="s">
        <v>1704</v>
      </c>
      <c r="M553" s="2">
        <v>3</v>
      </c>
      <c r="N553" s="2">
        <v>4.99</v>
      </c>
      <c r="O553" s="2">
        <v>31.98</v>
      </c>
      <c r="P553" s="2" t="s">
        <v>27</v>
      </c>
      <c r="Q553" s="2" t="s">
        <v>114</v>
      </c>
      <c r="R553" s="2" t="s">
        <v>52</v>
      </c>
      <c r="S553" s="2" t="s">
        <v>30</v>
      </c>
      <c r="T553" s="2" t="s">
        <v>454</v>
      </c>
      <c r="U553" s="2" t="str">
        <f t="shared" si="25"/>
        <v>Valid</v>
      </c>
      <c r="V553" s="2" t="s">
        <v>1705</v>
      </c>
    </row>
    <row r="554" spans="1:22" hidden="1" x14ac:dyDescent="0.3">
      <c r="A554" s="2" t="s">
        <v>1706</v>
      </c>
      <c r="B554" s="12">
        <f t="shared" si="24"/>
        <v>46238.588429722222</v>
      </c>
      <c r="C554" s="13">
        <v>46238.588429722222</v>
      </c>
      <c r="D554" s="2" t="s">
        <v>496</v>
      </c>
      <c r="E554" s="2" t="str">
        <f t="shared" si="26"/>
        <v>Email Available</v>
      </c>
      <c r="F554" s="2" t="s">
        <v>497</v>
      </c>
      <c r="G554" s="2" t="s">
        <v>284</v>
      </c>
      <c r="H554" s="2" t="s">
        <v>23</v>
      </c>
      <c r="I554" s="2" t="s">
        <v>285</v>
      </c>
      <c r="J554" s="2">
        <v>1</v>
      </c>
      <c r="K554" s="2">
        <v>24.99</v>
      </c>
      <c r="L554" s="2" t="s">
        <v>208</v>
      </c>
      <c r="M554" s="2">
        <v>3.75</v>
      </c>
      <c r="N554" s="2">
        <v>5.99</v>
      </c>
      <c r="O554" s="2">
        <v>27.23</v>
      </c>
      <c r="P554" s="2" t="s">
        <v>51</v>
      </c>
      <c r="Q554" s="2" t="s">
        <v>90</v>
      </c>
      <c r="R554" s="2" t="s">
        <v>42</v>
      </c>
      <c r="S554" s="2" t="s">
        <v>30</v>
      </c>
      <c r="T554" s="2" t="s">
        <v>939</v>
      </c>
      <c r="U554" s="2" t="str">
        <f t="shared" si="25"/>
        <v>Valid</v>
      </c>
      <c r="V554" s="2" t="s">
        <v>1707</v>
      </c>
    </row>
    <row r="555" spans="1:22" x14ac:dyDescent="0.3">
      <c r="A555" s="2" t="s">
        <v>1708</v>
      </c>
      <c r="B555" s="12">
        <f t="shared" si="24"/>
        <v>46238.581396493057</v>
      </c>
      <c r="C555" s="13">
        <v>46238.581396493057</v>
      </c>
      <c r="D555" s="2" t="s">
        <v>448</v>
      </c>
      <c r="E555" s="2" t="str">
        <f t="shared" si="26"/>
        <v>Missing Email</v>
      </c>
      <c r="F555" s="2"/>
      <c r="G555" s="2" t="s">
        <v>48</v>
      </c>
      <c r="H555" s="2" t="s">
        <v>49</v>
      </c>
      <c r="I555" s="2" t="s">
        <v>50</v>
      </c>
      <c r="J555" s="2">
        <v>1</v>
      </c>
      <c r="K555" s="2">
        <v>39.99</v>
      </c>
      <c r="L555" s="2"/>
      <c r="M555" s="2">
        <v>0</v>
      </c>
      <c r="N555" s="2">
        <v>5.99</v>
      </c>
      <c r="O555" s="2">
        <v>45.98</v>
      </c>
      <c r="P555" s="2" t="s">
        <v>27</v>
      </c>
      <c r="Q555" s="2" t="s">
        <v>28</v>
      </c>
      <c r="R555" s="2" t="s">
        <v>52</v>
      </c>
      <c r="S555" s="2" t="s">
        <v>30</v>
      </c>
      <c r="T555" s="2" t="s">
        <v>115</v>
      </c>
      <c r="U555" s="2" t="str">
        <f t="shared" si="25"/>
        <v>Valid</v>
      </c>
      <c r="V555" s="2" t="s">
        <v>1709</v>
      </c>
    </row>
    <row r="556" spans="1:22" hidden="1" x14ac:dyDescent="0.3">
      <c r="A556" s="2" t="s">
        <v>1710</v>
      </c>
      <c r="B556" s="12">
        <f t="shared" si="24"/>
        <v>46238.58051861111</v>
      </c>
      <c r="C556" s="13">
        <v>46238.58051861111</v>
      </c>
      <c r="D556" s="2" t="s">
        <v>845</v>
      </c>
      <c r="E556" s="2" t="str">
        <f t="shared" si="26"/>
        <v>Email Available</v>
      </c>
      <c r="F556" s="2" t="s">
        <v>846</v>
      </c>
      <c r="G556" s="2" t="s">
        <v>195</v>
      </c>
      <c r="H556" s="2" t="s">
        <v>196</v>
      </c>
      <c r="I556" s="2" t="s">
        <v>197</v>
      </c>
      <c r="J556" s="2">
        <v>2</v>
      </c>
      <c r="K556" s="2">
        <v>13.49</v>
      </c>
      <c r="L556" s="2" t="s">
        <v>208</v>
      </c>
      <c r="M556" s="2">
        <v>4.05</v>
      </c>
      <c r="N556" s="2">
        <v>4.99</v>
      </c>
      <c r="O556" s="2">
        <v>27.92</v>
      </c>
      <c r="P556" s="2" t="s">
        <v>40</v>
      </c>
      <c r="Q556" s="2" t="s">
        <v>41</v>
      </c>
      <c r="R556" s="2" t="s">
        <v>29</v>
      </c>
      <c r="S556" s="2" t="s">
        <v>30</v>
      </c>
      <c r="T556" s="2" t="s">
        <v>248</v>
      </c>
      <c r="U556" s="2" t="str">
        <f t="shared" si="25"/>
        <v>Valid</v>
      </c>
      <c r="V556" s="2" t="s">
        <v>1711</v>
      </c>
    </row>
    <row r="557" spans="1:22" x14ac:dyDescent="0.3">
      <c r="A557" s="2" t="s">
        <v>1712</v>
      </c>
      <c r="B557" s="12">
        <f t="shared" si="24"/>
        <v>46238.587606550929</v>
      </c>
      <c r="C557" s="13">
        <v>46238.587606550929</v>
      </c>
      <c r="D557" s="2" t="s">
        <v>345</v>
      </c>
      <c r="E557" s="2" t="str">
        <f t="shared" si="26"/>
        <v>Missing Email</v>
      </c>
      <c r="F557" s="2"/>
      <c r="G557" s="2" t="s">
        <v>58</v>
      </c>
      <c r="H557" s="2" t="s">
        <v>23</v>
      </c>
      <c r="I557" s="2" t="s">
        <v>59</v>
      </c>
      <c r="J557" s="2">
        <v>1</v>
      </c>
      <c r="K557" s="2">
        <v>9.99</v>
      </c>
      <c r="L557" s="2" t="s">
        <v>39</v>
      </c>
      <c r="M557" s="2">
        <v>0</v>
      </c>
      <c r="N557" s="2">
        <v>0</v>
      </c>
      <c r="O557" s="2">
        <v>9.99</v>
      </c>
      <c r="P557" s="2" t="s">
        <v>74</v>
      </c>
      <c r="Q557" s="2" t="s">
        <v>41</v>
      </c>
      <c r="R557" s="2" t="s">
        <v>52</v>
      </c>
      <c r="S557" s="2" t="s">
        <v>30</v>
      </c>
      <c r="T557" s="2" t="s">
        <v>91</v>
      </c>
      <c r="U557" s="2" t="str">
        <f t="shared" si="25"/>
        <v>Valid</v>
      </c>
      <c r="V557" s="2" t="s">
        <v>1713</v>
      </c>
    </row>
    <row r="558" spans="1:22" hidden="1" x14ac:dyDescent="0.3">
      <c r="A558" s="2" t="s">
        <v>1714</v>
      </c>
      <c r="B558" s="12">
        <f t="shared" si="24"/>
        <v>46238.584804108803</v>
      </c>
      <c r="C558" s="13">
        <v>46238.584804108803</v>
      </c>
      <c r="D558" s="2" t="s">
        <v>239</v>
      </c>
      <c r="E558" s="2" t="str">
        <f t="shared" si="26"/>
        <v>Email Available</v>
      </c>
      <c r="F558" s="2" t="s">
        <v>240</v>
      </c>
      <c r="G558" s="2" t="s">
        <v>105</v>
      </c>
      <c r="H558" s="2" t="s">
        <v>106</v>
      </c>
      <c r="I558" s="2" t="s">
        <v>107</v>
      </c>
      <c r="J558" s="2">
        <v>3</v>
      </c>
      <c r="K558" s="2">
        <v>19.989999999999998</v>
      </c>
      <c r="L558" s="2" t="s">
        <v>39</v>
      </c>
      <c r="M558" s="2">
        <v>0</v>
      </c>
      <c r="N558" s="2">
        <v>0</v>
      </c>
      <c r="O558" s="2">
        <v>59.97</v>
      </c>
      <c r="P558" s="2" t="s">
        <v>74</v>
      </c>
      <c r="Q558" s="2" t="s">
        <v>114</v>
      </c>
      <c r="R558" s="2" t="s">
        <v>52</v>
      </c>
      <c r="S558" s="2" t="s">
        <v>75</v>
      </c>
      <c r="T558" s="2"/>
      <c r="U558" s="2" t="str">
        <f t="shared" si="25"/>
        <v>Not Required</v>
      </c>
      <c r="V558" s="2" t="s">
        <v>1715</v>
      </c>
    </row>
    <row r="559" spans="1:22" hidden="1" x14ac:dyDescent="0.3">
      <c r="A559" s="2" t="s">
        <v>1716</v>
      </c>
      <c r="B559" s="12">
        <f t="shared" si="24"/>
        <v>46238.584948564807</v>
      </c>
      <c r="C559" s="13">
        <v>46238.584948564807</v>
      </c>
      <c r="D559" s="2" t="s">
        <v>1284</v>
      </c>
      <c r="E559" s="2" t="str">
        <f t="shared" si="26"/>
        <v>Email Available</v>
      </c>
      <c r="F559" s="2" t="s">
        <v>1285</v>
      </c>
      <c r="G559" s="2" t="s">
        <v>65</v>
      </c>
      <c r="H559" s="2" t="s">
        <v>49</v>
      </c>
      <c r="I559" s="2" t="s">
        <v>453</v>
      </c>
      <c r="J559" s="2">
        <v>1</v>
      </c>
      <c r="K559" s="2">
        <v>14.99</v>
      </c>
      <c r="L559" s="2" t="s">
        <v>121</v>
      </c>
      <c r="M559" s="2">
        <v>3.75</v>
      </c>
      <c r="N559" s="2">
        <v>7.99</v>
      </c>
      <c r="O559" s="2">
        <v>19.23</v>
      </c>
      <c r="P559" s="2" t="s">
        <v>27</v>
      </c>
      <c r="Q559" s="2" t="s">
        <v>28</v>
      </c>
      <c r="R559" s="2" t="s">
        <v>29</v>
      </c>
      <c r="S559" s="2" t="s">
        <v>30</v>
      </c>
      <c r="T559" s="2" t="s">
        <v>60</v>
      </c>
      <c r="U559" s="2" t="str">
        <f t="shared" si="25"/>
        <v>Valid</v>
      </c>
      <c r="V559" s="2" t="s">
        <v>1717</v>
      </c>
    </row>
    <row r="560" spans="1:22" hidden="1" x14ac:dyDescent="0.3">
      <c r="A560" s="2" t="s">
        <v>1718</v>
      </c>
      <c r="B560" s="12">
        <f t="shared" si="24"/>
        <v>46120</v>
      </c>
      <c r="C560" s="13" t="s">
        <v>142</v>
      </c>
      <c r="D560" s="2" t="s">
        <v>165</v>
      </c>
      <c r="E560" s="2" t="str">
        <f t="shared" si="26"/>
        <v>Email Available</v>
      </c>
      <c r="F560" s="2" t="s">
        <v>166</v>
      </c>
      <c r="G560" s="2" t="s">
        <v>112</v>
      </c>
      <c r="H560" s="2" t="s">
        <v>81</v>
      </c>
      <c r="I560" s="2" t="s">
        <v>113</v>
      </c>
      <c r="J560" s="2">
        <v>1</v>
      </c>
      <c r="K560" s="2">
        <v>22.99</v>
      </c>
      <c r="L560" s="2"/>
      <c r="M560" s="2">
        <v>0</v>
      </c>
      <c r="N560" s="2">
        <v>5.99</v>
      </c>
      <c r="O560" s="2">
        <v>28.98</v>
      </c>
      <c r="P560" s="2" t="s">
        <v>51</v>
      </c>
      <c r="Q560" s="2" t="s">
        <v>28</v>
      </c>
      <c r="R560" s="2" t="s">
        <v>52</v>
      </c>
      <c r="S560" s="2" t="s">
        <v>30</v>
      </c>
      <c r="T560" s="2" t="s">
        <v>454</v>
      </c>
      <c r="U560" s="2" t="str">
        <f t="shared" si="25"/>
        <v>Valid</v>
      </c>
      <c r="V560" s="2" t="s">
        <v>1719</v>
      </c>
    </row>
    <row r="561" spans="1:22" hidden="1" x14ac:dyDescent="0.3">
      <c r="A561" s="2" t="s">
        <v>1720</v>
      </c>
      <c r="B561" s="12">
        <f t="shared" si="24"/>
        <v>46238.587262997688</v>
      </c>
      <c r="C561" s="13">
        <v>46238.587262997688</v>
      </c>
      <c r="D561" s="2" t="s">
        <v>1721</v>
      </c>
      <c r="E561" s="2" t="str">
        <f t="shared" si="26"/>
        <v>Email Available</v>
      </c>
      <c r="F561" s="2" t="s">
        <v>606</v>
      </c>
      <c r="G561" s="2" t="s">
        <v>272</v>
      </c>
      <c r="H561" s="2" t="s">
        <v>23</v>
      </c>
      <c r="I561" s="2" t="s">
        <v>273</v>
      </c>
      <c r="J561" s="2">
        <v>1</v>
      </c>
      <c r="K561" s="2">
        <v>18.989999999999998</v>
      </c>
      <c r="L561" s="2" t="s">
        <v>67</v>
      </c>
      <c r="M561" s="2">
        <v>1.9</v>
      </c>
      <c r="N561" s="2">
        <v>7.99</v>
      </c>
      <c r="O561" s="2">
        <v>25.08</v>
      </c>
      <c r="P561" s="2" t="s">
        <v>68</v>
      </c>
      <c r="Q561" s="2" t="s">
        <v>90</v>
      </c>
      <c r="R561" s="2" t="s">
        <v>52</v>
      </c>
      <c r="S561" s="2" t="s">
        <v>30</v>
      </c>
      <c r="T561" s="2" t="s">
        <v>766</v>
      </c>
      <c r="U561" s="2" t="str">
        <f t="shared" si="25"/>
        <v>Valid</v>
      </c>
      <c r="V561" s="2" t="s">
        <v>1722</v>
      </c>
    </row>
    <row r="562" spans="1:22" hidden="1" x14ac:dyDescent="0.3">
      <c r="A562" s="2" t="s">
        <v>1723</v>
      </c>
      <c r="B562" s="12">
        <f t="shared" si="24"/>
        <v>46238.585760752307</v>
      </c>
      <c r="C562" s="13">
        <v>46238.585760752307</v>
      </c>
      <c r="D562" s="2" t="s">
        <v>204</v>
      </c>
      <c r="E562" s="2" t="str">
        <f t="shared" si="26"/>
        <v>Email Available</v>
      </c>
      <c r="F562" s="2" t="s">
        <v>1724</v>
      </c>
      <c r="G562" s="2" t="s">
        <v>36</v>
      </c>
      <c r="H562" s="2" t="s">
        <v>37</v>
      </c>
      <c r="I562" s="2" t="s">
        <v>38</v>
      </c>
      <c r="J562" s="2">
        <v>3</v>
      </c>
      <c r="K562" s="2">
        <v>21.99</v>
      </c>
      <c r="L562" s="2"/>
      <c r="M562" s="2">
        <v>0</v>
      </c>
      <c r="N562" s="2">
        <v>4.99</v>
      </c>
      <c r="O562" s="2">
        <v>70.959999999999994</v>
      </c>
      <c r="P562" s="2" t="s">
        <v>74</v>
      </c>
      <c r="Q562" s="2" t="s">
        <v>28</v>
      </c>
      <c r="R562" s="2" t="s">
        <v>52</v>
      </c>
      <c r="S562" s="2" t="s">
        <v>30</v>
      </c>
      <c r="T562" s="2" t="s">
        <v>75</v>
      </c>
      <c r="U562" s="2" t="str">
        <f t="shared" si="25"/>
        <v>Valid</v>
      </c>
      <c r="V562" s="2" t="s">
        <v>1725</v>
      </c>
    </row>
    <row r="563" spans="1:22" hidden="1" x14ac:dyDescent="0.3">
      <c r="A563" s="2" t="s">
        <v>1726</v>
      </c>
      <c r="B563" s="12">
        <f t="shared" si="24"/>
        <v>46238.583971956017</v>
      </c>
      <c r="C563" s="13">
        <v>46238.583971956017</v>
      </c>
      <c r="D563" s="2" t="s">
        <v>1727</v>
      </c>
      <c r="E563" s="2" t="str">
        <f t="shared" si="26"/>
        <v>Email Available</v>
      </c>
      <c r="F563" s="2" t="s">
        <v>1728</v>
      </c>
      <c r="G563" s="2" t="s">
        <v>120</v>
      </c>
      <c r="H563" s="2" t="s">
        <v>23</v>
      </c>
      <c r="I563" s="2" t="s">
        <v>24</v>
      </c>
      <c r="J563" s="2">
        <v>1</v>
      </c>
      <c r="K563" s="2">
        <v>12.99</v>
      </c>
      <c r="L563" s="2" t="s">
        <v>67</v>
      </c>
      <c r="M563" s="2" t="s">
        <v>1729</v>
      </c>
      <c r="N563" s="2">
        <v>7.99</v>
      </c>
      <c r="O563" s="2">
        <v>19.68</v>
      </c>
      <c r="P563" s="2" t="s">
        <v>51</v>
      </c>
      <c r="Q563" s="2" t="s">
        <v>90</v>
      </c>
      <c r="R563" s="2" t="s">
        <v>52</v>
      </c>
      <c r="S563" s="2" t="s">
        <v>30</v>
      </c>
      <c r="T563" s="2" t="s">
        <v>91</v>
      </c>
      <c r="U563" s="2" t="str">
        <f t="shared" si="25"/>
        <v>Valid</v>
      </c>
      <c r="V563" s="2" t="s">
        <v>1730</v>
      </c>
    </row>
    <row r="564" spans="1:22" hidden="1" x14ac:dyDescent="0.3">
      <c r="A564" s="2" t="s">
        <v>1731</v>
      </c>
      <c r="B564" s="12">
        <f t="shared" si="24"/>
        <v>46238.584754131953</v>
      </c>
      <c r="C564" s="13">
        <v>46238.584754131953</v>
      </c>
      <c r="D564" s="2" t="s">
        <v>1732</v>
      </c>
      <c r="E564" s="2" t="str">
        <f t="shared" si="26"/>
        <v>Email Available</v>
      </c>
      <c r="F564" s="2" t="s">
        <v>1733</v>
      </c>
      <c r="G564" s="2" t="s">
        <v>226</v>
      </c>
      <c r="H564" s="2" t="s">
        <v>23</v>
      </c>
      <c r="I564" s="2" t="s">
        <v>227</v>
      </c>
      <c r="J564" s="2">
        <v>1</v>
      </c>
      <c r="K564" s="2">
        <v>17.989999999999998</v>
      </c>
      <c r="L564" s="2"/>
      <c r="M564" s="2">
        <v>0</v>
      </c>
      <c r="N564" s="2">
        <v>7.99</v>
      </c>
      <c r="O564" s="2">
        <v>25.98</v>
      </c>
      <c r="P564" s="2" t="s">
        <v>27</v>
      </c>
      <c r="Q564" s="2" t="s">
        <v>28</v>
      </c>
      <c r="R564" s="2" t="s">
        <v>99</v>
      </c>
      <c r="S564" s="2" t="s">
        <v>337</v>
      </c>
      <c r="T564" s="2"/>
      <c r="U564" s="2" t="str">
        <f t="shared" si="25"/>
        <v>Not Required</v>
      </c>
      <c r="V564" s="2" t="s">
        <v>1734</v>
      </c>
    </row>
    <row r="565" spans="1:22" hidden="1" x14ac:dyDescent="0.3">
      <c r="A565" s="2" t="s">
        <v>1735</v>
      </c>
      <c r="B565" s="12">
        <f t="shared" si="24"/>
        <v>46238</v>
      </c>
      <c r="C565" s="13" t="s">
        <v>1736</v>
      </c>
      <c r="D565" s="2" t="s">
        <v>764</v>
      </c>
      <c r="E565" s="2" t="str">
        <f t="shared" si="26"/>
        <v>Email Available</v>
      </c>
      <c r="F565" s="2" t="s">
        <v>765</v>
      </c>
      <c r="G565" s="2" t="s">
        <v>284</v>
      </c>
      <c r="H565" s="2" t="s">
        <v>23</v>
      </c>
      <c r="I565" s="2" t="s">
        <v>285</v>
      </c>
      <c r="J565" s="2">
        <v>3</v>
      </c>
      <c r="K565" s="2">
        <v>24.99</v>
      </c>
      <c r="L565" s="2"/>
      <c r="M565" s="2">
        <v>0</v>
      </c>
      <c r="N565" s="2">
        <v>7.99</v>
      </c>
      <c r="O565" s="2">
        <v>82.96</v>
      </c>
      <c r="P565" s="2" t="s">
        <v>27</v>
      </c>
      <c r="Q565" s="2" t="s">
        <v>114</v>
      </c>
      <c r="R565" s="2" t="s">
        <v>52</v>
      </c>
      <c r="S565" s="2" t="s">
        <v>30</v>
      </c>
      <c r="T565" s="2" t="s">
        <v>454</v>
      </c>
      <c r="U565" s="2" t="str">
        <f t="shared" si="25"/>
        <v>Valid</v>
      </c>
      <c r="V565" s="2" t="s">
        <v>1737</v>
      </c>
    </row>
    <row r="566" spans="1:22" hidden="1" x14ac:dyDescent="0.3">
      <c r="A566" s="2" t="s">
        <v>1738</v>
      </c>
      <c r="B566" s="12">
        <f t="shared" si="24"/>
        <v>46238.580210312502</v>
      </c>
      <c r="C566" s="13">
        <v>46238.580210312502</v>
      </c>
      <c r="D566" s="2" t="s">
        <v>335</v>
      </c>
      <c r="E566" s="2" t="str">
        <f t="shared" si="26"/>
        <v>Email Available</v>
      </c>
      <c r="F566" s="2" t="s">
        <v>336</v>
      </c>
      <c r="G566" s="2" t="s">
        <v>284</v>
      </c>
      <c r="H566" s="2" t="s">
        <v>23</v>
      </c>
      <c r="I566" s="2" t="s">
        <v>285</v>
      </c>
      <c r="J566" s="2">
        <v>1</v>
      </c>
      <c r="K566" s="2">
        <v>24.99</v>
      </c>
      <c r="L566" s="2"/>
      <c r="M566" s="2">
        <v>0</v>
      </c>
      <c r="N566" s="2">
        <v>7.99</v>
      </c>
      <c r="O566" s="2">
        <v>32.979999999999997</v>
      </c>
      <c r="P566" s="2" t="s">
        <v>68</v>
      </c>
      <c r="Q566" s="2" t="s">
        <v>41</v>
      </c>
      <c r="R566" s="2" t="s">
        <v>52</v>
      </c>
      <c r="S566" s="2" t="s">
        <v>337</v>
      </c>
      <c r="T566" s="2"/>
      <c r="U566" s="2" t="str">
        <f t="shared" si="25"/>
        <v>Not Required</v>
      </c>
      <c r="V566" s="2" t="s">
        <v>1739</v>
      </c>
    </row>
    <row r="567" spans="1:22" hidden="1" x14ac:dyDescent="0.3">
      <c r="A567" s="2" t="s">
        <v>1740</v>
      </c>
      <c r="B567" s="12">
        <f t="shared" si="24"/>
        <v>46238.588183854168</v>
      </c>
      <c r="C567" s="13">
        <v>46238.588183854168</v>
      </c>
      <c r="D567" s="2" t="s">
        <v>825</v>
      </c>
      <c r="E567" s="2" t="str">
        <f t="shared" si="26"/>
        <v>Email Available</v>
      </c>
      <c r="F567" s="2" t="s">
        <v>826</v>
      </c>
      <c r="G567" s="2" t="s">
        <v>80</v>
      </c>
      <c r="H567" s="2" t="s">
        <v>81</v>
      </c>
      <c r="I567" s="2" t="s">
        <v>82</v>
      </c>
      <c r="J567" s="2">
        <v>1</v>
      </c>
      <c r="K567" s="2" t="s">
        <v>579</v>
      </c>
      <c r="L567" s="2"/>
      <c r="M567" s="2" t="s">
        <v>189</v>
      </c>
      <c r="N567" s="2">
        <v>0</v>
      </c>
      <c r="O567" s="2">
        <v>89.99</v>
      </c>
      <c r="P567" s="2" t="s">
        <v>51</v>
      </c>
      <c r="Q567" s="2" t="s">
        <v>28</v>
      </c>
      <c r="R567" s="2" t="s">
        <v>52</v>
      </c>
      <c r="S567" s="2" t="s">
        <v>75</v>
      </c>
      <c r="T567" s="2"/>
      <c r="U567" s="2" t="str">
        <f t="shared" si="25"/>
        <v>Not Required</v>
      </c>
      <c r="V567" s="2" t="s">
        <v>1741</v>
      </c>
    </row>
    <row r="568" spans="1:22" hidden="1" x14ac:dyDescent="0.3">
      <c r="A568" s="2" t="s">
        <v>1742</v>
      </c>
      <c r="B568" s="12">
        <f t="shared" si="24"/>
        <v>46238.588460925923</v>
      </c>
      <c r="C568" s="13">
        <v>46238.588460925923</v>
      </c>
      <c r="D568" s="2" t="s">
        <v>416</v>
      </c>
      <c r="E568" s="2" t="str">
        <f t="shared" si="26"/>
        <v>Email Available</v>
      </c>
      <c r="F568" s="2" t="s">
        <v>417</v>
      </c>
      <c r="G568" s="2" t="s">
        <v>157</v>
      </c>
      <c r="H568" s="2" t="s">
        <v>37</v>
      </c>
      <c r="I568" s="2" t="s">
        <v>158</v>
      </c>
      <c r="J568" s="2">
        <v>2</v>
      </c>
      <c r="K568" s="2">
        <v>29.99</v>
      </c>
      <c r="L568" s="2"/>
      <c r="M568" s="2">
        <v>0</v>
      </c>
      <c r="N568" s="2">
        <v>7.99</v>
      </c>
      <c r="O568" s="2">
        <v>67.97</v>
      </c>
      <c r="P568" s="2" t="s">
        <v>51</v>
      </c>
      <c r="Q568" s="2" t="s">
        <v>28</v>
      </c>
      <c r="R568" s="2" t="s">
        <v>52</v>
      </c>
      <c r="S568" s="2" t="s">
        <v>43</v>
      </c>
      <c r="T568" s="2"/>
      <c r="U568" s="2" t="str">
        <f t="shared" si="25"/>
        <v>Not Required</v>
      </c>
      <c r="V568" s="2" t="s">
        <v>1743</v>
      </c>
    </row>
    <row r="569" spans="1:22" hidden="1" x14ac:dyDescent="0.3">
      <c r="A569" s="2" t="s">
        <v>1744</v>
      </c>
      <c r="B569" s="12">
        <f t="shared" si="24"/>
        <v>46238.580872037041</v>
      </c>
      <c r="C569" s="13">
        <v>46238.580872037041</v>
      </c>
      <c r="D569" s="2" t="s">
        <v>1215</v>
      </c>
      <c r="E569" s="2" t="str">
        <f t="shared" si="26"/>
        <v>Email Available</v>
      </c>
      <c r="F569" s="2" t="s">
        <v>1216</v>
      </c>
      <c r="G569" s="2" t="s">
        <v>284</v>
      </c>
      <c r="H569" s="2" t="s">
        <v>23</v>
      </c>
      <c r="I569" s="2" t="s">
        <v>285</v>
      </c>
      <c r="J569" s="2">
        <v>1</v>
      </c>
      <c r="K569" s="2">
        <v>24.99</v>
      </c>
      <c r="L569" s="2" t="s">
        <v>39</v>
      </c>
      <c r="M569" s="2" t="s">
        <v>189</v>
      </c>
      <c r="N569" s="2">
        <v>0</v>
      </c>
      <c r="O569" s="2">
        <v>24.99</v>
      </c>
      <c r="P569" s="2" t="s">
        <v>74</v>
      </c>
      <c r="Q569" s="2" t="s">
        <v>28</v>
      </c>
      <c r="R569" s="2" t="s">
        <v>29</v>
      </c>
      <c r="S569" s="2" t="s">
        <v>30</v>
      </c>
      <c r="T569" s="2" t="s">
        <v>248</v>
      </c>
      <c r="U569" s="2" t="str">
        <f t="shared" si="25"/>
        <v>Valid</v>
      </c>
      <c r="V569" s="2" t="s">
        <v>1745</v>
      </c>
    </row>
    <row r="570" spans="1:22" hidden="1" x14ac:dyDescent="0.3">
      <c r="A570" s="2" t="s">
        <v>1746</v>
      </c>
      <c r="B570" s="12">
        <f t="shared" si="24"/>
        <v>46120</v>
      </c>
      <c r="C570" s="13" t="s">
        <v>142</v>
      </c>
      <c r="D570" s="2" t="s">
        <v>1747</v>
      </c>
      <c r="E570" s="2" t="str">
        <f t="shared" si="26"/>
        <v>Email Available</v>
      </c>
      <c r="F570" s="2" t="s">
        <v>1748</v>
      </c>
      <c r="G570" s="2" t="s">
        <v>65</v>
      </c>
      <c r="H570" s="2" t="s">
        <v>49</v>
      </c>
      <c r="I570" s="2" t="s">
        <v>453</v>
      </c>
      <c r="J570" s="2">
        <v>1</v>
      </c>
      <c r="K570" s="2">
        <v>14.99</v>
      </c>
      <c r="L570" s="2" t="s">
        <v>25</v>
      </c>
      <c r="M570" s="2">
        <v>3</v>
      </c>
      <c r="N570" s="2">
        <v>4.99</v>
      </c>
      <c r="O570" s="2">
        <v>16.98</v>
      </c>
      <c r="P570" s="2" t="s">
        <v>74</v>
      </c>
      <c r="Q570" s="2" t="s">
        <v>28</v>
      </c>
      <c r="R570" s="2" t="s">
        <v>52</v>
      </c>
      <c r="S570" s="2" t="s">
        <v>30</v>
      </c>
      <c r="T570" s="2" t="s">
        <v>53</v>
      </c>
      <c r="U570" s="2" t="str">
        <f t="shared" si="25"/>
        <v>Valid</v>
      </c>
      <c r="V570" s="2" t="s">
        <v>1749</v>
      </c>
    </row>
    <row r="571" spans="1:22" hidden="1" x14ac:dyDescent="0.3">
      <c r="A571" s="2" t="s">
        <v>1750</v>
      </c>
      <c r="B571" s="12">
        <f t="shared" si="24"/>
        <v>46238.582664328707</v>
      </c>
      <c r="C571" s="13">
        <v>46238.582664328707</v>
      </c>
      <c r="D571" s="2" t="s">
        <v>1751</v>
      </c>
      <c r="E571" s="2" t="str">
        <f t="shared" si="26"/>
        <v>Email Available</v>
      </c>
      <c r="F571" s="2" t="s">
        <v>1752</v>
      </c>
      <c r="G571" s="2" t="s">
        <v>241</v>
      </c>
      <c r="H571" s="2" t="s">
        <v>242</v>
      </c>
      <c r="I571" s="2" t="s">
        <v>243</v>
      </c>
      <c r="J571" s="2">
        <v>1</v>
      </c>
      <c r="K571" s="2">
        <v>27.99</v>
      </c>
      <c r="L571" s="2"/>
      <c r="M571" s="2">
        <v>0</v>
      </c>
      <c r="N571" s="2">
        <v>7.99</v>
      </c>
      <c r="O571" s="2">
        <v>35.979999999999997</v>
      </c>
      <c r="P571" s="2" t="s">
        <v>74</v>
      </c>
      <c r="Q571" s="2" t="s">
        <v>114</v>
      </c>
      <c r="R571" s="2" t="s">
        <v>52</v>
      </c>
      <c r="S571" s="2" t="s">
        <v>75</v>
      </c>
      <c r="T571" s="2"/>
      <c r="U571" s="2" t="str">
        <f t="shared" si="25"/>
        <v>Not Required</v>
      </c>
      <c r="V571" s="2" t="s">
        <v>1753</v>
      </c>
    </row>
    <row r="572" spans="1:22" hidden="1" x14ac:dyDescent="0.3">
      <c r="A572" s="2" t="s">
        <v>1754</v>
      </c>
      <c r="B572" s="12">
        <f t="shared" si="24"/>
        <v>46238.586886550933</v>
      </c>
      <c r="C572" s="13">
        <v>46238.586886550933</v>
      </c>
      <c r="D572" s="2" t="s">
        <v>1755</v>
      </c>
      <c r="E572" s="2" t="str">
        <f t="shared" si="26"/>
        <v>Email Available</v>
      </c>
      <c r="F572" s="2" t="s">
        <v>1756</v>
      </c>
      <c r="G572" s="2" t="s">
        <v>48</v>
      </c>
      <c r="H572" s="2" t="s">
        <v>49</v>
      </c>
      <c r="I572" s="2" t="s">
        <v>50</v>
      </c>
      <c r="J572" s="2">
        <v>1</v>
      </c>
      <c r="K572" s="2">
        <v>39.99</v>
      </c>
      <c r="L572" s="2"/>
      <c r="M572" s="2">
        <v>0</v>
      </c>
      <c r="N572" s="2">
        <v>7.99</v>
      </c>
      <c r="O572" s="2">
        <v>47.98</v>
      </c>
      <c r="P572" s="2" t="s">
        <v>68</v>
      </c>
      <c r="Q572" s="2" t="s">
        <v>28</v>
      </c>
      <c r="R572" s="2" t="s">
        <v>52</v>
      </c>
      <c r="S572" s="2" t="s">
        <v>337</v>
      </c>
      <c r="T572" s="2"/>
      <c r="U572" s="2" t="str">
        <f t="shared" si="25"/>
        <v>Not Required</v>
      </c>
      <c r="V572" s="2" t="s">
        <v>1757</v>
      </c>
    </row>
    <row r="573" spans="1:22" hidden="1" x14ac:dyDescent="0.3">
      <c r="A573" s="2" t="s">
        <v>1758</v>
      </c>
      <c r="B573" s="12">
        <f t="shared" si="24"/>
        <v>46238.580911504629</v>
      </c>
      <c r="C573" s="13">
        <v>46238.580911504629</v>
      </c>
      <c r="D573" s="2" t="s">
        <v>1220</v>
      </c>
      <c r="E573" s="2" t="str">
        <f t="shared" si="26"/>
        <v>Email Available</v>
      </c>
      <c r="F573" s="2" t="s">
        <v>1221</v>
      </c>
      <c r="G573" s="2" t="s">
        <v>127</v>
      </c>
      <c r="H573" s="2" t="s">
        <v>81</v>
      </c>
      <c r="I573" s="2" t="s">
        <v>128</v>
      </c>
      <c r="J573" s="2">
        <v>2</v>
      </c>
      <c r="K573" s="2" t="s">
        <v>1100</v>
      </c>
      <c r="L573" s="2" t="s">
        <v>25</v>
      </c>
      <c r="M573" s="2">
        <v>5.6</v>
      </c>
      <c r="N573" s="2">
        <v>7.99</v>
      </c>
      <c r="O573" s="2">
        <v>30.37</v>
      </c>
      <c r="P573" s="2" t="s">
        <v>68</v>
      </c>
      <c r="Q573" s="2" t="s">
        <v>41</v>
      </c>
      <c r="R573" s="2" t="s">
        <v>52</v>
      </c>
      <c r="S573" s="2" t="s">
        <v>75</v>
      </c>
      <c r="T573" s="2"/>
      <c r="U573" s="2" t="str">
        <f t="shared" si="25"/>
        <v>Not Required</v>
      </c>
      <c r="V573" s="2" t="s">
        <v>1759</v>
      </c>
    </row>
    <row r="574" spans="1:22" hidden="1" x14ac:dyDescent="0.3">
      <c r="A574" s="2" t="s">
        <v>1760</v>
      </c>
      <c r="B574" s="12">
        <f t="shared" si="24"/>
        <v>46238.58070377315</v>
      </c>
      <c r="C574" s="13">
        <v>46238.58070377315</v>
      </c>
      <c r="D574" s="2" t="s">
        <v>1761</v>
      </c>
      <c r="E574" s="2" t="str">
        <f t="shared" si="26"/>
        <v>Email Available</v>
      </c>
      <c r="F574" s="2" t="s">
        <v>355</v>
      </c>
      <c r="G574" s="2" t="s">
        <v>65</v>
      </c>
      <c r="H574" s="2" t="s">
        <v>49</v>
      </c>
      <c r="I574" s="2" t="s">
        <v>66</v>
      </c>
      <c r="J574" s="2">
        <v>3</v>
      </c>
      <c r="K574" s="2">
        <v>14.99</v>
      </c>
      <c r="L574" s="2"/>
      <c r="M574" s="2">
        <v>0</v>
      </c>
      <c r="N574" s="2">
        <v>4.99</v>
      </c>
      <c r="O574" s="2">
        <v>49.96</v>
      </c>
      <c r="P574" s="2" t="s">
        <v>51</v>
      </c>
      <c r="Q574" s="2" t="s">
        <v>90</v>
      </c>
      <c r="R574" s="2" t="s">
        <v>52</v>
      </c>
      <c r="S574" s="2" t="s">
        <v>228</v>
      </c>
      <c r="T574" s="2"/>
      <c r="U574" s="2" t="str">
        <f t="shared" si="25"/>
        <v>Not Required</v>
      </c>
      <c r="V574" s="2" t="s">
        <v>1762</v>
      </c>
    </row>
    <row r="575" spans="1:22" hidden="1" x14ac:dyDescent="0.3">
      <c r="A575" s="2" t="s">
        <v>1763</v>
      </c>
      <c r="B575" s="12">
        <f t="shared" si="24"/>
        <v>46238.581815509257</v>
      </c>
      <c r="C575" s="13">
        <v>46238.581815509257</v>
      </c>
      <c r="D575" s="2" t="s">
        <v>1764</v>
      </c>
      <c r="E575" s="2" t="str">
        <f t="shared" si="26"/>
        <v>Email Available</v>
      </c>
      <c r="F575" s="2" t="s">
        <v>1765</v>
      </c>
      <c r="G575" s="2" t="s">
        <v>151</v>
      </c>
      <c r="H575" s="2" t="s">
        <v>49</v>
      </c>
      <c r="I575" s="2" t="s">
        <v>152</v>
      </c>
      <c r="J575" s="2">
        <v>1</v>
      </c>
      <c r="K575" s="2">
        <v>34.99</v>
      </c>
      <c r="L575" s="2"/>
      <c r="M575" s="2">
        <v>0</v>
      </c>
      <c r="N575" s="2">
        <v>4.99</v>
      </c>
      <c r="O575" s="2">
        <v>39.979999999999997</v>
      </c>
      <c r="P575" s="2" t="s">
        <v>68</v>
      </c>
      <c r="Q575" s="2" t="s">
        <v>28</v>
      </c>
      <c r="R575" s="2" t="s">
        <v>52</v>
      </c>
      <c r="S575" s="2" t="s">
        <v>30</v>
      </c>
      <c r="T575" s="2" t="s">
        <v>1135</v>
      </c>
      <c r="U575" s="2" t="str">
        <f t="shared" si="25"/>
        <v>Valid</v>
      </c>
      <c r="V575" s="2" t="s">
        <v>1766</v>
      </c>
    </row>
    <row r="576" spans="1:22" hidden="1" x14ac:dyDescent="0.3">
      <c r="A576" s="2" t="s">
        <v>1767</v>
      </c>
      <c r="B576" s="12">
        <f t="shared" si="24"/>
        <v>46238</v>
      </c>
      <c r="C576" s="13" t="s">
        <v>1736</v>
      </c>
      <c r="D576" s="2" t="s">
        <v>1768</v>
      </c>
      <c r="E576" s="2" t="str">
        <f t="shared" si="26"/>
        <v>Email Available</v>
      </c>
      <c r="F576" s="2" t="s">
        <v>170</v>
      </c>
      <c r="G576" s="2" t="s">
        <v>284</v>
      </c>
      <c r="H576" s="2" t="s">
        <v>23</v>
      </c>
      <c r="I576" s="2" t="s">
        <v>285</v>
      </c>
      <c r="J576" s="2">
        <v>1</v>
      </c>
      <c r="K576" s="2">
        <v>24.99</v>
      </c>
      <c r="L576" s="2" t="s">
        <v>1139</v>
      </c>
      <c r="M576" s="2" t="s">
        <v>1013</v>
      </c>
      <c r="N576" s="2">
        <v>4.99</v>
      </c>
      <c r="O576" s="2">
        <v>27.48</v>
      </c>
      <c r="P576" s="2" t="s">
        <v>40</v>
      </c>
      <c r="Q576" s="2" t="s">
        <v>28</v>
      </c>
      <c r="R576" s="2" t="s">
        <v>52</v>
      </c>
      <c r="S576" s="2" t="s">
        <v>108</v>
      </c>
      <c r="T576" s="2"/>
      <c r="U576" s="2" t="str">
        <f t="shared" si="25"/>
        <v>Not Required</v>
      </c>
      <c r="V576" s="2" t="s">
        <v>1769</v>
      </c>
    </row>
    <row r="577" spans="1:22" hidden="1" x14ac:dyDescent="0.3">
      <c r="A577" s="2" t="s">
        <v>1770</v>
      </c>
      <c r="B577" s="12">
        <f t="shared" ref="B577:B639" si="27">IF(ISNUMBER(C577),C577,DATEVALUE(SUBSTITUTE(TRIM(C577),CHAR(160)," ")))</f>
        <v>46238.578867974538</v>
      </c>
      <c r="C577" s="13">
        <v>46238.578867974538</v>
      </c>
      <c r="D577" s="2" t="s">
        <v>309</v>
      </c>
      <c r="E577" s="2" t="str">
        <f t="shared" si="26"/>
        <v>Email Available</v>
      </c>
      <c r="F577" s="2" t="s">
        <v>310</v>
      </c>
      <c r="G577" s="2" t="s">
        <v>241</v>
      </c>
      <c r="H577" s="2" t="s">
        <v>242</v>
      </c>
      <c r="I577" s="2" t="s">
        <v>243</v>
      </c>
      <c r="J577" s="2">
        <v>1</v>
      </c>
      <c r="K577" s="2">
        <v>27.99</v>
      </c>
      <c r="L577" s="2" t="s">
        <v>25</v>
      </c>
      <c r="M577" s="2">
        <v>5.6</v>
      </c>
      <c r="N577" s="2">
        <v>4.99</v>
      </c>
      <c r="O577" s="2">
        <v>27.38</v>
      </c>
      <c r="P577" s="2" t="s">
        <v>40</v>
      </c>
      <c r="Q577" s="2" t="s">
        <v>28</v>
      </c>
      <c r="R577" s="2" t="s">
        <v>52</v>
      </c>
      <c r="S577" s="2" t="s">
        <v>30</v>
      </c>
      <c r="T577" s="2" t="s">
        <v>91</v>
      </c>
      <c r="U577" s="2" t="str">
        <f t="shared" ref="U577:U639" si="28">IF(AND(S577="United States",T577=""),"Missing state",IF(T577="","Not Required","Valid"))</f>
        <v>Valid</v>
      </c>
      <c r="V577" s="2" t="s">
        <v>1771</v>
      </c>
    </row>
    <row r="578" spans="1:22" hidden="1" x14ac:dyDescent="0.3">
      <c r="A578" s="2" t="s">
        <v>1772</v>
      </c>
      <c r="B578" s="12">
        <f t="shared" si="27"/>
        <v>46238.582394456018</v>
      </c>
      <c r="C578" s="13">
        <v>46238.582394456018</v>
      </c>
      <c r="D578" s="2" t="s">
        <v>815</v>
      </c>
      <c r="E578" s="2" t="str">
        <f t="shared" si="26"/>
        <v>Email Available</v>
      </c>
      <c r="F578" s="2" t="s">
        <v>816</v>
      </c>
      <c r="G578" s="2" t="s">
        <v>127</v>
      </c>
      <c r="H578" s="2" t="s">
        <v>81</v>
      </c>
      <c r="I578" s="2" t="s">
        <v>128</v>
      </c>
      <c r="J578" s="2">
        <v>2</v>
      </c>
      <c r="K578" s="2">
        <v>13.99</v>
      </c>
      <c r="L578" s="2" t="s">
        <v>25</v>
      </c>
      <c r="M578" s="2">
        <v>5.6</v>
      </c>
      <c r="N578" s="2">
        <v>7.99</v>
      </c>
      <c r="O578" s="2">
        <v>30.37</v>
      </c>
      <c r="P578" s="2" t="s">
        <v>68</v>
      </c>
      <c r="Q578" s="2" t="s">
        <v>28</v>
      </c>
      <c r="R578" s="2" t="s">
        <v>52</v>
      </c>
      <c r="S578" s="2" t="s">
        <v>30</v>
      </c>
      <c r="T578" s="2" t="s">
        <v>115</v>
      </c>
      <c r="U578" s="2" t="str">
        <f t="shared" si="28"/>
        <v>Valid</v>
      </c>
      <c r="V578" s="2" t="s">
        <v>1773</v>
      </c>
    </row>
    <row r="579" spans="1:22" hidden="1" x14ac:dyDescent="0.3">
      <c r="A579" s="2" t="s">
        <v>1774</v>
      </c>
      <c r="B579" s="12">
        <f t="shared" si="27"/>
        <v>46238.581648831023</v>
      </c>
      <c r="C579" s="13">
        <v>46238.581648831023</v>
      </c>
      <c r="D579" s="2" t="s">
        <v>502</v>
      </c>
      <c r="E579" s="2" t="str">
        <f t="shared" ref="E579:E642" si="29">IF(TRIM(F579)="","Missing Email","Email Available")</f>
        <v>Email Available</v>
      </c>
      <c r="F579" s="2" t="s">
        <v>503</v>
      </c>
      <c r="G579" s="2" t="s">
        <v>195</v>
      </c>
      <c r="H579" s="2" t="s">
        <v>196</v>
      </c>
      <c r="I579" s="2" t="s">
        <v>197</v>
      </c>
      <c r="J579" s="2">
        <v>1</v>
      </c>
      <c r="K579" s="2">
        <v>13.49</v>
      </c>
      <c r="L579" s="2"/>
      <c r="M579" s="2">
        <v>0</v>
      </c>
      <c r="N579" s="2">
        <v>4.99</v>
      </c>
      <c r="O579" s="2" t="s">
        <v>1775</v>
      </c>
      <c r="P579" s="2" t="s">
        <v>74</v>
      </c>
      <c r="Q579" s="2" t="s">
        <v>90</v>
      </c>
      <c r="R579" s="2" t="s">
        <v>52</v>
      </c>
      <c r="S579" s="2" t="s">
        <v>108</v>
      </c>
      <c r="T579" s="2"/>
      <c r="U579" s="2" t="str">
        <f t="shared" si="28"/>
        <v>Not Required</v>
      </c>
      <c r="V579" s="2" t="s">
        <v>1776</v>
      </c>
    </row>
    <row r="580" spans="1:22" hidden="1" x14ac:dyDescent="0.3">
      <c r="A580" s="2" t="s">
        <v>1777</v>
      </c>
      <c r="B580" s="12">
        <f t="shared" si="27"/>
        <v>46238.582466956017</v>
      </c>
      <c r="C580" s="13">
        <v>46238.582466956017</v>
      </c>
      <c r="D580" s="2" t="s">
        <v>1778</v>
      </c>
      <c r="E580" s="2" t="str">
        <f t="shared" si="29"/>
        <v>Email Available</v>
      </c>
      <c r="F580" s="2" t="s">
        <v>537</v>
      </c>
      <c r="G580" s="2" t="s">
        <v>1779</v>
      </c>
      <c r="H580" s="2" t="s">
        <v>49</v>
      </c>
      <c r="I580" s="2" t="s">
        <v>66</v>
      </c>
      <c r="J580" s="2">
        <v>2</v>
      </c>
      <c r="K580" s="2">
        <v>14.99</v>
      </c>
      <c r="L580" s="2"/>
      <c r="M580" s="2">
        <v>0</v>
      </c>
      <c r="N580" s="2">
        <v>4.99</v>
      </c>
      <c r="O580" s="2">
        <v>34.97</v>
      </c>
      <c r="P580" s="2" t="s">
        <v>68</v>
      </c>
      <c r="Q580" s="2" t="s">
        <v>28</v>
      </c>
      <c r="R580" s="2" t="s">
        <v>52</v>
      </c>
      <c r="S580" s="2" t="s">
        <v>30</v>
      </c>
      <c r="T580" s="2" t="s">
        <v>91</v>
      </c>
      <c r="U580" s="2" t="str">
        <f t="shared" si="28"/>
        <v>Valid</v>
      </c>
      <c r="V580" s="2" t="s">
        <v>1780</v>
      </c>
    </row>
    <row r="581" spans="1:22" hidden="1" x14ac:dyDescent="0.3">
      <c r="A581" s="2" t="s">
        <v>1781</v>
      </c>
      <c r="B581" s="12">
        <f t="shared" si="27"/>
        <v>46238.584092627323</v>
      </c>
      <c r="C581" s="13">
        <v>46238.584092627323</v>
      </c>
      <c r="D581" s="2" t="s">
        <v>1616</v>
      </c>
      <c r="E581" s="2" t="str">
        <f t="shared" si="29"/>
        <v>Email Available</v>
      </c>
      <c r="F581" s="2" t="s">
        <v>1617</v>
      </c>
      <c r="G581" s="2" t="s">
        <v>133</v>
      </c>
      <c r="H581" s="2" t="s">
        <v>106</v>
      </c>
      <c r="I581" s="2" t="s">
        <v>134</v>
      </c>
      <c r="J581" s="2">
        <v>1</v>
      </c>
      <c r="K581" s="2">
        <v>16.989999999999998</v>
      </c>
      <c r="L581" s="2" t="s">
        <v>67</v>
      </c>
      <c r="M581" s="2" t="s">
        <v>1782</v>
      </c>
      <c r="N581" s="2">
        <v>5.99</v>
      </c>
      <c r="O581" s="2">
        <v>21.28</v>
      </c>
      <c r="P581" s="2" t="s">
        <v>27</v>
      </c>
      <c r="Q581" s="2" t="s">
        <v>28</v>
      </c>
      <c r="R581" s="2" t="s">
        <v>99</v>
      </c>
      <c r="S581" s="2" t="s">
        <v>75</v>
      </c>
      <c r="T581" s="2"/>
      <c r="U581" s="2" t="str">
        <f t="shared" si="28"/>
        <v>Not Required</v>
      </c>
      <c r="V581" s="2" t="s">
        <v>1783</v>
      </c>
    </row>
    <row r="582" spans="1:22" hidden="1" x14ac:dyDescent="0.3">
      <c r="A582" s="2" t="s">
        <v>1784</v>
      </c>
      <c r="B582" s="12">
        <f t="shared" si="27"/>
        <v>46238.584576979163</v>
      </c>
      <c r="C582" s="13">
        <v>46238.584576979163</v>
      </c>
      <c r="D582" s="2" t="s">
        <v>1785</v>
      </c>
      <c r="E582" s="2" t="str">
        <f t="shared" si="29"/>
        <v>Email Available</v>
      </c>
      <c r="F582" s="2" t="s">
        <v>1786</v>
      </c>
      <c r="G582" s="2" t="s">
        <v>120</v>
      </c>
      <c r="H582" s="2" t="s">
        <v>23</v>
      </c>
      <c r="I582" s="2" t="s">
        <v>24</v>
      </c>
      <c r="J582" s="2">
        <v>1</v>
      </c>
      <c r="K582" s="2">
        <v>12.99</v>
      </c>
      <c r="L582" s="2" t="s">
        <v>121</v>
      </c>
      <c r="M582" s="2" t="s">
        <v>1787</v>
      </c>
      <c r="N582" s="2">
        <v>4.99</v>
      </c>
      <c r="O582" s="2">
        <v>14.73</v>
      </c>
      <c r="P582" s="2" t="s">
        <v>40</v>
      </c>
      <c r="Q582" s="2" t="s">
        <v>28</v>
      </c>
      <c r="R582" s="2" t="s">
        <v>52</v>
      </c>
      <c r="S582" s="2" t="s">
        <v>30</v>
      </c>
      <c r="T582" s="2" t="s">
        <v>53</v>
      </c>
      <c r="U582" s="2" t="str">
        <f t="shared" si="28"/>
        <v>Valid</v>
      </c>
      <c r="V582" s="2" t="s">
        <v>1788</v>
      </c>
    </row>
    <row r="583" spans="1:22" hidden="1" x14ac:dyDescent="0.3">
      <c r="A583" s="2" t="s">
        <v>1789</v>
      </c>
      <c r="B583" s="12">
        <f t="shared" si="27"/>
        <v>46238.585767696757</v>
      </c>
      <c r="C583" s="13">
        <v>46238.585767696757</v>
      </c>
      <c r="D583" s="2" t="s">
        <v>1790</v>
      </c>
      <c r="E583" s="2" t="str">
        <f t="shared" si="29"/>
        <v>Email Available</v>
      </c>
      <c r="F583" s="2" t="s">
        <v>1791</v>
      </c>
      <c r="G583" s="2" t="s">
        <v>315</v>
      </c>
      <c r="H583" s="2" t="s">
        <v>37</v>
      </c>
      <c r="I583" s="2" t="s">
        <v>316</v>
      </c>
      <c r="J583" s="2">
        <v>1</v>
      </c>
      <c r="K583" s="2">
        <v>8.99</v>
      </c>
      <c r="L583" s="2"/>
      <c r="M583" s="2">
        <v>0</v>
      </c>
      <c r="N583" s="2">
        <v>5.99</v>
      </c>
      <c r="O583" s="2">
        <v>14.98</v>
      </c>
      <c r="P583" s="2" t="s">
        <v>68</v>
      </c>
      <c r="Q583" s="2" t="s">
        <v>41</v>
      </c>
      <c r="R583" s="2" t="s">
        <v>52</v>
      </c>
      <c r="S583" s="2" t="s">
        <v>75</v>
      </c>
      <c r="T583" s="2"/>
      <c r="U583" s="2" t="str">
        <f t="shared" si="28"/>
        <v>Not Required</v>
      </c>
      <c r="V583" s="2" t="s">
        <v>1792</v>
      </c>
    </row>
    <row r="584" spans="1:22" hidden="1" x14ac:dyDescent="0.3">
      <c r="A584" s="2" t="s">
        <v>1793</v>
      </c>
      <c r="B584" s="12">
        <f t="shared" si="27"/>
        <v>46238.588124259259</v>
      </c>
      <c r="C584" s="13">
        <v>46238.588124259259</v>
      </c>
      <c r="D584" s="2" t="s">
        <v>1220</v>
      </c>
      <c r="E584" s="2" t="str">
        <f t="shared" si="29"/>
        <v>Email Available</v>
      </c>
      <c r="F584" s="2" t="s">
        <v>1221</v>
      </c>
      <c r="G584" s="2" t="s">
        <v>272</v>
      </c>
      <c r="H584" s="2" t="s">
        <v>23</v>
      </c>
      <c r="I584" s="2" t="s">
        <v>273</v>
      </c>
      <c r="J584" s="2">
        <v>1</v>
      </c>
      <c r="K584" s="2" t="s">
        <v>639</v>
      </c>
      <c r="L584" s="2" t="s">
        <v>121</v>
      </c>
      <c r="M584" s="2">
        <v>4.75</v>
      </c>
      <c r="N584" s="2">
        <v>7.99</v>
      </c>
      <c r="O584" s="2">
        <v>22.23</v>
      </c>
      <c r="P584" s="2" t="s">
        <v>40</v>
      </c>
      <c r="Q584" s="2" t="s">
        <v>114</v>
      </c>
      <c r="R584" s="2" t="s">
        <v>29</v>
      </c>
      <c r="S584" s="2" t="s">
        <v>75</v>
      </c>
      <c r="T584" s="2"/>
      <c r="U584" s="2" t="str">
        <f t="shared" si="28"/>
        <v>Not Required</v>
      </c>
      <c r="V584" s="2" t="s">
        <v>1794</v>
      </c>
    </row>
    <row r="585" spans="1:22" hidden="1" x14ac:dyDescent="0.3">
      <c r="A585" s="2" t="s">
        <v>1795</v>
      </c>
      <c r="B585" s="12">
        <f t="shared" si="27"/>
        <v>46120</v>
      </c>
      <c r="C585" s="13" t="s">
        <v>142</v>
      </c>
      <c r="D585" s="2" t="s">
        <v>1495</v>
      </c>
      <c r="E585" s="2" t="str">
        <f t="shared" si="29"/>
        <v>Email Available</v>
      </c>
      <c r="F585" s="2" t="s">
        <v>1496</v>
      </c>
      <c r="G585" s="2" t="s">
        <v>226</v>
      </c>
      <c r="H585" s="2" t="s">
        <v>23</v>
      </c>
      <c r="I585" s="2" t="s">
        <v>227</v>
      </c>
      <c r="J585" s="2">
        <v>3</v>
      </c>
      <c r="K585" s="2">
        <v>17.989999999999998</v>
      </c>
      <c r="L585" s="2"/>
      <c r="M585" s="2">
        <v>0</v>
      </c>
      <c r="N585" s="2">
        <v>4.99</v>
      </c>
      <c r="O585" s="2">
        <v>58.96</v>
      </c>
      <c r="P585" s="2" t="s">
        <v>51</v>
      </c>
      <c r="Q585" s="2" t="s">
        <v>41</v>
      </c>
      <c r="R585" s="2" t="s">
        <v>52</v>
      </c>
      <c r="S585" s="2" t="s">
        <v>43</v>
      </c>
      <c r="T585" s="2"/>
      <c r="U585" s="2" t="str">
        <f t="shared" si="28"/>
        <v>Not Required</v>
      </c>
      <c r="V585" s="2" t="s">
        <v>1796</v>
      </c>
    </row>
    <row r="586" spans="1:22" hidden="1" x14ac:dyDescent="0.3">
      <c r="A586" s="2" t="s">
        <v>1797</v>
      </c>
      <c r="B586" s="12">
        <f t="shared" si="27"/>
        <v>46238.582714328702</v>
      </c>
      <c r="C586" s="13">
        <v>46238.582714328702</v>
      </c>
      <c r="D586" s="2" t="s">
        <v>1798</v>
      </c>
      <c r="E586" s="2" t="str">
        <f t="shared" si="29"/>
        <v>Email Available</v>
      </c>
      <c r="F586" s="2" t="s">
        <v>1799</v>
      </c>
      <c r="G586" s="2" t="s">
        <v>272</v>
      </c>
      <c r="H586" s="2" t="s">
        <v>23</v>
      </c>
      <c r="I586" s="2" t="s">
        <v>273</v>
      </c>
      <c r="J586" s="2">
        <v>1</v>
      </c>
      <c r="K586" s="2">
        <v>18.989999999999998</v>
      </c>
      <c r="L586" s="2" t="s">
        <v>39</v>
      </c>
      <c r="M586" s="2">
        <v>0</v>
      </c>
      <c r="N586" s="2">
        <v>0</v>
      </c>
      <c r="O586" s="2">
        <v>18.989999999999998</v>
      </c>
      <c r="P586" s="2" t="s">
        <v>74</v>
      </c>
      <c r="Q586" s="2" t="s">
        <v>28</v>
      </c>
      <c r="R586" s="2" t="s">
        <v>52</v>
      </c>
      <c r="S586" s="2" t="s">
        <v>228</v>
      </c>
      <c r="T586" s="2"/>
      <c r="U586" s="2" t="str">
        <f t="shared" si="28"/>
        <v>Not Required</v>
      </c>
      <c r="V586" s="2" t="s">
        <v>1800</v>
      </c>
    </row>
    <row r="587" spans="1:22" hidden="1" x14ac:dyDescent="0.3">
      <c r="A587" s="2" t="s">
        <v>1801</v>
      </c>
      <c r="B587" s="12">
        <f t="shared" si="27"/>
        <v>46238.587188101847</v>
      </c>
      <c r="C587" s="13">
        <v>46238.587188101847</v>
      </c>
      <c r="D587" s="2" t="s">
        <v>456</v>
      </c>
      <c r="E587" s="2" t="str">
        <f t="shared" si="29"/>
        <v>Email Available</v>
      </c>
      <c r="F587" s="2" t="s">
        <v>457</v>
      </c>
      <c r="G587" s="2" t="s">
        <v>112</v>
      </c>
      <c r="H587" s="2" t="s">
        <v>81</v>
      </c>
      <c r="I587" s="2" t="s">
        <v>113</v>
      </c>
      <c r="J587" s="2">
        <v>1</v>
      </c>
      <c r="K587" s="2">
        <v>22.99</v>
      </c>
      <c r="L587" s="2" t="s">
        <v>208</v>
      </c>
      <c r="M587" s="2">
        <v>3.45</v>
      </c>
      <c r="N587" s="2">
        <v>5.99</v>
      </c>
      <c r="O587" s="2">
        <v>25.53</v>
      </c>
      <c r="P587" s="2" t="s">
        <v>40</v>
      </c>
      <c r="Q587" s="2" t="s">
        <v>28</v>
      </c>
      <c r="R587" s="2" t="s">
        <v>52</v>
      </c>
      <c r="S587" s="2" t="s">
        <v>30</v>
      </c>
      <c r="T587" s="2" t="s">
        <v>248</v>
      </c>
      <c r="U587" s="2" t="str">
        <f t="shared" si="28"/>
        <v>Valid</v>
      </c>
      <c r="V587" s="2" t="s">
        <v>386</v>
      </c>
    </row>
    <row r="588" spans="1:22" hidden="1" x14ac:dyDescent="0.3">
      <c r="A588" s="2" t="s">
        <v>1802</v>
      </c>
      <c r="B588" s="12">
        <f t="shared" si="27"/>
        <v>46238.579400277777</v>
      </c>
      <c r="C588" s="13">
        <v>46238.579400277777</v>
      </c>
      <c r="D588" s="2" t="s">
        <v>1803</v>
      </c>
      <c r="E588" s="2" t="str">
        <f t="shared" si="29"/>
        <v>Email Available</v>
      </c>
      <c r="F588" s="2" t="s">
        <v>1804</v>
      </c>
      <c r="G588" s="2" t="s">
        <v>241</v>
      </c>
      <c r="H588" s="2" t="s">
        <v>242</v>
      </c>
      <c r="I588" s="2" t="s">
        <v>243</v>
      </c>
      <c r="J588" s="2">
        <v>1</v>
      </c>
      <c r="K588" s="2">
        <v>27.99</v>
      </c>
      <c r="L588" s="2"/>
      <c r="M588" s="2">
        <v>0</v>
      </c>
      <c r="N588" s="2">
        <v>4.99</v>
      </c>
      <c r="O588" s="2">
        <v>32.979999999999997</v>
      </c>
      <c r="P588" s="2" t="s">
        <v>51</v>
      </c>
      <c r="Q588" s="2" t="s">
        <v>90</v>
      </c>
      <c r="R588" s="2" t="s">
        <v>52</v>
      </c>
      <c r="S588" s="2" t="s">
        <v>30</v>
      </c>
      <c r="T588" s="2" t="s">
        <v>248</v>
      </c>
      <c r="U588" s="2" t="str">
        <f t="shared" si="28"/>
        <v>Valid</v>
      </c>
      <c r="V588" s="2" t="s">
        <v>1805</v>
      </c>
    </row>
    <row r="589" spans="1:22" hidden="1" x14ac:dyDescent="0.3">
      <c r="A589" s="2" t="s">
        <v>1806</v>
      </c>
      <c r="B589" s="12">
        <f t="shared" si="27"/>
        <v>46238</v>
      </c>
      <c r="C589" s="13" t="s">
        <v>722</v>
      </c>
      <c r="D589" s="2" t="s">
        <v>1807</v>
      </c>
      <c r="E589" s="2" t="str">
        <f t="shared" si="29"/>
        <v>Email Available</v>
      </c>
      <c r="F589" s="2" t="s">
        <v>1808</v>
      </c>
      <c r="G589" s="2" t="s">
        <v>127</v>
      </c>
      <c r="H589" s="2" t="s">
        <v>81</v>
      </c>
      <c r="I589" s="2" t="s">
        <v>128</v>
      </c>
      <c r="J589" s="2">
        <v>1</v>
      </c>
      <c r="K589" s="2" t="s">
        <v>1100</v>
      </c>
      <c r="L589" s="2"/>
      <c r="M589" s="2">
        <v>0</v>
      </c>
      <c r="N589" s="2">
        <v>4.99</v>
      </c>
      <c r="O589" s="2">
        <v>18.98</v>
      </c>
      <c r="P589" s="2" t="s">
        <v>27</v>
      </c>
      <c r="Q589" s="2" t="s">
        <v>28</v>
      </c>
      <c r="R589" s="2" t="s">
        <v>29</v>
      </c>
      <c r="S589" s="2" t="s">
        <v>30</v>
      </c>
      <c r="T589" s="2" t="s">
        <v>31</v>
      </c>
      <c r="U589" s="2" t="str">
        <f t="shared" si="28"/>
        <v>Valid</v>
      </c>
      <c r="V589" s="2" t="s">
        <v>1809</v>
      </c>
    </row>
    <row r="590" spans="1:22" hidden="1" x14ac:dyDescent="0.3">
      <c r="A590" s="2" t="s">
        <v>1810</v>
      </c>
      <c r="B590" s="12">
        <f t="shared" si="27"/>
        <v>46238.583200474539</v>
      </c>
      <c r="C590" s="13">
        <v>46238.583200474539</v>
      </c>
      <c r="D590" s="2" t="s">
        <v>211</v>
      </c>
      <c r="E590" s="2" t="str">
        <f t="shared" si="29"/>
        <v>Email Available</v>
      </c>
      <c r="F590" s="2" t="s">
        <v>212</v>
      </c>
      <c r="G590" s="2" t="s">
        <v>87</v>
      </c>
      <c r="H590" s="2" t="s">
        <v>88</v>
      </c>
      <c r="I590" s="2" t="s">
        <v>89</v>
      </c>
      <c r="J590" s="2">
        <v>1</v>
      </c>
      <c r="K590" s="2">
        <v>54.99</v>
      </c>
      <c r="L590" s="2" t="s">
        <v>67</v>
      </c>
      <c r="M590" s="2">
        <v>5.5</v>
      </c>
      <c r="N590" s="2">
        <v>4.99</v>
      </c>
      <c r="O590" s="2">
        <v>54.48</v>
      </c>
      <c r="P590" s="2" t="s">
        <v>40</v>
      </c>
      <c r="Q590" s="2" t="s">
        <v>41</v>
      </c>
      <c r="R590" s="2" t="s">
        <v>52</v>
      </c>
      <c r="S590" s="2" t="s">
        <v>108</v>
      </c>
      <c r="T590" s="2"/>
      <c r="U590" s="2" t="str">
        <f t="shared" si="28"/>
        <v>Not Required</v>
      </c>
      <c r="V590" s="2" t="s">
        <v>1811</v>
      </c>
    </row>
    <row r="591" spans="1:22" hidden="1" x14ac:dyDescent="0.3">
      <c r="A591" s="2" t="s">
        <v>1812</v>
      </c>
      <c r="B591" s="12">
        <f t="shared" si="27"/>
        <v>46238.582701203697</v>
      </c>
      <c r="C591" s="13">
        <v>46238.582701203697</v>
      </c>
      <c r="D591" s="2" t="s">
        <v>1813</v>
      </c>
      <c r="E591" s="2" t="str">
        <f t="shared" si="29"/>
        <v>Email Available</v>
      </c>
      <c r="F591" s="2" t="s">
        <v>1814</v>
      </c>
      <c r="G591" s="2" t="s">
        <v>48</v>
      </c>
      <c r="H591" s="2" t="s">
        <v>49</v>
      </c>
      <c r="I591" s="2" t="s">
        <v>50</v>
      </c>
      <c r="J591" s="2">
        <v>2</v>
      </c>
      <c r="K591" s="2" t="s">
        <v>1513</v>
      </c>
      <c r="L591" s="2" t="s">
        <v>121</v>
      </c>
      <c r="M591" s="2" t="s">
        <v>1815</v>
      </c>
      <c r="N591" s="2">
        <v>0</v>
      </c>
      <c r="O591" s="2">
        <v>59.98</v>
      </c>
      <c r="P591" s="2" t="s">
        <v>40</v>
      </c>
      <c r="Q591" s="2" t="s">
        <v>28</v>
      </c>
      <c r="R591" s="2" t="s">
        <v>52</v>
      </c>
      <c r="S591" s="2" t="s">
        <v>337</v>
      </c>
      <c r="T591" s="2"/>
      <c r="U591" s="2" t="str">
        <f t="shared" si="28"/>
        <v>Not Required</v>
      </c>
      <c r="V591" s="2" t="s">
        <v>1816</v>
      </c>
    </row>
    <row r="592" spans="1:22" hidden="1" x14ac:dyDescent="0.3">
      <c r="A592" s="2" t="s">
        <v>1817</v>
      </c>
      <c r="B592" s="12">
        <f t="shared" si="27"/>
        <v>46238.584827164363</v>
      </c>
      <c r="C592" s="13">
        <v>46238.584827164363</v>
      </c>
      <c r="D592" s="2" t="s">
        <v>760</v>
      </c>
      <c r="E592" s="2" t="str">
        <f t="shared" si="29"/>
        <v>Email Available</v>
      </c>
      <c r="F592" s="2" t="s">
        <v>761</v>
      </c>
      <c r="G592" s="2" t="s">
        <v>87</v>
      </c>
      <c r="H592" s="2" t="s">
        <v>88</v>
      </c>
      <c r="I592" s="2" t="s">
        <v>89</v>
      </c>
      <c r="J592" s="2">
        <v>3</v>
      </c>
      <c r="K592" s="2">
        <v>54.99</v>
      </c>
      <c r="L592" s="2" t="s">
        <v>121</v>
      </c>
      <c r="M592" s="2">
        <v>41.24</v>
      </c>
      <c r="N592" s="2">
        <v>0</v>
      </c>
      <c r="O592" s="2">
        <v>123.73</v>
      </c>
      <c r="P592" s="2" t="s">
        <v>74</v>
      </c>
      <c r="Q592" s="2" t="s">
        <v>90</v>
      </c>
      <c r="R592" s="2" t="s">
        <v>29</v>
      </c>
      <c r="S592" s="2" t="s">
        <v>30</v>
      </c>
      <c r="T592" s="2" t="s">
        <v>115</v>
      </c>
      <c r="U592" s="2" t="str">
        <f t="shared" si="28"/>
        <v>Valid</v>
      </c>
      <c r="V592" s="2" t="s">
        <v>1818</v>
      </c>
    </row>
    <row r="593" spans="1:22" hidden="1" x14ac:dyDescent="0.3">
      <c r="A593" s="2" t="s">
        <v>1819</v>
      </c>
      <c r="B593" s="12">
        <f t="shared" si="27"/>
        <v>46238.587189861108</v>
      </c>
      <c r="C593" s="13">
        <v>46238.587189861108</v>
      </c>
      <c r="D593" s="2" t="s">
        <v>536</v>
      </c>
      <c r="E593" s="2" t="str">
        <f t="shared" si="29"/>
        <v>Email Available</v>
      </c>
      <c r="F593" s="2" t="s">
        <v>537</v>
      </c>
      <c r="G593" s="2" t="s">
        <v>315</v>
      </c>
      <c r="H593" s="2" t="s">
        <v>37</v>
      </c>
      <c r="I593" s="2" t="s">
        <v>316</v>
      </c>
      <c r="J593" s="2">
        <v>2</v>
      </c>
      <c r="K593" s="2">
        <v>8.99</v>
      </c>
      <c r="L593" s="2"/>
      <c r="M593" s="2">
        <v>0</v>
      </c>
      <c r="N593" s="2">
        <v>5.99</v>
      </c>
      <c r="O593" s="2">
        <v>23.97</v>
      </c>
      <c r="P593" s="2" t="s">
        <v>27</v>
      </c>
      <c r="Q593" s="2" t="s">
        <v>28</v>
      </c>
      <c r="R593" s="2" t="s">
        <v>52</v>
      </c>
      <c r="S593" s="2" t="s">
        <v>30</v>
      </c>
      <c r="T593" s="2" t="s">
        <v>347</v>
      </c>
      <c r="U593" s="2" t="str">
        <f t="shared" si="28"/>
        <v>Valid</v>
      </c>
      <c r="V593" s="2" t="s">
        <v>1820</v>
      </c>
    </row>
    <row r="594" spans="1:22" hidden="1" x14ac:dyDescent="0.3">
      <c r="A594" s="2" t="s">
        <v>1821</v>
      </c>
      <c r="B594" s="12">
        <f t="shared" si="27"/>
        <v>46238.581033761577</v>
      </c>
      <c r="C594" s="13">
        <v>46238.581033761577</v>
      </c>
      <c r="D594" s="2" t="s">
        <v>288</v>
      </c>
      <c r="E594" s="2" t="str">
        <f t="shared" si="29"/>
        <v>Email Available</v>
      </c>
      <c r="F594" s="2" t="s">
        <v>289</v>
      </c>
      <c r="G594" s="2" t="s">
        <v>80</v>
      </c>
      <c r="H594" s="2" t="s">
        <v>81</v>
      </c>
      <c r="I594" s="2" t="s">
        <v>82</v>
      </c>
      <c r="J594" s="2">
        <v>1</v>
      </c>
      <c r="K594" s="2">
        <v>89.99</v>
      </c>
      <c r="L594" s="2" t="s">
        <v>25</v>
      </c>
      <c r="M594" s="2">
        <v>18</v>
      </c>
      <c r="N594" s="2">
        <v>0</v>
      </c>
      <c r="O594" s="2">
        <v>71.989999999999995</v>
      </c>
      <c r="P594" s="2" t="s">
        <v>51</v>
      </c>
      <c r="Q594" s="2" t="s">
        <v>28</v>
      </c>
      <c r="R594" s="2" t="s">
        <v>99</v>
      </c>
      <c r="S594" s="2" t="s">
        <v>30</v>
      </c>
      <c r="T594" s="2" t="s">
        <v>145</v>
      </c>
      <c r="U594" s="2" t="str">
        <f t="shared" si="28"/>
        <v>Valid</v>
      </c>
      <c r="V594" s="2" t="s">
        <v>1822</v>
      </c>
    </row>
    <row r="595" spans="1:22" hidden="1" x14ac:dyDescent="0.3">
      <c r="A595" s="2" t="s">
        <v>1823</v>
      </c>
      <c r="B595" s="12">
        <f t="shared" si="27"/>
        <v>46238.588151770833</v>
      </c>
      <c r="C595" s="13">
        <v>46238.588151770833</v>
      </c>
      <c r="D595" s="2" t="s">
        <v>236</v>
      </c>
      <c r="E595" s="2" t="str">
        <f t="shared" si="29"/>
        <v>Email Available</v>
      </c>
      <c r="F595" s="2" t="s">
        <v>1026</v>
      </c>
      <c r="G595" s="2" t="s">
        <v>48</v>
      </c>
      <c r="H595" s="2" t="s">
        <v>49</v>
      </c>
      <c r="I595" s="2" t="s">
        <v>50</v>
      </c>
      <c r="J595" s="2">
        <v>1</v>
      </c>
      <c r="K595" s="2">
        <v>39.99</v>
      </c>
      <c r="L595" s="2" t="s">
        <v>25</v>
      </c>
      <c r="M595" s="2">
        <v>8</v>
      </c>
      <c r="N595" s="2">
        <v>5.99</v>
      </c>
      <c r="O595" s="2">
        <v>37.979999999999997</v>
      </c>
      <c r="P595" s="2" t="s">
        <v>27</v>
      </c>
      <c r="Q595" s="2" t="s">
        <v>28</v>
      </c>
      <c r="R595" s="2" t="s">
        <v>29</v>
      </c>
      <c r="S595" s="2" t="s">
        <v>43</v>
      </c>
      <c r="T595" s="2"/>
      <c r="U595" s="2" t="str">
        <f t="shared" si="28"/>
        <v>Not Required</v>
      </c>
      <c r="V595" s="2" t="s">
        <v>1824</v>
      </c>
    </row>
    <row r="596" spans="1:22" hidden="1" x14ac:dyDescent="0.3">
      <c r="A596" s="2" t="s">
        <v>1825</v>
      </c>
      <c r="B596" s="12">
        <f t="shared" si="27"/>
        <v>46238.581025671287</v>
      </c>
      <c r="C596" s="13">
        <v>46238.581025671287</v>
      </c>
      <c r="D596" s="2" t="s">
        <v>448</v>
      </c>
      <c r="E596" s="2" t="str">
        <f t="shared" si="29"/>
        <v>Email Available</v>
      </c>
      <c r="F596" s="2" t="s">
        <v>449</v>
      </c>
      <c r="G596" s="2" t="s">
        <v>226</v>
      </c>
      <c r="H596" s="2" t="s">
        <v>23</v>
      </c>
      <c r="I596" s="2" t="s">
        <v>227</v>
      </c>
      <c r="J596" s="2">
        <v>1</v>
      </c>
      <c r="K596" s="2">
        <v>17.989999999999998</v>
      </c>
      <c r="L596" s="2"/>
      <c r="M596" s="2">
        <v>0</v>
      </c>
      <c r="N596" s="2">
        <v>7.99</v>
      </c>
      <c r="O596" s="2">
        <v>25.98</v>
      </c>
      <c r="P596" s="2" t="s">
        <v>74</v>
      </c>
      <c r="Q596" s="2" t="s">
        <v>41</v>
      </c>
      <c r="R596" s="2" t="s">
        <v>52</v>
      </c>
      <c r="S596" s="2" t="s">
        <v>30</v>
      </c>
      <c r="T596" s="2" t="s">
        <v>347</v>
      </c>
      <c r="U596" s="2" t="str">
        <f t="shared" si="28"/>
        <v>Valid</v>
      </c>
      <c r="V596" s="2" t="s">
        <v>1826</v>
      </c>
    </row>
    <row r="597" spans="1:22" hidden="1" x14ac:dyDescent="0.3">
      <c r="A597" s="2" t="s">
        <v>1827</v>
      </c>
      <c r="B597" s="12">
        <f t="shared" si="27"/>
        <v>46238.587113229158</v>
      </c>
      <c r="C597" s="13">
        <v>46238.587113229158</v>
      </c>
      <c r="D597" s="2" t="s">
        <v>1098</v>
      </c>
      <c r="E597" s="2" t="str">
        <f t="shared" si="29"/>
        <v>Email Available</v>
      </c>
      <c r="F597" s="2" t="s">
        <v>1099</v>
      </c>
      <c r="G597" s="2" t="s">
        <v>58</v>
      </c>
      <c r="H597" s="2" t="s">
        <v>23</v>
      </c>
      <c r="I597" s="2" t="s">
        <v>59</v>
      </c>
      <c r="J597" s="2">
        <v>1</v>
      </c>
      <c r="K597" s="2">
        <v>9.99</v>
      </c>
      <c r="L597" s="2" t="s">
        <v>121</v>
      </c>
      <c r="M597" s="2">
        <v>2.5</v>
      </c>
      <c r="N597" s="2">
        <v>7.99</v>
      </c>
      <c r="O597" s="2">
        <v>15.48</v>
      </c>
      <c r="P597" s="2" t="s">
        <v>27</v>
      </c>
      <c r="Q597" s="2" t="s">
        <v>28</v>
      </c>
      <c r="R597" s="2" t="s">
        <v>52</v>
      </c>
      <c r="S597" s="2" t="s">
        <v>30</v>
      </c>
      <c r="T597" s="2" t="s">
        <v>60</v>
      </c>
      <c r="U597" s="2" t="str">
        <f t="shared" si="28"/>
        <v>Valid</v>
      </c>
      <c r="V597" s="2" t="s">
        <v>1828</v>
      </c>
    </row>
    <row r="598" spans="1:22" hidden="1" x14ac:dyDescent="0.3">
      <c r="A598" s="2" t="s">
        <v>1829</v>
      </c>
      <c r="B598" s="12">
        <f t="shared" si="27"/>
        <v>46238.58538365741</v>
      </c>
      <c r="C598" s="13">
        <v>46238.58538365741</v>
      </c>
      <c r="D598" s="2" t="s">
        <v>1798</v>
      </c>
      <c r="E598" s="2" t="str">
        <f t="shared" si="29"/>
        <v>Email Available</v>
      </c>
      <c r="F598" s="2" t="s">
        <v>1799</v>
      </c>
      <c r="G598" s="2" t="s">
        <v>241</v>
      </c>
      <c r="H598" s="2" t="s">
        <v>242</v>
      </c>
      <c r="I598" s="2" t="s">
        <v>243</v>
      </c>
      <c r="J598" s="2">
        <v>2</v>
      </c>
      <c r="K598" s="2">
        <v>27.99</v>
      </c>
      <c r="L598" s="2" t="s">
        <v>208</v>
      </c>
      <c r="M598" s="2">
        <v>8.4</v>
      </c>
      <c r="N598" s="2">
        <v>7.99</v>
      </c>
      <c r="O598" s="2">
        <v>55.57</v>
      </c>
      <c r="P598" s="2" t="s">
        <v>74</v>
      </c>
      <c r="Q598" s="2" t="s">
        <v>28</v>
      </c>
      <c r="R598" s="2" t="s">
        <v>52</v>
      </c>
      <c r="S598" s="2" t="s">
        <v>228</v>
      </c>
      <c r="T598" s="2"/>
      <c r="U598" s="2" t="str">
        <f t="shared" si="28"/>
        <v>Not Required</v>
      </c>
      <c r="V598" s="2" t="s">
        <v>1830</v>
      </c>
    </row>
    <row r="599" spans="1:22" hidden="1" x14ac:dyDescent="0.3">
      <c r="A599" s="2" t="s">
        <v>1831</v>
      </c>
      <c r="B599" s="12">
        <f t="shared" si="27"/>
        <v>46238.580199826392</v>
      </c>
      <c r="C599" s="13">
        <v>46238.580199826392</v>
      </c>
      <c r="D599" s="2" t="s">
        <v>1495</v>
      </c>
      <c r="E599" s="2" t="str">
        <f t="shared" si="29"/>
        <v>Email Available</v>
      </c>
      <c r="F599" s="2" t="s">
        <v>1496</v>
      </c>
      <c r="G599" s="2" t="s">
        <v>133</v>
      </c>
      <c r="H599" s="2" t="s">
        <v>106</v>
      </c>
      <c r="I599" s="2" t="s">
        <v>134</v>
      </c>
      <c r="J599" s="2">
        <v>1</v>
      </c>
      <c r="K599" s="2">
        <v>16.989999999999998</v>
      </c>
      <c r="L599" s="2" t="s">
        <v>67</v>
      </c>
      <c r="M599" s="2">
        <v>1.7</v>
      </c>
      <c r="N599" s="2">
        <v>7.99</v>
      </c>
      <c r="O599" s="2">
        <v>23.28</v>
      </c>
      <c r="P599" s="2" t="s">
        <v>74</v>
      </c>
      <c r="Q599" s="2" t="s">
        <v>28</v>
      </c>
      <c r="R599" s="2" t="s">
        <v>52</v>
      </c>
      <c r="S599" s="2" t="s">
        <v>43</v>
      </c>
      <c r="T599" s="2"/>
      <c r="U599" s="2" t="str">
        <f t="shared" si="28"/>
        <v>Not Required</v>
      </c>
      <c r="V599" s="2" t="s">
        <v>1832</v>
      </c>
    </row>
    <row r="600" spans="1:22" hidden="1" x14ac:dyDescent="0.3">
      <c r="A600" s="2" t="s">
        <v>1833</v>
      </c>
      <c r="B600" s="12">
        <f t="shared" si="27"/>
        <v>46238.585551539349</v>
      </c>
      <c r="C600" s="13">
        <v>46238.585551539349</v>
      </c>
      <c r="D600" s="2" t="s">
        <v>428</v>
      </c>
      <c r="E600" s="2" t="str">
        <f t="shared" si="29"/>
        <v>Email Available</v>
      </c>
      <c r="F600" s="2" t="s">
        <v>429</v>
      </c>
      <c r="G600" s="2" t="s">
        <v>127</v>
      </c>
      <c r="H600" s="2" t="s">
        <v>81</v>
      </c>
      <c r="I600" s="2" t="s">
        <v>128</v>
      </c>
      <c r="J600" s="2">
        <v>1</v>
      </c>
      <c r="K600" s="2">
        <v>13.99</v>
      </c>
      <c r="L600" s="2"/>
      <c r="M600" s="2">
        <v>0</v>
      </c>
      <c r="N600" s="2">
        <v>5.99</v>
      </c>
      <c r="O600" s="2" t="s">
        <v>1834</v>
      </c>
      <c r="P600" s="2" t="s">
        <v>27</v>
      </c>
      <c r="Q600" s="2" t="s">
        <v>90</v>
      </c>
      <c r="R600" s="2" t="s">
        <v>42</v>
      </c>
      <c r="S600" s="2" t="s">
        <v>30</v>
      </c>
      <c r="T600" s="2" t="s">
        <v>91</v>
      </c>
      <c r="U600" s="2" t="str">
        <f t="shared" si="28"/>
        <v>Valid</v>
      </c>
      <c r="V600" s="2" t="s">
        <v>1835</v>
      </c>
    </row>
    <row r="601" spans="1:22" hidden="1" x14ac:dyDescent="0.3">
      <c r="A601" s="2" t="s">
        <v>1836</v>
      </c>
      <c r="B601" s="12">
        <f t="shared" si="27"/>
        <v>46238.579912731482</v>
      </c>
      <c r="C601" s="13">
        <v>46238.579912731482</v>
      </c>
      <c r="D601" s="2" t="s">
        <v>256</v>
      </c>
      <c r="E601" s="2" t="str">
        <f t="shared" si="29"/>
        <v>Email Available</v>
      </c>
      <c r="F601" s="2" t="s">
        <v>350</v>
      </c>
      <c r="G601" s="2" t="s">
        <v>65</v>
      </c>
      <c r="H601" s="2" t="s">
        <v>49</v>
      </c>
      <c r="I601" s="2" t="s">
        <v>453</v>
      </c>
      <c r="J601" s="2">
        <v>2</v>
      </c>
      <c r="K601" s="2">
        <v>14.99</v>
      </c>
      <c r="L601" s="2" t="s">
        <v>121</v>
      </c>
      <c r="M601" s="2">
        <v>7.5</v>
      </c>
      <c r="N601" s="2">
        <v>4.99</v>
      </c>
      <c r="O601" s="2">
        <v>27.47</v>
      </c>
      <c r="P601" s="2" t="s">
        <v>51</v>
      </c>
      <c r="Q601" s="2" t="s">
        <v>90</v>
      </c>
      <c r="R601" s="2" t="s">
        <v>52</v>
      </c>
      <c r="S601" s="2" t="s">
        <v>30</v>
      </c>
      <c r="T601" s="2" t="s">
        <v>347</v>
      </c>
      <c r="U601" s="2" t="str">
        <f t="shared" si="28"/>
        <v>Valid</v>
      </c>
      <c r="V601" s="2" t="s">
        <v>1837</v>
      </c>
    </row>
    <row r="602" spans="1:22" hidden="1" x14ac:dyDescent="0.3">
      <c r="A602" s="2" t="s">
        <v>1838</v>
      </c>
      <c r="B602" s="12">
        <f>DATE(VALUE(RIGHT(C602,4)),MATCH(LEFT(C602,3),{"Jan","Feb","Mar","Apr","May","Jun","Jul","Aug","Sep","Oct","Nov","Dec"},0),VALUE(MID(C602,5,2)))</f>
        <v>46238</v>
      </c>
      <c r="C602" s="13" t="s">
        <v>176</v>
      </c>
      <c r="D602" s="2" t="s">
        <v>1839</v>
      </c>
      <c r="E602" s="2" t="str">
        <f t="shared" si="29"/>
        <v>Email Available</v>
      </c>
      <c r="F602" s="2" t="s">
        <v>1840</v>
      </c>
      <c r="G602" s="2" t="s">
        <v>87</v>
      </c>
      <c r="H602" s="2" t="s">
        <v>88</v>
      </c>
      <c r="I602" s="2" t="s">
        <v>89</v>
      </c>
      <c r="J602" s="2">
        <v>1</v>
      </c>
      <c r="K602" s="2" t="s">
        <v>370</v>
      </c>
      <c r="L602" s="2"/>
      <c r="M602" s="2">
        <v>0</v>
      </c>
      <c r="N602" s="2">
        <v>5.99</v>
      </c>
      <c r="O602" s="2">
        <v>60.98</v>
      </c>
      <c r="P602" s="2" t="s">
        <v>27</v>
      </c>
      <c r="Q602" s="2" t="s">
        <v>114</v>
      </c>
      <c r="R602" s="2" t="s">
        <v>52</v>
      </c>
      <c r="S602" s="2" t="s">
        <v>108</v>
      </c>
      <c r="T602" s="2"/>
      <c r="U602" s="2" t="str">
        <f t="shared" si="28"/>
        <v>Not Required</v>
      </c>
      <c r="V602" s="2" t="s">
        <v>1841</v>
      </c>
    </row>
    <row r="603" spans="1:22" hidden="1" x14ac:dyDescent="0.3">
      <c r="A603" s="2" t="s">
        <v>1842</v>
      </c>
      <c r="B603" s="12">
        <f t="shared" si="27"/>
        <v>46238.582017430563</v>
      </c>
      <c r="C603" s="13">
        <v>46238.582017430563</v>
      </c>
      <c r="D603" s="2" t="s">
        <v>1843</v>
      </c>
      <c r="E603" s="2" t="str">
        <f t="shared" si="29"/>
        <v>Email Available</v>
      </c>
      <c r="F603" s="2" t="s">
        <v>1844</v>
      </c>
      <c r="G603" s="2" t="s">
        <v>133</v>
      </c>
      <c r="H603" s="2" t="s">
        <v>106</v>
      </c>
      <c r="I603" s="2" t="s">
        <v>134</v>
      </c>
      <c r="J603" s="2">
        <v>2</v>
      </c>
      <c r="K603" s="2">
        <v>16.989999999999998</v>
      </c>
      <c r="L603" s="2" t="s">
        <v>39</v>
      </c>
      <c r="M603" s="2" t="s">
        <v>189</v>
      </c>
      <c r="N603" s="2">
        <v>0</v>
      </c>
      <c r="O603" s="2">
        <v>33.979999999999997</v>
      </c>
      <c r="P603" s="2" t="s">
        <v>51</v>
      </c>
      <c r="Q603" s="2" t="s">
        <v>90</v>
      </c>
      <c r="R603" s="2" t="s">
        <v>52</v>
      </c>
      <c r="S603" s="2" t="s">
        <v>30</v>
      </c>
      <c r="T603" s="2" t="s">
        <v>248</v>
      </c>
      <c r="U603" s="2" t="str">
        <f t="shared" si="28"/>
        <v>Valid</v>
      </c>
      <c r="V603" s="2" t="s">
        <v>1845</v>
      </c>
    </row>
    <row r="604" spans="1:22" hidden="1" x14ac:dyDescent="0.3">
      <c r="A604" s="2" t="s">
        <v>1846</v>
      </c>
      <c r="B604" s="12">
        <f t="shared" si="27"/>
        <v>46238.579078414346</v>
      </c>
      <c r="C604" s="13">
        <v>46238.579078414346</v>
      </c>
      <c r="D604" s="2" t="s">
        <v>1847</v>
      </c>
      <c r="E604" s="2" t="str">
        <f t="shared" si="29"/>
        <v>Email Available</v>
      </c>
      <c r="F604" s="2" t="s">
        <v>1848</v>
      </c>
      <c r="G604" s="2" t="s">
        <v>368</v>
      </c>
      <c r="H604" s="2" t="s">
        <v>88</v>
      </c>
      <c r="I604" s="2" t="s">
        <v>369</v>
      </c>
      <c r="J604" s="2">
        <v>1</v>
      </c>
      <c r="K604" s="2">
        <v>54.99</v>
      </c>
      <c r="L604" s="2" t="s">
        <v>67</v>
      </c>
      <c r="M604" s="2">
        <v>5.5</v>
      </c>
      <c r="N604" s="2">
        <v>5.99</v>
      </c>
      <c r="O604" s="2">
        <v>55.48</v>
      </c>
      <c r="P604" s="2" t="s">
        <v>68</v>
      </c>
      <c r="Q604" s="2" t="s">
        <v>114</v>
      </c>
      <c r="R604" s="2" t="s">
        <v>52</v>
      </c>
      <c r="S604" s="2" t="s">
        <v>30</v>
      </c>
      <c r="T604" s="2" t="s">
        <v>69</v>
      </c>
      <c r="U604" s="2" t="str">
        <f t="shared" si="28"/>
        <v>Valid</v>
      </c>
      <c r="V604" s="2" t="s">
        <v>1849</v>
      </c>
    </row>
    <row r="605" spans="1:22" hidden="1" x14ac:dyDescent="0.3">
      <c r="A605" s="2" t="s">
        <v>1850</v>
      </c>
      <c r="B605" s="12">
        <f t="shared" si="27"/>
        <v>46238</v>
      </c>
      <c r="C605" s="13" t="s">
        <v>1574</v>
      </c>
      <c r="D605" s="2" t="s">
        <v>169</v>
      </c>
      <c r="E605" s="2" t="str">
        <f t="shared" si="29"/>
        <v>Email Available</v>
      </c>
      <c r="F605" s="2" t="s">
        <v>170</v>
      </c>
      <c r="G605" s="2" t="s">
        <v>151</v>
      </c>
      <c r="H605" s="2" t="s">
        <v>49</v>
      </c>
      <c r="I605" s="2" t="s">
        <v>152</v>
      </c>
      <c r="J605" s="2">
        <v>3</v>
      </c>
      <c r="K605" s="2">
        <v>34.99</v>
      </c>
      <c r="L605" s="2" t="s">
        <v>208</v>
      </c>
      <c r="M605" s="2">
        <v>15.75</v>
      </c>
      <c r="N605" s="2">
        <v>0</v>
      </c>
      <c r="O605" s="2">
        <v>89.22</v>
      </c>
      <c r="P605" s="2" t="s">
        <v>27</v>
      </c>
      <c r="Q605" s="2" t="s">
        <v>28</v>
      </c>
      <c r="R605" s="2" t="s">
        <v>52</v>
      </c>
      <c r="S605" s="2" t="s">
        <v>108</v>
      </c>
      <c r="T605" s="2"/>
      <c r="U605" s="2" t="str">
        <f t="shared" si="28"/>
        <v>Not Required</v>
      </c>
      <c r="V605" s="2" t="s">
        <v>1851</v>
      </c>
    </row>
    <row r="606" spans="1:22" hidden="1" x14ac:dyDescent="0.3">
      <c r="A606" s="2" t="s">
        <v>1852</v>
      </c>
      <c r="B606" s="12">
        <f t="shared" si="27"/>
        <v>46238.588400185188</v>
      </c>
      <c r="C606" s="13">
        <v>46238.588400185188</v>
      </c>
      <c r="D606" s="2" t="s">
        <v>1853</v>
      </c>
      <c r="E606" s="2" t="str">
        <f t="shared" si="29"/>
        <v>Email Available</v>
      </c>
      <c r="F606" s="2" t="s">
        <v>1854</v>
      </c>
      <c r="G606" s="2" t="s">
        <v>266</v>
      </c>
      <c r="H606" s="2" t="s">
        <v>37</v>
      </c>
      <c r="I606" s="2" t="s">
        <v>267</v>
      </c>
      <c r="J606" s="2">
        <v>2</v>
      </c>
      <c r="K606" s="2">
        <v>15.49</v>
      </c>
      <c r="L606" s="2"/>
      <c r="M606" s="2">
        <v>0</v>
      </c>
      <c r="N606" s="2">
        <v>4.99</v>
      </c>
      <c r="O606" s="2">
        <v>35.97</v>
      </c>
      <c r="P606" s="2" t="s">
        <v>74</v>
      </c>
      <c r="Q606" s="2" t="s">
        <v>90</v>
      </c>
      <c r="R606" s="2" t="s">
        <v>29</v>
      </c>
      <c r="S606" s="2" t="s">
        <v>30</v>
      </c>
      <c r="T606" s="2" t="s">
        <v>60</v>
      </c>
      <c r="U606" s="2" t="str">
        <f t="shared" si="28"/>
        <v>Valid</v>
      </c>
      <c r="V606" s="2" t="s">
        <v>1855</v>
      </c>
    </row>
    <row r="607" spans="1:22" hidden="1" x14ac:dyDescent="0.3">
      <c r="A607" s="2" t="s">
        <v>1856</v>
      </c>
      <c r="B607" s="12">
        <f t="shared" si="27"/>
        <v>46238.582869849539</v>
      </c>
      <c r="C607" s="13">
        <v>46238.582869849539</v>
      </c>
      <c r="D607" s="2" t="s">
        <v>1857</v>
      </c>
      <c r="E607" s="2" t="str">
        <f t="shared" si="29"/>
        <v>Email Available</v>
      </c>
      <c r="F607" s="2" t="s">
        <v>1858</v>
      </c>
      <c r="G607" s="2" t="s">
        <v>266</v>
      </c>
      <c r="H607" s="2" t="s">
        <v>37</v>
      </c>
      <c r="I607" s="2" t="s">
        <v>267</v>
      </c>
      <c r="J607" s="2">
        <v>1</v>
      </c>
      <c r="K607" s="2">
        <v>15.49</v>
      </c>
      <c r="L607" s="2"/>
      <c r="M607" s="2">
        <v>0</v>
      </c>
      <c r="N607" s="2">
        <v>7.99</v>
      </c>
      <c r="O607" s="2">
        <v>23.48</v>
      </c>
      <c r="P607" s="2" t="s">
        <v>40</v>
      </c>
      <c r="Q607" s="2" t="s">
        <v>28</v>
      </c>
      <c r="R607" s="2" t="s">
        <v>52</v>
      </c>
      <c r="S607" s="2" t="s">
        <v>43</v>
      </c>
      <c r="T607" s="2"/>
      <c r="U607" s="2" t="str">
        <f t="shared" si="28"/>
        <v>Not Required</v>
      </c>
      <c r="V607" s="2" t="s">
        <v>1859</v>
      </c>
    </row>
    <row r="608" spans="1:22" hidden="1" x14ac:dyDescent="0.3">
      <c r="A608" s="2" t="s">
        <v>1860</v>
      </c>
      <c r="B608" s="12">
        <f t="shared" si="27"/>
        <v>46238.585318587961</v>
      </c>
      <c r="C608" s="13">
        <v>46238.585318587961</v>
      </c>
      <c r="D608" s="2" t="s">
        <v>492</v>
      </c>
      <c r="E608" s="2" t="str">
        <f t="shared" si="29"/>
        <v>Email Available</v>
      </c>
      <c r="F608" s="2" t="s">
        <v>493</v>
      </c>
      <c r="G608" s="2" t="s">
        <v>127</v>
      </c>
      <c r="H608" s="2" t="s">
        <v>81</v>
      </c>
      <c r="I608" s="2" t="s">
        <v>128</v>
      </c>
      <c r="J608" s="2">
        <v>1</v>
      </c>
      <c r="K608" s="2">
        <v>13.99</v>
      </c>
      <c r="L608" s="2" t="s">
        <v>25</v>
      </c>
      <c r="M608" s="2">
        <v>2.8</v>
      </c>
      <c r="N608" s="2">
        <v>7.99</v>
      </c>
      <c r="O608" s="2">
        <v>19.18</v>
      </c>
      <c r="P608" s="2" t="s">
        <v>40</v>
      </c>
      <c r="Q608" s="2" t="s">
        <v>114</v>
      </c>
      <c r="R608" s="2" t="s">
        <v>29</v>
      </c>
      <c r="S608" s="2" t="s">
        <v>75</v>
      </c>
      <c r="T608" s="2"/>
      <c r="U608" s="2" t="str">
        <f t="shared" si="28"/>
        <v>Not Required</v>
      </c>
      <c r="V608" s="2" t="s">
        <v>1861</v>
      </c>
    </row>
    <row r="609" spans="1:22" hidden="1" x14ac:dyDescent="0.3">
      <c r="A609" s="2" t="s">
        <v>1862</v>
      </c>
      <c r="B609" s="12">
        <f t="shared" si="27"/>
        <v>46238.585281319443</v>
      </c>
      <c r="C609" s="13">
        <v>46238.585281319443</v>
      </c>
      <c r="D609" s="2" t="s">
        <v>825</v>
      </c>
      <c r="E609" s="2" t="str">
        <f t="shared" si="29"/>
        <v>Email Available</v>
      </c>
      <c r="F609" s="2" t="s">
        <v>826</v>
      </c>
      <c r="G609" s="2" t="s">
        <v>112</v>
      </c>
      <c r="H609" s="2" t="s">
        <v>81</v>
      </c>
      <c r="I609" s="2" t="s">
        <v>113</v>
      </c>
      <c r="J609" s="2">
        <v>2</v>
      </c>
      <c r="K609" s="2">
        <v>22.99</v>
      </c>
      <c r="L609" s="2"/>
      <c r="M609" s="2">
        <v>0</v>
      </c>
      <c r="N609" s="2">
        <v>5.99</v>
      </c>
      <c r="O609" s="2">
        <v>51.97</v>
      </c>
      <c r="P609" s="2" t="s">
        <v>51</v>
      </c>
      <c r="Q609" s="2" t="s">
        <v>114</v>
      </c>
      <c r="R609" s="2" t="s">
        <v>52</v>
      </c>
      <c r="S609" s="2" t="s">
        <v>75</v>
      </c>
      <c r="T609" s="2"/>
      <c r="U609" s="2" t="str">
        <f t="shared" si="28"/>
        <v>Not Required</v>
      </c>
      <c r="V609" s="2" t="s">
        <v>1863</v>
      </c>
    </row>
    <row r="610" spans="1:22" hidden="1" x14ac:dyDescent="0.3">
      <c r="A610" s="2" t="s">
        <v>1864</v>
      </c>
      <c r="B610" s="12">
        <f t="shared" si="27"/>
        <v>46238.585267025461</v>
      </c>
      <c r="C610" s="13">
        <v>46238.585267025461</v>
      </c>
      <c r="D610" s="2" t="s">
        <v>78</v>
      </c>
      <c r="E610" s="2" t="str">
        <f t="shared" si="29"/>
        <v>Email Available</v>
      </c>
      <c r="F610" s="2" t="s">
        <v>79</v>
      </c>
      <c r="G610" s="2" t="s">
        <v>151</v>
      </c>
      <c r="H610" s="2" t="s">
        <v>49</v>
      </c>
      <c r="I610" s="2" t="s">
        <v>152</v>
      </c>
      <c r="J610" s="2">
        <v>2</v>
      </c>
      <c r="K610" s="2">
        <v>34.99</v>
      </c>
      <c r="L610" s="2" t="s">
        <v>39</v>
      </c>
      <c r="M610" s="2">
        <v>0</v>
      </c>
      <c r="N610" s="2">
        <v>0</v>
      </c>
      <c r="O610" s="2">
        <v>69.98</v>
      </c>
      <c r="P610" s="2" t="s">
        <v>68</v>
      </c>
      <c r="Q610" s="2" t="s">
        <v>90</v>
      </c>
      <c r="R610" s="2" t="s">
        <v>52</v>
      </c>
      <c r="S610" s="2" t="s">
        <v>75</v>
      </c>
      <c r="T610" s="2"/>
      <c r="U610" s="2" t="str">
        <f t="shared" si="28"/>
        <v>Not Required</v>
      </c>
      <c r="V610" s="2" t="s">
        <v>1865</v>
      </c>
    </row>
    <row r="611" spans="1:22" hidden="1" x14ac:dyDescent="0.3">
      <c r="A611" s="2" t="s">
        <v>1866</v>
      </c>
      <c r="B611" s="12">
        <f t="shared" si="27"/>
        <v>46238.582907766213</v>
      </c>
      <c r="C611" s="13">
        <v>46238.582907766213</v>
      </c>
      <c r="D611" s="2" t="s">
        <v>685</v>
      </c>
      <c r="E611" s="2" t="str">
        <f t="shared" si="29"/>
        <v>Email Available</v>
      </c>
      <c r="F611" s="2" t="s">
        <v>485</v>
      </c>
      <c r="G611" s="2" t="s">
        <v>266</v>
      </c>
      <c r="H611" s="2" t="s">
        <v>37</v>
      </c>
      <c r="I611" s="2" t="s">
        <v>267</v>
      </c>
      <c r="J611" s="2">
        <v>1</v>
      </c>
      <c r="K611" s="2">
        <v>15.49</v>
      </c>
      <c r="L611" s="2"/>
      <c r="M611" s="2">
        <v>0</v>
      </c>
      <c r="N611" s="2">
        <v>4.99</v>
      </c>
      <c r="O611" s="2">
        <v>20.48</v>
      </c>
      <c r="P611" s="2" t="s">
        <v>74</v>
      </c>
      <c r="Q611" s="2" t="s">
        <v>41</v>
      </c>
      <c r="R611" s="2" t="s">
        <v>29</v>
      </c>
      <c r="S611" s="2" t="s">
        <v>30</v>
      </c>
      <c r="T611" s="2" t="s">
        <v>91</v>
      </c>
      <c r="U611" s="2" t="str">
        <f t="shared" si="28"/>
        <v>Valid</v>
      </c>
      <c r="V611" s="2" t="s">
        <v>1867</v>
      </c>
    </row>
    <row r="612" spans="1:22" hidden="1" x14ac:dyDescent="0.3">
      <c r="A612" s="2" t="s">
        <v>1868</v>
      </c>
      <c r="B612" s="12">
        <f t="shared" si="27"/>
        <v>46238.588209629626</v>
      </c>
      <c r="C612" s="13">
        <v>46238.588209629626</v>
      </c>
      <c r="D612" s="2" t="s">
        <v>496</v>
      </c>
      <c r="E612" s="2" t="str">
        <f t="shared" si="29"/>
        <v>Email Available</v>
      </c>
      <c r="F612" s="2" t="s">
        <v>497</v>
      </c>
      <c r="G612" s="2" t="s">
        <v>105</v>
      </c>
      <c r="H612" s="2" t="s">
        <v>106</v>
      </c>
      <c r="I612" s="2" t="s">
        <v>107</v>
      </c>
      <c r="J612" s="2">
        <v>1</v>
      </c>
      <c r="K612" s="2">
        <v>19.989999999999998</v>
      </c>
      <c r="L612" s="2" t="s">
        <v>208</v>
      </c>
      <c r="M612" s="2">
        <v>3</v>
      </c>
      <c r="N612" s="2">
        <v>4.99</v>
      </c>
      <c r="O612" s="2">
        <v>21.98</v>
      </c>
      <c r="P612" s="2" t="s">
        <v>27</v>
      </c>
      <c r="Q612" s="2" t="s">
        <v>28</v>
      </c>
      <c r="R612" s="2" t="s">
        <v>42</v>
      </c>
      <c r="S612" s="2" t="s">
        <v>30</v>
      </c>
      <c r="T612" s="2" t="s">
        <v>75</v>
      </c>
      <c r="U612" s="2" t="str">
        <f t="shared" si="28"/>
        <v>Valid</v>
      </c>
      <c r="V612" s="2" t="s">
        <v>1869</v>
      </c>
    </row>
    <row r="613" spans="1:22" hidden="1" x14ac:dyDescent="0.3">
      <c r="A613" s="2" t="s">
        <v>1870</v>
      </c>
      <c r="B613" s="12">
        <f t="shared" si="27"/>
        <v>46238.585522337962</v>
      </c>
      <c r="C613" s="13">
        <v>46238.585522337962</v>
      </c>
      <c r="D613" s="2" t="s">
        <v>193</v>
      </c>
      <c r="E613" s="2" t="str">
        <f t="shared" si="29"/>
        <v>Email Available</v>
      </c>
      <c r="F613" s="2" t="s">
        <v>194</v>
      </c>
      <c r="G613" s="2" t="s">
        <v>241</v>
      </c>
      <c r="H613" s="2" t="s">
        <v>242</v>
      </c>
      <c r="I613" s="2" t="s">
        <v>243</v>
      </c>
      <c r="J613" s="2">
        <v>2</v>
      </c>
      <c r="K613" s="2" t="s">
        <v>1532</v>
      </c>
      <c r="L613" s="2"/>
      <c r="M613" s="2">
        <v>0</v>
      </c>
      <c r="N613" s="2">
        <v>4.99</v>
      </c>
      <c r="O613" s="2">
        <v>60.97</v>
      </c>
      <c r="P613" s="2" t="s">
        <v>51</v>
      </c>
      <c r="Q613" s="2" t="s">
        <v>28</v>
      </c>
      <c r="R613" s="2" t="s">
        <v>52</v>
      </c>
      <c r="S613" s="2" t="s">
        <v>30</v>
      </c>
      <c r="T613" s="2" t="s">
        <v>91</v>
      </c>
      <c r="U613" s="2" t="str">
        <f t="shared" si="28"/>
        <v>Valid</v>
      </c>
      <c r="V613" s="2" t="s">
        <v>1871</v>
      </c>
    </row>
    <row r="614" spans="1:22" hidden="1" x14ac:dyDescent="0.3">
      <c r="A614" s="2" t="s">
        <v>1872</v>
      </c>
      <c r="B614" s="12">
        <f t="shared" si="27"/>
        <v>46238.57943755787</v>
      </c>
      <c r="C614" s="13">
        <v>46238.57943755787</v>
      </c>
      <c r="D614" s="2" t="s">
        <v>713</v>
      </c>
      <c r="E614" s="2" t="str">
        <f t="shared" si="29"/>
        <v>Email Available</v>
      </c>
      <c r="F614" s="2" t="s">
        <v>714</v>
      </c>
      <c r="G614" s="2" t="s">
        <v>133</v>
      </c>
      <c r="H614" s="2" t="s">
        <v>106</v>
      </c>
      <c r="I614" s="2" t="s">
        <v>134</v>
      </c>
      <c r="J614" s="2">
        <v>1</v>
      </c>
      <c r="K614" s="2">
        <v>16.989999999999998</v>
      </c>
      <c r="L614" s="2" t="s">
        <v>67</v>
      </c>
      <c r="M614" s="2" t="s">
        <v>1782</v>
      </c>
      <c r="N614" s="2">
        <v>5.99</v>
      </c>
      <c r="O614" s="2" t="s">
        <v>1873</v>
      </c>
      <c r="P614" s="2" t="s">
        <v>68</v>
      </c>
      <c r="Q614" s="2" t="s">
        <v>28</v>
      </c>
      <c r="R614" s="2" t="s">
        <v>52</v>
      </c>
      <c r="S614" s="2" t="s">
        <v>337</v>
      </c>
      <c r="T614" s="2"/>
      <c r="U614" s="2" t="str">
        <f t="shared" si="28"/>
        <v>Not Required</v>
      </c>
      <c r="V614" s="2" t="s">
        <v>1874</v>
      </c>
    </row>
    <row r="615" spans="1:22" hidden="1" x14ac:dyDescent="0.3">
      <c r="A615" s="2" t="s">
        <v>1875</v>
      </c>
      <c r="B615" s="12">
        <f t="shared" si="27"/>
        <v>46238.585239120373</v>
      </c>
      <c r="C615" s="13">
        <v>46238.585239120373</v>
      </c>
      <c r="D615" s="2"/>
      <c r="E615" s="2" t="str">
        <f t="shared" si="29"/>
        <v>Email Available</v>
      </c>
      <c r="F615" s="2" t="s">
        <v>1876</v>
      </c>
      <c r="G615" s="2" t="s">
        <v>80</v>
      </c>
      <c r="H615" s="2" t="s">
        <v>81</v>
      </c>
      <c r="I615" s="2" t="s">
        <v>82</v>
      </c>
      <c r="J615" s="2">
        <v>3</v>
      </c>
      <c r="K615" s="2">
        <v>89.99</v>
      </c>
      <c r="L615" s="2"/>
      <c r="M615" s="2">
        <v>0</v>
      </c>
      <c r="N615" s="2">
        <v>0</v>
      </c>
      <c r="O615" s="2">
        <v>269.97000000000003</v>
      </c>
      <c r="P615" s="2" t="s">
        <v>51</v>
      </c>
      <c r="Q615" s="2" t="s">
        <v>28</v>
      </c>
      <c r="R615" s="2" t="s">
        <v>52</v>
      </c>
      <c r="S615" s="2" t="s">
        <v>337</v>
      </c>
      <c r="T615" s="2"/>
      <c r="U615" s="2" t="str">
        <f t="shared" si="28"/>
        <v>Not Required</v>
      </c>
      <c r="V615" s="2" t="s">
        <v>1877</v>
      </c>
    </row>
    <row r="616" spans="1:22" hidden="1" x14ac:dyDescent="0.3">
      <c r="A616" s="2" t="s">
        <v>1878</v>
      </c>
      <c r="B616" s="12">
        <f t="shared" si="27"/>
        <v>46238.58705829861</v>
      </c>
      <c r="C616" s="13">
        <v>46238.58705829861</v>
      </c>
      <c r="D616" s="2" t="s">
        <v>1879</v>
      </c>
      <c r="E616" s="2" t="str">
        <f t="shared" si="29"/>
        <v>Email Available</v>
      </c>
      <c r="F616" s="2" t="s">
        <v>1880</v>
      </c>
      <c r="G616" s="2" t="s">
        <v>226</v>
      </c>
      <c r="H616" s="2" t="s">
        <v>23</v>
      </c>
      <c r="I616" s="2" t="s">
        <v>227</v>
      </c>
      <c r="J616" s="2">
        <v>1</v>
      </c>
      <c r="K616" s="2">
        <v>17.989999999999998</v>
      </c>
      <c r="L616" s="2"/>
      <c r="M616" s="2">
        <v>0</v>
      </c>
      <c r="N616" s="2">
        <v>4.99</v>
      </c>
      <c r="O616" s="2">
        <v>22.98</v>
      </c>
      <c r="P616" s="2" t="s">
        <v>74</v>
      </c>
      <c r="Q616" s="2" t="s">
        <v>114</v>
      </c>
      <c r="R616" s="2" t="s">
        <v>29</v>
      </c>
      <c r="S616" s="2" t="s">
        <v>30</v>
      </c>
      <c r="T616" s="2" t="s">
        <v>31</v>
      </c>
      <c r="U616" s="2" t="str">
        <f t="shared" si="28"/>
        <v>Valid</v>
      </c>
      <c r="V616" s="2" t="s">
        <v>1881</v>
      </c>
    </row>
    <row r="617" spans="1:22" hidden="1" x14ac:dyDescent="0.3">
      <c r="A617" s="2" t="s">
        <v>1882</v>
      </c>
      <c r="B617" s="12">
        <f t="shared" si="27"/>
        <v>46238.583128148151</v>
      </c>
      <c r="C617" s="13">
        <v>46238.583128148151</v>
      </c>
      <c r="D617" s="2" t="s">
        <v>1790</v>
      </c>
      <c r="E617" s="2" t="str">
        <f t="shared" si="29"/>
        <v>Email Available</v>
      </c>
      <c r="F617" s="2" t="s">
        <v>1791</v>
      </c>
      <c r="G617" s="2" t="s">
        <v>58</v>
      </c>
      <c r="H617" s="2" t="s">
        <v>23</v>
      </c>
      <c r="I617" s="2" t="s">
        <v>59</v>
      </c>
      <c r="J617" s="2">
        <v>1</v>
      </c>
      <c r="K617" s="2">
        <v>9.99</v>
      </c>
      <c r="L617" s="2" t="s">
        <v>25</v>
      </c>
      <c r="M617" s="2">
        <v>2</v>
      </c>
      <c r="N617" s="2">
        <v>7.99</v>
      </c>
      <c r="O617" s="2">
        <v>15.98</v>
      </c>
      <c r="P617" s="2" t="s">
        <v>51</v>
      </c>
      <c r="Q617" s="2" t="s">
        <v>28</v>
      </c>
      <c r="R617" s="2" t="s">
        <v>52</v>
      </c>
      <c r="S617" s="2" t="s">
        <v>75</v>
      </c>
      <c r="T617" s="2"/>
      <c r="U617" s="2" t="str">
        <f t="shared" si="28"/>
        <v>Not Required</v>
      </c>
      <c r="V617" s="2" t="s">
        <v>1883</v>
      </c>
    </row>
    <row r="618" spans="1:22" hidden="1" x14ac:dyDescent="0.3">
      <c r="A618" s="2" t="s">
        <v>1884</v>
      </c>
      <c r="B618" s="12">
        <f>DATE(VALUE(RIGHT(C618,4)),MATCH(LEFT(C618,3),{"Jan","Feb","Mar","Apr","May","Jun","Jul","Aug","Sep","Oct","Nov","Dec"},0),VALUE(MID(C618,5,2)))</f>
        <v>46238</v>
      </c>
      <c r="C618" s="13" t="s">
        <v>176</v>
      </c>
      <c r="D618" s="2" t="s">
        <v>1325</v>
      </c>
      <c r="E618" s="2" t="str">
        <f t="shared" si="29"/>
        <v>Email Available</v>
      </c>
      <c r="F618" s="2" t="s">
        <v>1326</v>
      </c>
      <c r="G618" s="2" t="s">
        <v>241</v>
      </c>
      <c r="H618" s="2" t="s">
        <v>242</v>
      </c>
      <c r="I618" s="2" t="s">
        <v>243</v>
      </c>
      <c r="J618" s="2">
        <v>1</v>
      </c>
      <c r="K618" s="2">
        <v>27.99</v>
      </c>
      <c r="L618" s="2" t="s">
        <v>39</v>
      </c>
      <c r="M618" s="2">
        <v>0</v>
      </c>
      <c r="N618" s="2">
        <v>0</v>
      </c>
      <c r="O618" s="2">
        <v>27.99</v>
      </c>
      <c r="P618" s="2" t="s">
        <v>27</v>
      </c>
      <c r="Q618" s="2" t="s">
        <v>114</v>
      </c>
      <c r="R618" s="2" t="s">
        <v>52</v>
      </c>
      <c r="S618" s="2" t="s">
        <v>30</v>
      </c>
      <c r="T618" s="2" t="s">
        <v>454</v>
      </c>
      <c r="U618" s="2" t="str">
        <f t="shared" si="28"/>
        <v>Valid</v>
      </c>
      <c r="V618" s="2" t="s">
        <v>1885</v>
      </c>
    </row>
    <row r="619" spans="1:22" hidden="1" x14ac:dyDescent="0.3">
      <c r="A619" s="2" t="s">
        <v>1886</v>
      </c>
      <c r="B619" s="12">
        <f t="shared" si="27"/>
        <v>46120</v>
      </c>
      <c r="C619" s="13" t="s">
        <v>142</v>
      </c>
      <c r="D619" s="2" t="s">
        <v>1166</v>
      </c>
      <c r="E619" s="2" t="str">
        <f t="shared" si="29"/>
        <v>Email Available</v>
      </c>
      <c r="F619" s="2" t="s">
        <v>1167</v>
      </c>
      <c r="G619" s="2" t="s">
        <v>65</v>
      </c>
      <c r="H619" s="2" t="s">
        <v>49</v>
      </c>
      <c r="I619" s="2" t="s">
        <v>66</v>
      </c>
      <c r="J619" s="2">
        <v>1</v>
      </c>
      <c r="K619" s="2">
        <v>14.99</v>
      </c>
      <c r="L619" s="2"/>
      <c r="M619" s="2">
        <v>0</v>
      </c>
      <c r="N619" s="2">
        <v>5.99</v>
      </c>
      <c r="O619" s="2">
        <v>20.98</v>
      </c>
      <c r="P619" s="2" t="s">
        <v>68</v>
      </c>
      <c r="Q619" s="2" t="s">
        <v>114</v>
      </c>
      <c r="R619" s="2" t="s">
        <v>52</v>
      </c>
      <c r="S619" s="2" t="s">
        <v>30</v>
      </c>
      <c r="T619" s="2" t="s">
        <v>60</v>
      </c>
      <c r="U619" s="2" t="str">
        <f t="shared" si="28"/>
        <v>Valid</v>
      </c>
      <c r="V619" s="2" t="s">
        <v>1887</v>
      </c>
    </row>
    <row r="620" spans="1:22" hidden="1" x14ac:dyDescent="0.3">
      <c r="A620" s="2" t="s">
        <v>1888</v>
      </c>
      <c r="B620" s="12">
        <f t="shared" si="27"/>
        <v>46238</v>
      </c>
      <c r="C620" s="13" t="s">
        <v>1736</v>
      </c>
      <c r="D620" s="2" t="s">
        <v>1193</v>
      </c>
      <c r="E620" s="2" t="str">
        <f t="shared" si="29"/>
        <v>Email Available</v>
      </c>
      <c r="F620" s="2" t="s">
        <v>1194</v>
      </c>
      <c r="G620" s="2" t="s">
        <v>284</v>
      </c>
      <c r="H620" s="2" t="s">
        <v>23</v>
      </c>
      <c r="I620" s="2" t="s">
        <v>285</v>
      </c>
      <c r="J620" s="2">
        <v>2</v>
      </c>
      <c r="K620" s="2">
        <v>24.99</v>
      </c>
      <c r="L620" s="2" t="s">
        <v>25</v>
      </c>
      <c r="M620" s="2">
        <v>10</v>
      </c>
      <c r="N620" s="2">
        <v>5.99</v>
      </c>
      <c r="O620" s="2">
        <v>45.97</v>
      </c>
      <c r="P620" s="2" t="s">
        <v>51</v>
      </c>
      <c r="Q620" s="2" t="s">
        <v>28</v>
      </c>
      <c r="R620" s="2" t="s">
        <v>42</v>
      </c>
      <c r="S620" s="2" t="s">
        <v>30</v>
      </c>
      <c r="T620" s="2" t="s">
        <v>454</v>
      </c>
      <c r="U620" s="2" t="str">
        <f t="shared" si="28"/>
        <v>Valid</v>
      </c>
      <c r="V620" s="2" t="s">
        <v>1889</v>
      </c>
    </row>
    <row r="621" spans="1:22" hidden="1" x14ac:dyDescent="0.3">
      <c r="A621" s="2" t="s">
        <v>1890</v>
      </c>
      <c r="B621" s="12">
        <f t="shared" si="27"/>
        <v>46238.582825277779</v>
      </c>
      <c r="C621" s="13">
        <v>46238.582825277779</v>
      </c>
      <c r="D621" s="2" t="s">
        <v>1891</v>
      </c>
      <c r="E621" s="2" t="str">
        <f t="shared" si="29"/>
        <v>Email Available</v>
      </c>
      <c r="F621" s="2" t="s">
        <v>1892</v>
      </c>
      <c r="G621" s="2" t="s">
        <v>112</v>
      </c>
      <c r="H621" s="2" t="s">
        <v>81</v>
      </c>
      <c r="I621" s="2" t="s">
        <v>113</v>
      </c>
      <c r="J621" s="2">
        <v>1</v>
      </c>
      <c r="K621" s="2">
        <v>22.99</v>
      </c>
      <c r="L621" s="2" t="s">
        <v>39</v>
      </c>
      <c r="M621" s="2">
        <v>0</v>
      </c>
      <c r="N621" s="2">
        <v>0</v>
      </c>
      <c r="O621" s="2">
        <v>22.99</v>
      </c>
      <c r="P621" s="2" t="s">
        <v>74</v>
      </c>
      <c r="Q621" s="2" t="s">
        <v>28</v>
      </c>
      <c r="R621" s="2" t="s">
        <v>29</v>
      </c>
      <c r="S621" s="2" t="s">
        <v>75</v>
      </c>
      <c r="T621" s="2"/>
      <c r="U621" s="2" t="str">
        <f t="shared" si="28"/>
        <v>Not Required</v>
      </c>
      <c r="V621" s="2" t="s">
        <v>1893</v>
      </c>
    </row>
    <row r="622" spans="1:22" hidden="1" x14ac:dyDescent="0.3">
      <c r="A622" s="2" t="s">
        <v>1894</v>
      </c>
      <c r="B622" s="12">
        <f t="shared" si="27"/>
        <v>46238.581254502307</v>
      </c>
      <c r="C622" s="13">
        <v>46238.581254502307</v>
      </c>
      <c r="D622" s="2" t="s">
        <v>1895</v>
      </c>
      <c r="E622" s="2" t="str">
        <f t="shared" si="29"/>
        <v>Email Available</v>
      </c>
      <c r="F622" s="2" t="s">
        <v>1896</v>
      </c>
      <c r="G622" s="2" t="s">
        <v>241</v>
      </c>
      <c r="H622" s="2" t="s">
        <v>242</v>
      </c>
      <c r="I622" s="2" t="s">
        <v>243</v>
      </c>
      <c r="J622" s="2">
        <v>1</v>
      </c>
      <c r="K622" s="2">
        <v>27.99</v>
      </c>
      <c r="L622" s="2" t="s">
        <v>121</v>
      </c>
      <c r="M622" s="2">
        <v>7</v>
      </c>
      <c r="N622" s="2">
        <v>5.99</v>
      </c>
      <c r="O622" s="2">
        <v>26.98</v>
      </c>
      <c r="P622" s="2" t="s">
        <v>68</v>
      </c>
      <c r="Q622" s="2" t="s">
        <v>90</v>
      </c>
      <c r="R622" s="2" t="s">
        <v>29</v>
      </c>
      <c r="S622" s="2" t="s">
        <v>108</v>
      </c>
      <c r="T622" s="2"/>
      <c r="U622" s="2" t="str">
        <f t="shared" si="28"/>
        <v>Not Required</v>
      </c>
      <c r="V622" s="2" t="s">
        <v>1897</v>
      </c>
    </row>
    <row r="623" spans="1:22" hidden="1" x14ac:dyDescent="0.3">
      <c r="A623" s="2" t="s">
        <v>1898</v>
      </c>
      <c r="B623" s="12">
        <f t="shared" si="27"/>
        <v>46238.582691990741</v>
      </c>
      <c r="C623" s="13">
        <v>46238.582691990741</v>
      </c>
      <c r="D623" s="2" t="s">
        <v>685</v>
      </c>
      <c r="E623" s="2" t="str">
        <f t="shared" si="29"/>
        <v>Email Available</v>
      </c>
      <c r="F623" s="2" t="s">
        <v>485</v>
      </c>
      <c r="G623" s="2" t="s">
        <v>112</v>
      </c>
      <c r="H623" s="2" t="s">
        <v>81</v>
      </c>
      <c r="I623" s="2" t="s">
        <v>113</v>
      </c>
      <c r="J623" s="2">
        <v>1</v>
      </c>
      <c r="K623" s="2">
        <v>22.99</v>
      </c>
      <c r="L623" s="2" t="s">
        <v>25</v>
      </c>
      <c r="M623" s="2">
        <v>4.5999999999999996</v>
      </c>
      <c r="N623" s="2">
        <v>4.99</v>
      </c>
      <c r="O623" s="2" t="s">
        <v>1899</v>
      </c>
      <c r="P623" s="2" t="s">
        <v>68</v>
      </c>
      <c r="Q623" s="2" t="s">
        <v>28</v>
      </c>
      <c r="R623" s="2" t="s">
        <v>52</v>
      </c>
      <c r="S623" s="2" t="s">
        <v>30</v>
      </c>
      <c r="T623" s="2" t="s">
        <v>347</v>
      </c>
      <c r="U623" s="2" t="str">
        <f t="shared" si="28"/>
        <v>Valid</v>
      </c>
      <c r="V623" s="2" t="s">
        <v>1900</v>
      </c>
    </row>
    <row r="624" spans="1:22" hidden="1" x14ac:dyDescent="0.3">
      <c r="A624" s="2" t="s">
        <v>1901</v>
      </c>
      <c r="B624" s="12">
        <f t="shared" si="27"/>
        <v>46238.582437013887</v>
      </c>
      <c r="C624" s="13">
        <v>46238.582437013887</v>
      </c>
      <c r="D624" s="2" t="s">
        <v>345</v>
      </c>
      <c r="E624" s="2" t="str">
        <f t="shared" si="29"/>
        <v>Email Available</v>
      </c>
      <c r="F624" s="2" t="s">
        <v>452</v>
      </c>
      <c r="G624" s="2" t="s">
        <v>48</v>
      </c>
      <c r="H624" s="2" t="s">
        <v>49</v>
      </c>
      <c r="I624" s="2" t="s">
        <v>50</v>
      </c>
      <c r="J624" s="2">
        <v>1</v>
      </c>
      <c r="K624" s="2">
        <v>39.99</v>
      </c>
      <c r="L624" s="2" t="s">
        <v>121</v>
      </c>
      <c r="M624" s="2">
        <v>10</v>
      </c>
      <c r="N624" s="2">
        <v>4.99</v>
      </c>
      <c r="O624" s="2">
        <v>34.979999999999997</v>
      </c>
      <c r="P624" s="2" t="s">
        <v>51</v>
      </c>
      <c r="Q624" s="2" t="s">
        <v>41</v>
      </c>
      <c r="R624" s="2" t="s">
        <v>29</v>
      </c>
      <c r="S624" s="2" t="s">
        <v>30</v>
      </c>
      <c r="T624" s="2" t="s">
        <v>454</v>
      </c>
      <c r="U624" s="2" t="str">
        <f t="shared" si="28"/>
        <v>Valid</v>
      </c>
      <c r="V624" s="2" t="s">
        <v>1902</v>
      </c>
    </row>
    <row r="625" spans="1:22" hidden="1" x14ac:dyDescent="0.3">
      <c r="A625" s="2" t="s">
        <v>1903</v>
      </c>
      <c r="B625" s="12">
        <f t="shared" si="27"/>
        <v>46238.582578043977</v>
      </c>
      <c r="C625" s="13">
        <v>46238.582578043977</v>
      </c>
      <c r="D625" s="2" t="s">
        <v>1904</v>
      </c>
      <c r="E625" s="2" t="str">
        <f t="shared" si="29"/>
        <v>Email Available</v>
      </c>
      <c r="F625" s="2" t="s">
        <v>622</v>
      </c>
      <c r="G625" s="2" t="s">
        <v>58</v>
      </c>
      <c r="H625" s="2" t="s">
        <v>23</v>
      </c>
      <c r="I625" s="2" t="s">
        <v>59</v>
      </c>
      <c r="J625" s="2">
        <v>1</v>
      </c>
      <c r="K625" s="2">
        <v>9.99</v>
      </c>
      <c r="L625" s="2"/>
      <c r="M625" s="2">
        <v>0</v>
      </c>
      <c r="N625" s="2">
        <v>7.99</v>
      </c>
      <c r="O625" s="2">
        <v>17.98</v>
      </c>
      <c r="P625" s="2" t="s">
        <v>74</v>
      </c>
      <c r="Q625" s="2" t="s">
        <v>28</v>
      </c>
      <c r="R625" s="2" t="s">
        <v>52</v>
      </c>
      <c r="S625" s="2" t="s">
        <v>30</v>
      </c>
      <c r="T625" s="2" t="s">
        <v>145</v>
      </c>
      <c r="U625" s="2" t="str">
        <f t="shared" si="28"/>
        <v>Valid</v>
      </c>
      <c r="V625" s="2" t="s">
        <v>1905</v>
      </c>
    </row>
    <row r="626" spans="1:22" hidden="1" x14ac:dyDescent="0.3">
      <c r="A626" s="2" t="s">
        <v>1906</v>
      </c>
      <c r="B626" s="12">
        <f t="shared" si="27"/>
        <v>46238.587042569437</v>
      </c>
      <c r="C626" s="13">
        <v>46238.587042569437</v>
      </c>
      <c r="D626" s="2" t="s">
        <v>1907</v>
      </c>
      <c r="E626" s="2" t="str">
        <f t="shared" si="29"/>
        <v>Email Available</v>
      </c>
      <c r="F626" s="2" t="s">
        <v>1908</v>
      </c>
      <c r="G626" s="2" t="s">
        <v>1909</v>
      </c>
      <c r="H626" s="2" t="s">
        <v>23</v>
      </c>
      <c r="I626" s="2" t="s">
        <v>227</v>
      </c>
      <c r="J626" s="2">
        <v>2</v>
      </c>
      <c r="K626" s="2">
        <v>17.989999999999998</v>
      </c>
      <c r="L626" s="2" t="s">
        <v>25</v>
      </c>
      <c r="M626" s="2">
        <v>7.2</v>
      </c>
      <c r="N626" s="2">
        <v>5.99</v>
      </c>
      <c r="O626" s="2">
        <v>34.770000000000003</v>
      </c>
      <c r="P626" s="2" t="s">
        <v>40</v>
      </c>
      <c r="Q626" s="2" t="s">
        <v>90</v>
      </c>
      <c r="R626" s="2" t="s">
        <v>52</v>
      </c>
      <c r="S626" s="2" t="s">
        <v>228</v>
      </c>
      <c r="T626" s="2"/>
      <c r="U626" s="2" t="str">
        <f t="shared" si="28"/>
        <v>Not Required</v>
      </c>
      <c r="V626" s="2" t="s">
        <v>1757</v>
      </c>
    </row>
    <row r="627" spans="1:22" hidden="1" x14ac:dyDescent="0.3">
      <c r="A627" s="2" t="s">
        <v>1910</v>
      </c>
      <c r="B627" s="12">
        <f t="shared" si="27"/>
        <v>46238.589004791669</v>
      </c>
      <c r="C627" s="13">
        <v>46238.589004791669</v>
      </c>
      <c r="D627" s="2" t="s">
        <v>1895</v>
      </c>
      <c r="E627" s="2" t="str">
        <f t="shared" si="29"/>
        <v>Email Available</v>
      </c>
      <c r="F627" s="2" t="s">
        <v>1896</v>
      </c>
      <c r="G627" s="2" t="s">
        <v>127</v>
      </c>
      <c r="H627" s="2" t="s">
        <v>81</v>
      </c>
      <c r="I627" s="2" t="s">
        <v>128</v>
      </c>
      <c r="J627" s="2">
        <v>2</v>
      </c>
      <c r="K627" s="2">
        <v>13.99</v>
      </c>
      <c r="L627" s="2"/>
      <c r="M627" s="2">
        <v>0</v>
      </c>
      <c r="N627" s="2">
        <v>5.99</v>
      </c>
      <c r="O627" s="2" t="s">
        <v>1911</v>
      </c>
      <c r="P627" s="2" t="s">
        <v>68</v>
      </c>
      <c r="Q627" s="2" t="s">
        <v>28</v>
      </c>
      <c r="R627" s="2" t="s">
        <v>29</v>
      </c>
      <c r="S627" s="2" t="s">
        <v>108</v>
      </c>
      <c r="T627" s="2"/>
      <c r="U627" s="2" t="str">
        <f t="shared" si="28"/>
        <v>Not Required</v>
      </c>
      <c r="V627" s="2" t="s">
        <v>1912</v>
      </c>
    </row>
    <row r="628" spans="1:22" hidden="1" x14ac:dyDescent="0.3">
      <c r="A628" s="2" t="s">
        <v>1913</v>
      </c>
      <c r="B628" s="12">
        <f>DATE(VALUE(RIGHT(C628,4)),MATCH(LEFT(C628,3),{"Jan","Feb","Mar","Apr","May","Jun","Jul","Aug","Sep","Oct","Nov","Dec"},0),VALUE(MID(C628,5,2)))</f>
        <v>46238</v>
      </c>
      <c r="C628" s="13" t="s">
        <v>176</v>
      </c>
      <c r="D628" s="2" t="s">
        <v>331</v>
      </c>
      <c r="E628" s="2" t="str">
        <f t="shared" si="29"/>
        <v>Email Available</v>
      </c>
      <c r="F628" s="2" t="s">
        <v>332</v>
      </c>
      <c r="G628" s="2" t="s">
        <v>120</v>
      </c>
      <c r="H628" s="2" t="s">
        <v>23</v>
      </c>
      <c r="I628" s="2" t="s">
        <v>24</v>
      </c>
      <c r="J628" s="2">
        <v>1</v>
      </c>
      <c r="K628" s="2">
        <v>12.99</v>
      </c>
      <c r="L628" s="2"/>
      <c r="M628" s="2">
        <v>0</v>
      </c>
      <c r="N628" s="2">
        <v>7.99</v>
      </c>
      <c r="O628" s="2">
        <v>20.98</v>
      </c>
      <c r="P628" s="2" t="s">
        <v>68</v>
      </c>
      <c r="Q628" s="2" t="s">
        <v>114</v>
      </c>
      <c r="R628" s="2" t="s">
        <v>52</v>
      </c>
      <c r="S628" s="2" t="s">
        <v>30</v>
      </c>
      <c r="T628" s="2" t="s">
        <v>347</v>
      </c>
      <c r="U628" s="2" t="str">
        <f t="shared" si="28"/>
        <v>Valid</v>
      </c>
      <c r="V628" s="2" t="s">
        <v>1914</v>
      </c>
    </row>
    <row r="629" spans="1:22" hidden="1" x14ac:dyDescent="0.3">
      <c r="A629" s="2" t="s">
        <v>1915</v>
      </c>
      <c r="B629" s="12">
        <f t="shared" si="27"/>
        <v>46238.589167893508</v>
      </c>
      <c r="C629" s="13">
        <v>46238.589167893508</v>
      </c>
      <c r="D629" s="2" t="s">
        <v>952</v>
      </c>
      <c r="E629" s="2" t="str">
        <f t="shared" si="29"/>
        <v>Email Available</v>
      </c>
      <c r="F629" s="2" t="s">
        <v>953</v>
      </c>
      <c r="G629" s="2" t="s">
        <v>157</v>
      </c>
      <c r="H629" s="2" t="s">
        <v>37</v>
      </c>
      <c r="I629" s="2" t="s">
        <v>158</v>
      </c>
      <c r="J629" s="2">
        <v>1</v>
      </c>
      <c r="K629" s="2">
        <v>29.99</v>
      </c>
      <c r="L629" s="2" t="s">
        <v>25</v>
      </c>
      <c r="M629" s="2">
        <v>6</v>
      </c>
      <c r="N629" s="2">
        <v>5.99</v>
      </c>
      <c r="O629" s="2">
        <v>29.98</v>
      </c>
      <c r="P629" s="2" t="s">
        <v>51</v>
      </c>
      <c r="Q629" s="2" t="s">
        <v>28</v>
      </c>
      <c r="R629" s="2" t="s">
        <v>52</v>
      </c>
      <c r="S629" s="2" t="s">
        <v>30</v>
      </c>
      <c r="T629" s="2" t="s">
        <v>53</v>
      </c>
      <c r="U629" s="2" t="str">
        <f t="shared" si="28"/>
        <v>Valid</v>
      </c>
      <c r="V629" s="2" t="s">
        <v>1916</v>
      </c>
    </row>
    <row r="630" spans="1:22" hidden="1" x14ac:dyDescent="0.3">
      <c r="A630" s="2" t="s">
        <v>1917</v>
      </c>
      <c r="B630" s="12">
        <f t="shared" si="27"/>
        <v>46238.580700162027</v>
      </c>
      <c r="C630" s="13">
        <v>46238.580700162027</v>
      </c>
      <c r="D630" s="2" t="s">
        <v>1764</v>
      </c>
      <c r="E630" s="2" t="str">
        <f t="shared" si="29"/>
        <v>Email Available</v>
      </c>
      <c r="F630" s="2" t="s">
        <v>1765</v>
      </c>
      <c r="G630" s="2" t="s">
        <v>1918</v>
      </c>
      <c r="H630" s="2" t="s">
        <v>88</v>
      </c>
      <c r="I630" s="2" t="s">
        <v>369</v>
      </c>
      <c r="J630" s="2">
        <v>1</v>
      </c>
      <c r="K630" s="2">
        <v>54.99</v>
      </c>
      <c r="L630" s="2" t="s">
        <v>208</v>
      </c>
      <c r="M630" s="2">
        <v>8.25</v>
      </c>
      <c r="N630" s="2">
        <v>5.99</v>
      </c>
      <c r="O630" s="2">
        <v>52.73</v>
      </c>
      <c r="P630" s="2" t="s">
        <v>51</v>
      </c>
      <c r="Q630" s="2" t="s">
        <v>28</v>
      </c>
      <c r="R630" s="2" t="s">
        <v>52</v>
      </c>
      <c r="S630" s="2" t="s">
        <v>30</v>
      </c>
      <c r="T630" s="2" t="s">
        <v>31</v>
      </c>
      <c r="U630" s="2" t="str">
        <f t="shared" si="28"/>
        <v>Valid</v>
      </c>
      <c r="V630" s="2" t="s">
        <v>1919</v>
      </c>
    </row>
    <row r="631" spans="1:22" hidden="1" x14ac:dyDescent="0.3">
      <c r="A631" s="2" t="s">
        <v>1920</v>
      </c>
      <c r="B631" s="12">
        <f t="shared" si="27"/>
        <v>46238.588685856477</v>
      </c>
      <c r="C631" s="13">
        <v>46238.588685856477</v>
      </c>
      <c r="D631" s="2" t="s">
        <v>662</v>
      </c>
      <c r="E631" s="2" t="str">
        <f t="shared" si="29"/>
        <v>Email Available</v>
      </c>
      <c r="F631" s="2" t="s">
        <v>663</v>
      </c>
      <c r="G631" s="2" t="s">
        <v>65</v>
      </c>
      <c r="H631" s="2" t="s">
        <v>49</v>
      </c>
      <c r="I631" s="2" t="s">
        <v>66</v>
      </c>
      <c r="J631" s="2">
        <v>1</v>
      </c>
      <c r="K631" s="2">
        <v>14.99</v>
      </c>
      <c r="L631" s="2" t="s">
        <v>25</v>
      </c>
      <c r="M631" s="2">
        <v>3</v>
      </c>
      <c r="N631" s="2">
        <v>7.99</v>
      </c>
      <c r="O631" s="2">
        <v>19.98</v>
      </c>
      <c r="P631" s="2" t="s">
        <v>51</v>
      </c>
      <c r="Q631" s="2" t="s">
        <v>28</v>
      </c>
      <c r="R631" s="2" t="s">
        <v>52</v>
      </c>
      <c r="S631" s="2" t="s">
        <v>30</v>
      </c>
      <c r="T631" s="2" t="s">
        <v>248</v>
      </c>
      <c r="U631" s="2" t="str">
        <f t="shared" si="28"/>
        <v>Valid</v>
      </c>
      <c r="V631" s="2" t="s">
        <v>1921</v>
      </c>
    </row>
    <row r="632" spans="1:22" hidden="1" x14ac:dyDescent="0.3">
      <c r="A632" s="2" t="s">
        <v>1922</v>
      </c>
      <c r="B632" s="12">
        <f t="shared" si="27"/>
        <v>46238</v>
      </c>
      <c r="C632" s="13" t="s">
        <v>1037</v>
      </c>
      <c r="D632" s="2" t="s">
        <v>384</v>
      </c>
      <c r="E632" s="2" t="str">
        <f t="shared" si="29"/>
        <v>Email Available</v>
      </c>
      <c r="F632" s="2" t="s">
        <v>385</v>
      </c>
      <c r="G632" s="2" t="s">
        <v>65</v>
      </c>
      <c r="H632" s="2" t="s">
        <v>49</v>
      </c>
      <c r="I632" s="2" t="s">
        <v>453</v>
      </c>
      <c r="J632" s="2">
        <v>1</v>
      </c>
      <c r="K632" s="2">
        <v>14.99</v>
      </c>
      <c r="L632" s="2" t="s">
        <v>25</v>
      </c>
      <c r="M632" s="2">
        <v>3</v>
      </c>
      <c r="N632" s="2">
        <v>7.99</v>
      </c>
      <c r="O632" s="2">
        <v>19.98</v>
      </c>
      <c r="P632" s="2" t="s">
        <v>74</v>
      </c>
      <c r="Q632" s="2" t="s">
        <v>28</v>
      </c>
      <c r="R632" s="2" t="s">
        <v>52</v>
      </c>
      <c r="S632" s="2" t="s">
        <v>75</v>
      </c>
      <c r="T632" s="2"/>
      <c r="U632" s="2" t="str">
        <f t="shared" si="28"/>
        <v>Not Required</v>
      </c>
      <c r="V632" s="2" t="s">
        <v>1923</v>
      </c>
    </row>
    <row r="633" spans="1:22" hidden="1" x14ac:dyDescent="0.3">
      <c r="A633" s="2" t="s">
        <v>1924</v>
      </c>
      <c r="B633" s="12">
        <f t="shared" si="27"/>
        <v>46238.587486215278</v>
      </c>
      <c r="C633" s="13">
        <v>46238.587486215278</v>
      </c>
      <c r="D633" s="2" t="s">
        <v>204</v>
      </c>
      <c r="E633" s="2" t="str">
        <f t="shared" si="29"/>
        <v>Email Available</v>
      </c>
      <c r="F633" s="2" t="s">
        <v>205</v>
      </c>
      <c r="G633" s="2" t="s">
        <v>284</v>
      </c>
      <c r="H633" s="2" t="s">
        <v>23</v>
      </c>
      <c r="I633" s="2" t="s">
        <v>285</v>
      </c>
      <c r="J633" s="2">
        <v>1</v>
      </c>
      <c r="K633" s="2">
        <v>24.99</v>
      </c>
      <c r="L633" s="2" t="s">
        <v>39</v>
      </c>
      <c r="M633" s="2">
        <v>0</v>
      </c>
      <c r="N633" s="2">
        <v>0</v>
      </c>
      <c r="O633" s="2">
        <v>24.99</v>
      </c>
      <c r="P633" s="2" t="s">
        <v>74</v>
      </c>
      <c r="Q633" s="2" t="s">
        <v>114</v>
      </c>
      <c r="R633" s="2" t="s">
        <v>99</v>
      </c>
      <c r="S633" s="2" t="s">
        <v>75</v>
      </c>
      <c r="T633" s="2"/>
      <c r="U633" s="2" t="str">
        <f t="shared" si="28"/>
        <v>Not Required</v>
      </c>
      <c r="V633" s="2" t="s">
        <v>1925</v>
      </c>
    </row>
    <row r="634" spans="1:22" hidden="1" x14ac:dyDescent="0.3">
      <c r="A634" s="2" t="s">
        <v>1926</v>
      </c>
      <c r="B634" s="12">
        <f t="shared" si="27"/>
        <v>46238.580025069437</v>
      </c>
      <c r="C634" s="13">
        <v>46238.580025069437</v>
      </c>
      <c r="D634" s="2" t="s">
        <v>853</v>
      </c>
      <c r="E634" s="2" t="str">
        <f t="shared" si="29"/>
        <v>Email Available</v>
      </c>
      <c r="F634" s="2" t="s">
        <v>854</v>
      </c>
      <c r="G634" s="2" t="s">
        <v>171</v>
      </c>
      <c r="H634" s="2" t="s">
        <v>106</v>
      </c>
      <c r="I634" s="2" t="s">
        <v>172</v>
      </c>
      <c r="J634" s="2">
        <v>1</v>
      </c>
      <c r="K634" s="2">
        <v>32.99</v>
      </c>
      <c r="L634" s="2"/>
      <c r="M634" s="2">
        <v>0</v>
      </c>
      <c r="N634" s="2">
        <v>5.99</v>
      </c>
      <c r="O634" s="2">
        <v>38.979999999999997</v>
      </c>
      <c r="P634" s="2" t="s">
        <v>40</v>
      </c>
      <c r="Q634" s="2" t="s">
        <v>28</v>
      </c>
      <c r="R634" s="2" t="s">
        <v>52</v>
      </c>
      <c r="S634" s="2" t="s">
        <v>30</v>
      </c>
      <c r="T634" s="2" t="s">
        <v>115</v>
      </c>
      <c r="U634" s="2" t="str">
        <f t="shared" si="28"/>
        <v>Valid</v>
      </c>
      <c r="V634" s="2" t="s">
        <v>1927</v>
      </c>
    </row>
    <row r="635" spans="1:22" hidden="1" x14ac:dyDescent="0.3">
      <c r="A635" s="2" t="s">
        <v>1928</v>
      </c>
      <c r="B635" s="12">
        <f t="shared" si="27"/>
        <v>46238.588811909722</v>
      </c>
      <c r="C635" s="13">
        <v>46238.588811909722</v>
      </c>
      <c r="D635" s="2" t="s">
        <v>111</v>
      </c>
      <c r="E635" s="2" t="str">
        <f t="shared" si="29"/>
        <v>Email Available</v>
      </c>
      <c r="F635" s="2" t="s">
        <v>1547</v>
      </c>
      <c r="G635" s="2" t="s">
        <v>65</v>
      </c>
      <c r="H635" s="2" t="s">
        <v>49</v>
      </c>
      <c r="I635" s="2" t="s">
        <v>66</v>
      </c>
      <c r="J635" s="2">
        <v>2</v>
      </c>
      <c r="K635" s="2">
        <v>14.99</v>
      </c>
      <c r="L635" s="2" t="s">
        <v>39</v>
      </c>
      <c r="M635" s="2">
        <v>0</v>
      </c>
      <c r="N635" s="2">
        <v>0</v>
      </c>
      <c r="O635" s="2">
        <v>29.98</v>
      </c>
      <c r="P635" s="2" t="s">
        <v>27</v>
      </c>
      <c r="Q635" s="2" t="s">
        <v>41</v>
      </c>
      <c r="R635" s="2" t="s">
        <v>29</v>
      </c>
      <c r="S635" s="2" t="s">
        <v>30</v>
      </c>
      <c r="T635" s="2" t="s">
        <v>91</v>
      </c>
      <c r="U635" s="2" t="str">
        <f t="shared" si="28"/>
        <v>Valid</v>
      </c>
      <c r="V635" s="2" t="s">
        <v>1929</v>
      </c>
    </row>
    <row r="636" spans="1:22" hidden="1" x14ac:dyDescent="0.3">
      <c r="A636" s="2" t="s">
        <v>1930</v>
      </c>
      <c r="B636" s="12">
        <f t="shared" si="27"/>
        <v>46238.585902071762</v>
      </c>
      <c r="C636" s="13">
        <v>46238.585902071762</v>
      </c>
      <c r="D636" s="2" t="s">
        <v>492</v>
      </c>
      <c r="E636" s="2" t="str">
        <f t="shared" si="29"/>
        <v>Email Available</v>
      </c>
      <c r="F636" s="2" t="s">
        <v>493</v>
      </c>
      <c r="G636" s="2" t="s">
        <v>315</v>
      </c>
      <c r="H636" s="2" t="s">
        <v>37</v>
      </c>
      <c r="I636" s="2" t="s">
        <v>316</v>
      </c>
      <c r="J636" s="2">
        <v>1</v>
      </c>
      <c r="K636" s="2">
        <v>8.99</v>
      </c>
      <c r="L636" s="2"/>
      <c r="M636" s="2">
        <v>0</v>
      </c>
      <c r="N636" s="2">
        <v>5.99</v>
      </c>
      <c r="O636" s="2">
        <v>14.98</v>
      </c>
      <c r="P636" s="2" t="s">
        <v>27</v>
      </c>
      <c r="Q636" s="2" t="s">
        <v>28</v>
      </c>
      <c r="R636" s="2" t="s">
        <v>52</v>
      </c>
      <c r="S636" s="2" t="s">
        <v>75</v>
      </c>
      <c r="T636" s="2"/>
      <c r="U636" s="2" t="str">
        <f t="shared" si="28"/>
        <v>Not Required</v>
      </c>
      <c r="V636" s="2" t="s">
        <v>1931</v>
      </c>
    </row>
    <row r="637" spans="1:22" hidden="1" x14ac:dyDescent="0.3">
      <c r="A637" s="2" t="s">
        <v>1932</v>
      </c>
      <c r="B637" s="12">
        <f t="shared" si="27"/>
        <v>46238.579044131948</v>
      </c>
      <c r="C637" s="13">
        <v>46238.579044131948</v>
      </c>
      <c r="D637" s="2" t="s">
        <v>1444</v>
      </c>
      <c r="E637" s="2" t="str">
        <f t="shared" si="29"/>
        <v>Email Available</v>
      </c>
      <c r="F637" s="2" t="s">
        <v>1445</v>
      </c>
      <c r="G637" s="2" t="s">
        <v>171</v>
      </c>
      <c r="H637" s="2" t="s">
        <v>106</v>
      </c>
      <c r="I637" s="2" t="s">
        <v>172</v>
      </c>
      <c r="J637" s="2">
        <v>3</v>
      </c>
      <c r="K637" s="2">
        <v>32.99</v>
      </c>
      <c r="L637" s="2" t="s">
        <v>25</v>
      </c>
      <c r="M637" s="2">
        <v>19.79</v>
      </c>
      <c r="N637" s="2">
        <v>0</v>
      </c>
      <c r="O637" s="2" t="s">
        <v>1933</v>
      </c>
      <c r="P637" s="2" t="s">
        <v>74</v>
      </c>
      <c r="Q637" s="2" t="s">
        <v>28</v>
      </c>
      <c r="R637" s="2" t="s">
        <v>42</v>
      </c>
      <c r="S637" s="2" t="s">
        <v>30</v>
      </c>
      <c r="T637" s="2" t="s">
        <v>69</v>
      </c>
      <c r="U637" s="2" t="str">
        <f t="shared" si="28"/>
        <v>Valid</v>
      </c>
      <c r="V637" s="2" t="s">
        <v>1934</v>
      </c>
    </row>
    <row r="638" spans="1:22" hidden="1" x14ac:dyDescent="0.3">
      <c r="A638" s="2" t="s">
        <v>1935</v>
      </c>
      <c r="B638" s="12">
        <f t="shared" si="27"/>
        <v>46238.588709976852</v>
      </c>
      <c r="C638" s="13">
        <v>46238.588709976852</v>
      </c>
      <c r="D638" s="2" t="s">
        <v>1936</v>
      </c>
      <c r="E638" s="2" t="str">
        <f t="shared" si="29"/>
        <v>Email Available</v>
      </c>
      <c r="F638" s="2" t="s">
        <v>1937</v>
      </c>
      <c r="G638" s="2" t="s">
        <v>112</v>
      </c>
      <c r="H638" s="2" t="s">
        <v>81</v>
      </c>
      <c r="I638" s="2" t="s">
        <v>113</v>
      </c>
      <c r="J638" s="2">
        <v>1</v>
      </c>
      <c r="K638" s="2">
        <v>22.99</v>
      </c>
      <c r="L638" s="2" t="s">
        <v>208</v>
      </c>
      <c r="M638" s="2">
        <v>3.45</v>
      </c>
      <c r="N638" s="2">
        <v>4.99</v>
      </c>
      <c r="O638" s="2">
        <v>24.53</v>
      </c>
      <c r="P638" s="2" t="s">
        <v>74</v>
      </c>
      <c r="Q638" s="2" t="s">
        <v>28</v>
      </c>
      <c r="R638" s="2" t="s">
        <v>52</v>
      </c>
      <c r="S638" s="2" t="s">
        <v>108</v>
      </c>
      <c r="T638" s="2"/>
      <c r="U638" s="2" t="str">
        <f t="shared" si="28"/>
        <v>Not Required</v>
      </c>
      <c r="V638" s="2" t="s">
        <v>1938</v>
      </c>
    </row>
    <row r="639" spans="1:22" hidden="1" x14ac:dyDescent="0.3">
      <c r="A639" s="2" t="s">
        <v>1939</v>
      </c>
      <c r="B639" s="12">
        <f t="shared" si="27"/>
        <v>46238.581795127313</v>
      </c>
      <c r="C639" s="13">
        <v>46238.581795127313</v>
      </c>
      <c r="D639" s="2" t="s">
        <v>748</v>
      </c>
      <c r="E639" s="2" t="str">
        <f t="shared" si="29"/>
        <v>Email Available</v>
      </c>
      <c r="F639" s="2" t="s">
        <v>749</v>
      </c>
      <c r="G639" s="2" t="s">
        <v>87</v>
      </c>
      <c r="H639" s="2" t="s">
        <v>88</v>
      </c>
      <c r="I639" s="2" t="s">
        <v>89</v>
      </c>
      <c r="J639" s="2">
        <v>1</v>
      </c>
      <c r="K639" s="2" t="s">
        <v>370</v>
      </c>
      <c r="L639" s="2" t="s">
        <v>208</v>
      </c>
      <c r="M639" s="2">
        <v>8.25</v>
      </c>
      <c r="N639" s="2">
        <v>7.99</v>
      </c>
      <c r="O639" s="2">
        <v>54.73</v>
      </c>
      <c r="P639" s="2" t="s">
        <v>68</v>
      </c>
      <c r="Q639" s="2" t="s">
        <v>90</v>
      </c>
      <c r="R639" s="2" t="s">
        <v>52</v>
      </c>
      <c r="S639" s="2" t="s">
        <v>108</v>
      </c>
      <c r="T639" s="2"/>
      <c r="U639" s="2" t="str">
        <f t="shared" si="28"/>
        <v>Not Required</v>
      </c>
      <c r="V639" s="2" t="s">
        <v>1940</v>
      </c>
    </row>
    <row r="640" spans="1:22" hidden="1" x14ac:dyDescent="0.3">
      <c r="A640" s="2" t="s">
        <v>1941</v>
      </c>
      <c r="B640" s="12">
        <f t="shared" ref="B640:B702" si="30">IF(ISNUMBER(C640),C640,DATEVALUE(SUBSTITUTE(TRIM(C640),CHAR(160)," ")))</f>
        <v>46238.58272658565</v>
      </c>
      <c r="C640" s="13">
        <v>46238.58272658565</v>
      </c>
      <c r="D640" s="2" t="s">
        <v>354</v>
      </c>
      <c r="E640" s="2" t="str">
        <f t="shared" si="29"/>
        <v>Email Available</v>
      </c>
      <c r="F640" s="2" t="s">
        <v>355</v>
      </c>
      <c r="G640" s="2" t="s">
        <v>241</v>
      </c>
      <c r="H640" s="2" t="s">
        <v>242</v>
      </c>
      <c r="I640" s="2" t="s">
        <v>243</v>
      </c>
      <c r="J640" s="2">
        <v>1</v>
      </c>
      <c r="K640" s="2">
        <v>27.99</v>
      </c>
      <c r="L640" s="2" t="s">
        <v>25</v>
      </c>
      <c r="M640" s="2">
        <v>5.6</v>
      </c>
      <c r="N640" s="2">
        <v>7.99</v>
      </c>
      <c r="O640" s="2">
        <v>30.38</v>
      </c>
      <c r="P640" s="2" t="s">
        <v>68</v>
      </c>
      <c r="Q640" s="2" t="s">
        <v>114</v>
      </c>
      <c r="R640" s="2" t="s">
        <v>99</v>
      </c>
      <c r="S640" s="2" t="s">
        <v>228</v>
      </c>
      <c r="T640" s="2"/>
      <c r="U640" s="2" t="str">
        <f t="shared" ref="U640:U702" si="31">IF(AND(S640="United States",T640=""),"Missing state",IF(T640="","Not Required","Valid"))</f>
        <v>Not Required</v>
      </c>
      <c r="V640" s="2" t="s">
        <v>1942</v>
      </c>
    </row>
    <row r="641" spans="1:22" hidden="1" x14ac:dyDescent="0.3">
      <c r="A641" s="2" t="s">
        <v>1943</v>
      </c>
      <c r="B641" s="12">
        <f t="shared" si="30"/>
        <v>46238.579360312498</v>
      </c>
      <c r="C641" s="13">
        <v>46238.579360312498</v>
      </c>
      <c r="D641" s="2" t="s">
        <v>364</v>
      </c>
      <c r="E641" s="2" t="str">
        <f t="shared" si="29"/>
        <v>Email Available</v>
      </c>
      <c r="F641" s="2" t="s">
        <v>365</v>
      </c>
      <c r="G641" s="2" t="s">
        <v>36</v>
      </c>
      <c r="H641" s="2" t="s">
        <v>37</v>
      </c>
      <c r="I641" s="2" t="s">
        <v>38</v>
      </c>
      <c r="J641" s="2">
        <v>1</v>
      </c>
      <c r="K641" s="2">
        <v>21.99</v>
      </c>
      <c r="L641" s="2" t="s">
        <v>67</v>
      </c>
      <c r="M641" s="2">
        <v>2.2000000000000002</v>
      </c>
      <c r="N641" s="2">
        <v>5.99</v>
      </c>
      <c r="O641" s="2">
        <v>25.78</v>
      </c>
      <c r="P641" s="2" t="s">
        <v>27</v>
      </c>
      <c r="Q641" s="2" t="s">
        <v>28</v>
      </c>
      <c r="R641" s="2" t="s">
        <v>29</v>
      </c>
      <c r="S641" s="2" t="s">
        <v>75</v>
      </c>
      <c r="T641" s="2"/>
      <c r="U641" s="2" t="str">
        <f t="shared" si="31"/>
        <v>Not Required</v>
      </c>
      <c r="V641" s="2" t="s">
        <v>1944</v>
      </c>
    </row>
    <row r="642" spans="1:22" hidden="1" x14ac:dyDescent="0.3">
      <c r="A642" s="2" t="s">
        <v>1945</v>
      </c>
      <c r="B642" s="12">
        <f t="shared" si="30"/>
        <v>46238.583251481483</v>
      </c>
      <c r="C642" s="13">
        <v>46238.583251481483</v>
      </c>
      <c r="D642" s="2" t="s">
        <v>1946</v>
      </c>
      <c r="E642" s="2" t="str">
        <f t="shared" si="29"/>
        <v>Email Available</v>
      </c>
      <c r="F642" s="2" t="s">
        <v>1947</v>
      </c>
      <c r="G642" s="2" t="s">
        <v>206</v>
      </c>
      <c r="H642" s="2" t="s">
        <v>196</v>
      </c>
      <c r="I642" s="2" t="s">
        <v>207</v>
      </c>
      <c r="J642" s="2">
        <v>1</v>
      </c>
      <c r="K642" s="2">
        <v>24.99</v>
      </c>
      <c r="L642" s="2"/>
      <c r="M642" s="2">
        <v>0</v>
      </c>
      <c r="N642" s="2">
        <v>7.99</v>
      </c>
      <c r="O642" s="2">
        <v>32.979999999999997</v>
      </c>
      <c r="P642" s="2" t="s">
        <v>68</v>
      </c>
      <c r="Q642" s="2" t="s">
        <v>28</v>
      </c>
      <c r="R642" s="2" t="s">
        <v>52</v>
      </c>
      <c r="S642" s="2" t="s">
        <v>30</v>
      </c>
      <c r="T642" s="2" t="s">
        <v>53</v>
      </c>
      <c r="U642" s="2" t="str">
        <f t="shared" si="31"/>
        <v>Valid</v>
      </c>
      <c r="V642" s="2" t="s">
        <v>1948</v>
      </c>
    </row>
    <row r="643" spans="1:22" hidden="1" x14ac:dyDescent="0.3">
      <c r="A643" s="2" t="s">
        <v>1949</v>
      </c>
      <c r="B643" s="12">
        <f t="shared" si="30"/>
        <v>46238.586668796299</v>
      </c>
      <c r="C643" s="13">
        <v>46238.586668796299</v>
      </c>
      <c r="D643" s="2" t="s">
        <v>392</v>
      </c>
      <c r="E643" s="2" t="str">
        <f t="shared" ref="E643:E706" si="32">IF(TRIM(F643)="","Missing Email","Email Available")</f>
        <v>Email Available</v>
      </c>
      <c r="F643" s="2" t="s">
        <v>393</v>
      </c>
      <c r="G643" s="2" t="s">
        <v>65</v>
      </c>
      <c r="H643" s="2" t="s">
        <v>49</v>
      </c>
      <c r="I643" s="2" t="s">
        <v>66</v>
      </c>
      <c r="J643" s="2">
        <v>1</v>
      </c>
      <c r="K643" s="2" t="s">
        <v>1485</v>
      </c>
      <c r="L643" s="2" t="s">
        <v>1950</v>
      </c>
      <c r="M643" s="2">
        <v>1.5</v>
      </c>
      <c r="N643" s="2">
        <v>7.99</v>
      </c>
      <c r="O643" s="2">
        <v>21.48</v>
      </c>
      <c r="P643" s="2" t="s">
        <v>40</v>
      </c>
      <c r="Q643" s="2" t="s">
        <v>90</v>
      </c>
      <c r="R643" s="2" t="s">
        <v>99</v>
      </c>
      <c r="S643" s="2" t="s">
        <v>108</v>
      </c>
      <c r="T643" s="2"/>
      <c r="U643" s="2" t="str">
        <f t="shared" si="31"/>
        <v>Not Required</v>
      </c>
      <c r="V643" s="2" t="s">
        <v>1951</v>
      </c>
    </row>
    <row r="644" spans="1:22" x14ac:dyDescent="0.3">
      <c r="A644" s="2" t="s">
        <v>1952</v>
      </c>
      <c r="B644" s="12">
        <f t="shared" si="30"/>
        <v>46238.583490810182</v>
      </c>
      <c r="C644" s="13">
        <v>46238.583490810182</v>
      </c>
      <c r="D644" s="2" t="s">
        <v>1953</v>
      </c>
      <c r="E644" s="2" t="str">
        <f t="shared" si="32"/>
        <v>Missing Email</v>
      </c>
      <c r="F644" s="2"/>
      <c r="G644" s="2" t="s">
        <v>368</v>
      </c>
      <c r="H644" s="2" t="s">
        <v>88</v>
      </c>
      <c r="I644" s="2" t="s">
        <v>369</v>
      </c>
      <c r="J644" s="2">
        <v>1</v>
      </c>
      <c r="K644" s="2">
        <v>54.99</v>
      </c>
      <c r="L644" s="2" t="s">
        <v>39</v>
      </c>
      <c r="M644" s="2" t="s">
        <v>189</v>
      </c>
      <c r="N644" s="2">
        <v>0</v>
      </c>
      <c r="O644" s="2">
        <v>54.99</v>
      </c>
      <c r="P644" s="2" t="s">
        <v>74</v>
      </c>
      <c r="Q644" s="2" t="s">
        <v>28</v>
      </c>
      <c r="R644" s="2" t="s">
        <v>29</v>
      </c>
      <c r="S644" s="2" t="s">
        <v>228</v>
      </c>
      <c r="T644" s="2"/>
      <c r="U644" s="2" t="str">
        <f t="shared" si="31"/>
        <v>Not Required</v>
      </c>
      <c r="V644" s="2" t="s">
        <v>1954</v>
      </c>
    </row>
    <row r="645" spans="1:22" hidden="1" x14ac:dyDescent="0.3">
      <c r="A645" s="2" t="s">
        <v>1955</v>
      </c>
      <c r="B645" s="12">
        <f t="shared" si="30"/>
        <v>46238</v>
      </c>
      <c r="C645" s="13" t="s">
        <v>722</v>
      </c>
      <c r="D645" s="2" t="s">
        <v>662</v>
      </c>
      <c r="E645" s="2" t="str">
        <f t="shared" si="32"/>
        <v>Email Available</v>
      </c>
      <c r="F645" s="2" t="s">
        <v>663</v>
      </c>
      <c r="G645" s="2" t="s">
        <v>206</v>
      </c>
      <c r="H645" s="2" t="s">
        <v>196</v>
      </c>
      <c r="I645" s="2" t="s">
        <v>207</v>
      </c>
      <c r="J645" s="2">
        <v>1</v>
      </c>
      <c r="K645" s="2">
        <v>24.99</v>
      </c>
      <c r="L645" s="2"/>
      <c r="M645" s="2">
        <v>0</v>
      </c>
      <c r="N645" s="2">
        <v>7.99</v>
      </c>
      <c r="O645" s="2">
        <v>32.979999999999997</v>
      </c>
      <c r="P645" s="2" t="s">
        <v>68</v>
      </c>
      <c r="Q645" s="2" t="s">
        <v>28</v>
      </c>
      <c r="R645" s="2" t="s">
        <v>99</v>
      </c>
      <c r="S645" s="2" t="s">
        <v>30</v>
      </c>
      <c r="T645" s="2" t="s">
        <v>499</v>
      </c>
      <c r="U645" s="2" t="str">
        <f t="shared" si="31"/>
        <v>Valid</v>
      </c>
      <c r="V645" s="2" t="s">
        <v>1956</v>
      </c>
    </row>
    <row r="646" spans="1:22" hidden="1" x14ac:dyDescent="0.3">
      <c r="A646" s="2" t="s">
        <v>1957</v>
      </c>
      <c r="B646" s="12">
        <f t="shared" si="30"/>
        <v>46238.587168252307</v>
      </c>
      <c r="C646" s="13">
        <v>46238.587168252307</v>
      </c>
      <c r="D646" s="2" t="s">
        <v>466</v>
      </c>
      <c r="E646" s="2" t="str">
        <f t="shared" si="32"/>
        <v>Email Available</v>
      </c>
      <c r="F646" s="2" t="s">
        <v>467</v>
      </c>
      <c r="G646" s="2" t="s">
        <v>206</v>
      </c>
      <c r="H646" s="2" t="s">
        <v>196</v>
      </c>
      <c r="I646" s="2" t="s">
        <v>207</v>
      </c>
      <c r="J646" s="2">
        <v>1</v>
      </c>
      <c r="K646" s="2">
        <v>24.99</v>
      </c>
      <c r="L646" s="2"/>
      <c r="M646" s="2">
        <v>0</v>
      </c>
      <c r="N646" s="2">
        <v>7.99</v>
      </c>
      <c r="O646" s="2">
        <v>32.979999999999997</v>
      </c>
      <c r="P646" s="2" t="s">
        <v>27</v>
      </c>
      <c r="Q646" s="2" t="s">
        <v>28</v>
      </c>
      <c r="R646" s="2" t="s">
        <v>42</v>
      </c>
      <c r="S646" s="2" t="s">
        <v>228</v>
      </c>
      <c r="T646" s="2"/>
      <c r="U646" s="2" t="str">
        <f t="shared" si="31"/>
        <v>Not Required</v>
      </c>
      <c r="V646" s="2" t="s">
        <v>1958</v>
      </c>
    </row>
    <row r="647" spans="1:22" hidden="1" x14ac:dyDescent="0.3">
      <c r="A647" s="2" t="s">
        <v>1959</v>
      </c>
      <c r="B647" s="12">
        <f t="shared" si="30"/>
        <v>46238.581048692133</v>
      </c>
      <c r="C647" s="13">
        <v>46238.581048692133</v>
      </c>
      <c r="D647" s="2" t="s">
        <v>1960</v>
      </c>
      <c r="E647" s="2" t="str">
        <f t="shared" si="32"/>
        <v>Email Available</v>
      </c>
      <c r="F647" s="2" t="s">
        <v>1961</v>
      </c>
      <c r="G647" s="2" t="s">
        <v>58</v>
      </c>
      <c r="H647" s="2" t="s">
        <v>23</v>
      </c>
      <c r="I647" s="2" t="s">
        <v>59</v>
      </c>
      <c r="J647" s="2">
        <v>1</v>
      </c>
      <c r="K647" s="2" t="s">
        <v>213</v>
      </c>
      <c r="L647" s="2" t="s">
        <v>121</v>
      </c>
      <c r="M647" s="2">
        <v>2.5</v>
      </c>
      <c r="N647" s="2">
        <v>4.99</v>
      </c>
      <c r="O647" s="2">
        <v>12.48</v>
      </c>
      <c r="P647" s="2" t="s">
        <v>68</v>
      </c>
      <c r="Q647" s="2" t="s">
        <v>90</v>
      </c>
      <c r="R647" s="2" t="s">
        <v>42</v>
      </c>
      <c r="S647" s="2" t="s">
        <v>30</v>
      </c>
      <c r="T647" s="2" t="s">
        <v>115</v>
      </c>
      <c r="U647" s="2" t="str">
        <f t="shared" si="31"/>
        <v>Valid</v>
      </c>
      <c r="V647" s="2" t="s">
        <v>1962</v>
      </c>
    </row>
    <row r="648" spans="1:22" hidden="1" x14ac:dyDescent="0.3">
      <c r="A648" s="2" t="s">
        <v>1963</v>
      </c>
      <c r="B648" s="12">
        <f t="shared" si="30"/>
        <v>46238.581538599537</v>
      </c>
      <c r="C648" s="13">
        <v>46238.581538599537</v>
      </c>
      <c r="D648" s="2" t="s">
        <v>1964</v>
      </c>
      <c r="E648" s="2" t="str">
        <f t="shared" si="32"/>
        <v>Email Available</v>
      </c>
      <c r="F648" s="2" t="s">
        <v>1965</v>
      </c>
      <c r="G648" s="2" t="s">
        <v>206</v>
      </c>
      <c r="H648" s="2" t="s">
        <v>196</v>
      </c>
      <c r="I648" s="2" t="s">
        <v>207</v>
      </c>
      <c r="J648" s="2">
        <v>2</v>
      </c>
      <c r="K648" s="2">
        <v>24.99</v>
      </c>
      <c r="L648" s="2" t="s">
        <v>67</v>
      </c>
      <c r="M648" s="2">
        <v>5</v>
      </c>
      <c r="N648" s="2">
        <v>5.99</v>
      </c>
      <c r="O648" s="2">
        <v>50.97</v>
      </c>
      <c r="P648" s="2" t="s">
        <v>40</v>
      </c>
      <c r="Q648" s="2" t="s">
        <v>28</v>
      </c>
      <c r="R648" s="2" t="s">
        <v>52</v>
      </c>
      <c r="S648" s="2" t="s">
        <v>337</v>
      </c>
      <c r="T648" s="2"/>
      <c r="U648" s="2" t="str">
        <f t="shared" si="31"/>
        <v>Not Required</v>
      </c>
      <c r="V648" s="2" t="s">
        <v>1966</v>
      </c>
    </row>
    <row r="649" spans="1:22" hidden="1" x14ac:dyDescent="0.3">
      <c r="A649" s="2" t="s">
        <v>1967</v>
      </c>
      <c r="B649" s="12">
        <f t="shared" si="30"/>
        <v>46238.580953368059</v>
      </c>
      <c r="C649" s="13">
        <v>46238.580953368059</v>
      </c>
      <c r="D649" s="2" t="s">
        <v>713</v>
      </c>
      <c r="E649" s="2" t="str">
        <f t="shared" si="32"/>
        <v>Email Available</v>
      </c>
      <c r="F649" s="2" t="s">
        <v>714</v>
      </c>
      <c r="G649" s="2" t="s">
        <v>171</v>
      </c>
      <c r="H649" s="2" t="s">
        <v>106</v>
      </c>
      <c r="I649" s="2" t="s">
        <v>172</v>
      </c>
      <c r="J649" s="2">
        <v>1</v>
      </c>
      <c r="K649" s="2" t="s">
        <v>173</v>
      </c>
      <c r="L649" s="2"/>
      <c r="M649" s="2">
        <v>0</v>
      </c>
      <c r="N649" s="2">
        <v>4.99</v>
      </c>
      <c r="O649" s="2">
        <v>37.979999999999997</v>
      </c>
      <c r="P649" s="2" t="s">
        <v>27</v>
      </c>
      <c r="Q649" s="2" t="s">
        <v>28</v>
      </c>
      <c r="R649" s="2" t="s">
        <v>29</v>
      </c>
      <c r="S649" s="2" t="s">
        <v>337</v>
      </c>
      <c r="T649" s="2"/>
      <c r="U649" s="2" t="str">
        <f t="shared" si="31"/>
        <v>Not Required</v>
      </c>
      <c r="V649" s="2" t="s">
        <v>1968</v>
      </c>
    </row>
    <row r="650" spans="1:22" hidden="1" x14ac:dyDescent="0.3">
      <c r="A650" s="2" t="s">
        <v>1969</v>
      </c>
      <c r="B650" s="12">
        <f>DATE(VALUE(RIGHT(C650,4)),MATCH(LEFT(C650,3),{"Jan","Feb","Mar","Apr","May","Jun","Jul","Aug","Sep","Oct","Nov","Dec"},0),VALUE(MID(C650,5,2)))</f>
        <v>46238</v>
      </c>
      <c r="C650" s="13" t="s">
        <v>176</v>
      </c>
      <c r="D650" s="2" t="s">
        <v>1970</v>
      </c>
      <c r="E650" s="2" t="str">
        <f t="shared" si="32"/>
        <v>Email Available</v>
      </c>
      <c r="F650" s="2" t="s">
        <v>1971</v>
      </c>
      <c r="G650" s="2" t="s">
        <v>266</v>
      </c>
      <c r="H650" s="2" t="s">
        <v>37</v>
      </c>
      <c r="I650" s="2" t="s">
        <v>267</v>
      </c>
      <c r="J650" s="2">
        <v>1</v>
      </c>
      <c r="K650" s="2">
        <v>15.49</v>
      </c>
      <c r="L650" s="2"/>
      <c r="M650" s="2">
        <v>0</v>
      </c>
      <c r="N650" s="2">
        <v>5.99</v>
      </c>
      <c r="O650" s="2">
        <v>21.48</v>
      </c>
      <c r="P650" s="2" t="s">
        <v>27</v>
      </c>
      <c r="Q650" s="2" t="s">
        <v>41</v>
      </c>
      <c r="R650" s="2" t="s">
        <v>52</v>
      </c>
      <c r="S650" s="2" t="s">
        <v>108</v>
      </c>
      <c r="T650" s="2"/>
      <c r="U650" s="2" t="str">
        <f t="shared" si="31"/>
        <v>Not Required</v>
      </c>
      <c r="V650" s="2" t="s">
        <v>1972</v>
      </c>
    </row>
    <row r="651" spans="1:22" x14ac:dyDescent="0.3">
      <c r="A651" s="2" t="s">
        <v>1973</v>
      </c>
      <c r="B651" s="12">
        <f t="shared" si="30"/>
        <v>46238.57963659722</v>
      </c>
      <c r="C651" s="13">
        <v>46238.57963659722</v>
      </c>
      <c r="D651" s="2" t="s">
        <v>428</v>
      </c>
      <c r="E651" s="2" t="str">
        <f t="shared" si="32"/>
        <v>Missing Email</v>
      </c>
      <c r="F651" s="2"/>
      <c r="G651" s="2" t="s">
        <v>157</v>
      </c>
      <c r="H651" s="2" t="s">
        <v>37</v>
      </c>
      <c r="I651" s="2" t="s">
        <v>158</v>
      </c>
      <c r="J651" s="2">
        <v>1</v>
      </c>
      <c r="K651" s="2">
        <v>29.99</v>
      </c>
      <c r="L651" s="2"/>
      <c r="M651" s="2">
        <v>0</v>
      </c>
      <c r="N651" s="2">
        <v>7.99</v>
      </c>
      <c r="O651" s="2">
        <v>37.979999999999997</v>
      </c>
      <c r="P651" s="2" t="s">
        <v>68</v>
      </c>
      <c r="Q651" s="2" t="s">
        <v>41</v>
      </c>
      <c r="R651" s="2" t="s">
        <v>52</v>
      </c>
      <c r="S651" s="2" t="s">
        <v>30</v>
      </c>
      <c r="T651" s="2" t="s">
        <v>53</v>
      </c>
      <c r="U651" s="2" t="str">
        <f t="shared" si="31"/>
        <v>Valid</v>
      </c>
      <c r="V651" s="2" t="s">
        <v>858</v>
      </c>
    </row>
    <row r="652" spans="1:22" hidden="1" x14ac:dyDescent="0.3">
      <c r="A652" s="2" t="s">
        <v>1974</v>
      </c>
      <c r="B652" s="12">
        <f>DATE(VALUE(RIGHT(C652,4)),MATCH(LEFT(C652,3),{"Jan","Feb","Mar","Apr","May","Jun","Jul","Aug","Sep","Oct","Nov","Dec"},0),VALUE(MID(C652,5,2)))</f>
        <v>46238</v>
      </c>
      <c r="C652" s="13" t="s">
        <v>176</v>
      </c>
      <c r="D652" s="2" t="s">
        <v>466</v>
      </c>
      <c r="E652" s="2" t="str">
        <f t="shared" si="32"/>
        <v>Email Available</v>
      </c>
      <c r="F652" s="2" t="s">
        <v>467</v>
      </c>
      <c r="G652" s="2" t="s">
        <v>284</v>
      </c>
      <c r="H652" s="2" t="s">
        <v>23</v>
      </c>
      <c r="I652" s="2" t="s">
        <v>285</v>
      </c>
      <c r="J652" s="2">
        <v>1</v>
      </c>
      <c r="K652" s="2">
        <v>24.99</v>
      </c>
      <c r="L652" s="2" t="s">
        <v>67</v>
      </c>
      <c r="M652" s="2">
        <v>2.5</v>
      </c>
      <c r="N652" s="2">
        <v>5.99</v>
      </c>
      <c r="O652" s="2" t="s">
        <v>1975</v>
      </c>
      <c r="P652" s="2" t="s">
        <v>74</v>
      </c>
      <c r="Q652" s="2" t="s">
        <v>41</v>
      </c>
      <c r="R652" s="2" t="s">
        <v>52</v>
      </c>
      <c r="S652" s="2" t="s">
        <v>228</v>
      </c>
      <c r="T652" s="2"/>
      <c r="U652" s="2" t="str">
        <f t="shared" si="31"/>
        <v>Not Required</v>
      </c>
      <c r="V652" s="2" t="s">
        <v>1976</v>
      </c>
    </row>
    <row r="653" spans="1:22" hidden="1" x14ac:dyDescent="0.3">
      <c r="A653" s="2" t="s">
        <v>1977</v>
      </c>
      <c r="B653" s="12">
        <f t="shared" si="30"/>
        <v>46238.582561111107</v>
      </c>
      <c r="C653" s="13">
        <v>46238.582561111107</v>
      </c>
      <c r="D653" s="2" t="s">
        <v>1220</v>
      </c>
      <c r="E653" s="2" t="str">
        <f t="shared" si="32"/>
        <v>Email Available</v>
      </c>
      <c r="F653" s="2" t="s">
        <v>1221</v>
      </c>
      <c r="G653" s="2" t="s">
        <v>133</v>
      </c>
      <c r="H653" s="2" t="s">
        <v>106</v>
      </c>
      <c r="I653" s="2" t="s">
        <v>134</v>
      </c>
      <c r="J653" s="2">
        <v>1</v>
      </c>
      <c r="K653" s="2">
        <v>16.989999999999998</v>
      </c>
      <c r="L653" s="2" t="s">
        <v>121</v>
      </c>
      <c r="M653" s="2">
        <v>4.25</v>
      </c>
      <c r="N653" s="2">
        <v>7.99</v>
      </c>
      <c r="O653" s="2">
        <v>20.73</v>
      </c>
      <c r="P653" s="2" t="s">
        <v>40</v>
      </c>
      <c r="Q653" s="2" t="s">
        <v>28</v>
      </c>
      <c r="R653" s="2" t="s">
        <v>42</v>
      </c>
      <c r="S653" s="2" t="s">
        <v>75</v>
      </c>
      <c r="T653" s="2"/>
      <c r="U653" s="2" t="str">
        <f t="shared" si="31"/>
        <v>Not Required</v>
      </c>
      <c r="V653" s="2" t="s">
        <v>1978</v>
      </c>
    </row>
    <row r="654" spans="1:22" x14ac:dyDescent="0.3">
      <c r="A654" s="2" t="s">
        <v>1979</v>
      </c>
      <c r="B654" s="12">
        <f t="shared" si="30"/>
        <v>46238.583211631943</v>
      </c>
      <c r="C654" s="13">
        <v>46238.583211631943</v>
      </c>
      <c r="D654" s="2" t="s">
        <v>1980</v>
      </c>
      <c r="E654" s="2" t="str">
        <f t="shared" si="32"/>
        <v>Missing Email</v>
      </c>
      <c r="F654" s="2"/>
      <c r="G654" s="2" t="s">
        <v>133</v>
      </c>
      <c r="H654" s="2" t="s">
        <v>106</v>
      </c>
      <c r="I654" s="2" t="s">
        <v>134</v>
      </c>
      <c r="J654" s="2">
        <v>2</v>
      </c>
      <c r="K654" s="2">
        <v>16.989999999999998</v>
      </c>
      <c r="L654" s="2" t="s">
        <v>25</v>
      </c>
      <c r="M654" s="2">
        <v>6.8</v>
      </c>
      <c r="N654" s="2">
        <v>4.99</v>
      </c>
      <c r="O654" s="2">
        <v>32.17</v>
      </c>
      <c r="P654" s="2" t="s">
        <v>40</v>
      </c>
      <c r="Q654" s="2" t="s">
        <v>114</v>
      </c>
      <c r="R654" s="2" t="s">
        <v>52</v>
      </c>
      <c r="S654" s="2" t="s">
        <v>30</v>
      </c>
      <c r="T654" s="2" t="s">
        <v>60</v>
      </c>
      <c r="U654" s="2" t="str">
        <f t="shared" si="31"/>
        <v>Valid</v>
      </c>
      <c r="V654" s="2" t="s">
        <v>1981</v>
      </c>
    </row>
    <row r="655" spans="1:22" hidden="1" x14ac:dyDescent="0.3">
      <c r="A655" s="2" t="s">
        <v>1982</v>
      </c>
      <c r="B655" s="12">
        <f t="shared" si="30"/>
        <v>46238.585117916657</v>
      </c>
      <c r="C655" s="13">
        <v>46238.585117916657</v>
      </c>
      <c r="D655" s="2" t="s">
        <v>1983</v>
      </c>
      <c r="E655" s="2" t="str">
        <f t="shared" si="32"/>
        <v>Email Available</v>
      </c>
      <c r="F655" s="2" t="s">
        <v>1984</v>
      </c>
      <c r="G655" s="2" t="s">
        <v>157</v>
      </c>
      <c r="H655" s="2" t="s">
        <v>37</v>
      </c>
      <c r="I655" s="2" t="s">
        <v>158</v>
      </c>
      <c r="J655" s="2">
        <v>1</v>
      </c>
      <c r="K655" s="2" t="s">
        <v>618</v>
      </c>
      <c r="L655" s="2"/>
      <c r="M655" s="2">
        <v>0</v>
      </c>
      <c r="N655" s="2">
        <v>4.99</v>
      </c>
      <c r="O655" s="2">
        <v>34.979999999999997</v>
      </c>
      <c r="P655" s="2" t="s">
        <v>40</v>
      </c>
      <c r="Q655" s="2" t="s">
        <v>28</v>
      </c>
      <c r="R655" s="2" t="s">
        <v>52</v>
      </c>
      <c r="S655" s="2" t="s">
        <v>30</v>
      </c>
      <c r="T655" s="2" t="s">
        <v>91</v>
      </c>
      <c r="U655" s="2" t="str">
        <f t="shared" si="31"/>
        <v>Valid</v>
      </c>
      <c r="V655" s="2" t="s">
        <v>1985</v>
      </c>
    </row>
    <row r="656" spans="1:22" hidden="1" x14ac:dyDescent="0.3">
      <c r="A656" s="2" t="s">
        <v>1986</v>
      </c>
      <c r="B656" s="12">
        <f t="shared" si="30"/>
        <v>46238.586242395832</v>
      </c>
      <c r="C656" s="13">
        <v>46238.586242395832</v>
      </c>
      <c r="D656" s="2" t="s">
        <v>466</v>
      </c>
      <c r="E656" s="2" t="str">
        <f t="shared" si="32"/>
        <v>Email Available</v>
      </c>
      <c r="F656" s="2" t="s">
        <v>467</v>
      </c>
      <c r="G656" s="2" t="s">
        <v>127</v>
      </c>
      <c r="H656" s="2" t="s">
        <v>81</v>
      </c>
      <c r="I656" s="2" t="s">
        <v>128</v>
      </c>
      <c r="J656" s="2">
        <v>2</v>
      </c>
      <c r="K656" s="2">
        <v>13.99</v>
      </c>
      <c r="L656" s="2"/>
      <c r="M656" s="2">
        <v>0</v>
      </c>
      <c r="N656" s="2">
        <v>4.99</v>
      </c>
      <c r="O656" s="2">
        <v>32.97</v>
      </c>
      <c r="P656" s="2" t="s">
        <v>51</v>
      </c>
      <c r="Q656" s="2" t="s">
        <v>41</v>
      </c>
      <c r="R656" s="2" t="s">
        <v>52</v>
      </c>
      <c r="S656" s="2" t="s">
        <v>228</v>
      </c>
      <c r="T656" s="2"/>
      <c r="U656" s="2" t="str">
        <f t="shared" si="31"/>
        <v>Not Required</v>
      </c>
      <c r="V656" s="2" t="s">
        <v>1987</v>
      </c>
    </row>
    <row r="657" spans="1:22" hidden="1" x14ac:dyDescent="0.3">
      <c r="A657" s="2" t="s">
        <v>1988</v>
      </c>
      <c r="B657" s="12">
        <f t="shared" si="30"/>
        <v>46238.585715636567</v>
      </c>
      <c r="C657" s="13">
        <v>46238.585715636567</v>
      </c>
      <c r="D657" s="2" t="s">
        <v>1989</v>
      </c>
      <c r="E657" s="2" t="str">
        <f t="shared" si="32"/>
        <v>Email Available</v>
      </c>
      <c r="F657" s="2" t="s">
        <v>1990</v>
      </c>
      <c r="G657" s="2" t="s">
        <v>127</v>
      </c>
      <c r="H657" s="2" t="s">
        <v>81</v>
      </c>
      <c r="I657" s="2" t="s">
        <v>128</v>
      </c>
      <c r="J657" s="2">
        <v>1</v>
      </c>
      <c r="K657" s="2">
        <v>13.99</v>
      </c>
      <c r="L657" s="2" t="s">
        <v>25</v>
      </c>
      <c r="M657" s="2">
        <v>2.8</v>
      </c>
      <c r="N657" s="2">
        <v>4.99</v>
      </c>
      <c r="O657" s="2">
        <v>16.18</v>
      </c>
      <c r="P657" s="2" t="s">
        <v>51</v>
      </c>
      <c r="Q657" s="2" t="s">
        <v>28</v>
      </c>
      <c r="R657" s="2" t="s">
        <v>52</v>
      </c>
      <c r="S657" s="2" t="s">
        <v>228</v>
      </c>
      <c r="T657" s="2"/>
      <c r="U657" s="2" t="str">
        <f t="shared" si="31"/>
        <v>Not Required</v>
      </c>
      <c r="V657" s="2" t="s">
        <v>1991</v>
      </c>
    </row>
    <row r="658" spans="1:22" x14ac:dyDescent="0.3">
      <c r="A658" s="2" t="s">
        <v>1992</v>
      </c>
      <c r="B658" s="12">
        <f t="shared" si="30"/>
        <v>46238.579031504632</v>
      </c>
      <c r="C658" s="13">
        <v>46238.579031504632</v>
      </c>
      <c r="D658" s="2" t="s">
        <v>218</v>
      </c>
      <c r="E658" s="2" t="str">
        <f t="shared" si="32"/>
        <v>Missing Email</v>
      </c>
      <c r="F658" s="2"/>
      <c r="G658" s="2" t="s">
        <v>1993</v>
      </c>
      <c r="H658" s="2" t="s">
        <v>88</v>
      </c>
      <c r="I658" s="2" t="s">
        <v>369</v>
      </c>
      <c r="J658" s="2">
        <v>2</v>
      </c>
      <c r="K658" s="2">
        <v>54.99</v>
      </c>
      <c r="L658" s="2" t="s">
        <v>25</v>
      </c>
      <c r="M658" s="2" t="s">
        <v>1994</v>
      </c>
      <c r="N658" s="2">
        <v>0</v>
      </c>
      <c r="O658" s="2">
        <v>87.98</v>
      </c>
      <c r="P658" s="2" t="s">
        <v>27</v>
      </c>
      <c r="Q658" s="2" t="s">
        <v>114</v>
      </c>
      <c r="R658" s="2" t="s">
        <v>52</v>
      </c>
      <c r="S658" s="2" t="s">
        <v>30</v>
      </c>
      <c r="T658" s="2" t="s">
        <v>766</v>
      </c>
      <c r="U658" s="2" t="str">
        <f t="shared" si="31"/>
        <v>Valid</v>
      </c>
      <c r="V658" s="2" t="s">
        <v>1995</v>
      </c>
    </row>
    <row r="659" spans="1:22" hidden="1" x14ac:dyDescent="0.3">
      <c r="A659" s="2" t="s">
        <v>1996</v>
      </c>
      <c r="B659" s="12">
        <f t="shared" si="30"/>
        <v>46120</v>
      </c>
      <c r="C659" s="13" t="s">
        <v>142</v>
      </c>
      <c r="D659" s="2" t="s">
        <v>335</v>
      </c>
      <c r="E659" s="2" t="str">
        <f t="shared" si="32"/>
        <v>Email Available</v>
      </c>
      <c r="F659" s="2" t="s">
        <v>336</v>
      </c>
      <c r="G659" s="2" t="s">
        <v>127</v>
      </c>
      <c r="H659" s="2" t="s">
        <v>81</v>
      </c>
      <c r="I659" s="2" t="s">
        <v>128</v>
      </c>
      <c r="J659" s="2">
        <v>1</v>
      </c>
      <c r="K659" s="2">
        <v>13.99</v>
      </c>
      <c r="L659" s="2"/>
      <c r="M659" s="2">
        <v>0</v>
      </c>
      <c r="N659" s="2">
        <v>4.99</v>
      </c>
      <c r="O659" s="2">
        <v>18.98</v>
      </c>
      <c r="P659" s="2" t="s">
        <v>27</v>
      </c>
      <c r="Q659" s="2" t="s">
        <v>90</v>
      </c>
      <c r="R659" s="2" t="s">
        <v>42</v>
      </c>
      <c r="S659" s="2" t="s">
        <v>337</v>
      </c>
      <c r="T659" s="2"/>
      <c r="U659" s="2" t="str">
        <f t="shared" si="31"/>
        <v>Not Required</v>
      </c>
      <c r="V659" s="2" t="s">
        <v>1997</v>
      </c>
    </row>
    <row r="660" spans="1:22" hidden="1" x14ac:dyDescent="0.3">
      <c r="A660" s="2" t="s">
        <v>1998</v>
      </c>
      <c r="B660" s="12">
        <f t="shared" si="30"/>
        <v>46238</v>
      </c>
      <c r="C660" s="13" t="s">
        <v>148</v>
      </c>
      <c r="D660" s="2" t="s">
        <v>1999</v>
      </c>
      <c r="E660" s="2" t="str">
        <f t="shared" si="32"/>
        <v>Email Available</v>
      </c>
      <c r="F660" s="2" t="s">
        <v>260</v>
      </c>
      <c r="G660" s="2" t="s">
        <v>195</v>
      </c>
      <c r="H660" s="2" t="s">
        <v>196</v>
      </c>
      <c r="I660" s="2" t="s">
        <v>197</v>
      </c>
      <c r="J660" s="2">
        <v>1</v>
      </c>
      <c r="K660" s="2">
        <v>13.49</v>
      </c>
      <c r="L660" s="2"/>
      <c r="M660" s="2">
        <v>0</v>
      </c>
      <c r="N660" s="2">
        <v>7.99</v>
      </c>
      <c r="O660" s="2">
        <v>21.48</v>
      </c>
      <c r="P660" s="2" t="s">
        <v>51</v>
      </c>
      <c r="Q660" s="2" t="s">
        <v>28</v>
      </c>
      <c r="R660" s="2" t="s">
        <v>52</v>
      </c>
      <c r="S660" s="2" t="s">
        <v>30</v>
      </c>
      <c r="T660" s="2" t="s">
        <v>454</v>
      </c>
      <c r="U660" s="2" t="str">
        <f t="shared" si="31"/>
        <v>Valid</v>
      </c>
      <c r="V660" s="2" t="s">
        <v>2000</v>
      </c>
    </row>
    <row r="661" spans="1:22" hidden="1" x14ac:dyDescent="0.3">
      <c r="A661" s="2" t="s">
        <v>2001</v>
      </c>
      <c r="B661" s="12">
        <f t="shared" si="30"/>
        <v>46238.579376712973</v>
      </c>
      <c r="C661" s="13">
        <v>46238.579376712973</v>
      </c>
      <c r="D661" s="2" t="s">
        <v>1535</v>
      </c>
      <c r="E661" s="2" t="str">
        <f t="shared" si="32"/>
        <v>Email Available</v>
      </c>
      <c r="F661" s="2" t="s">
        <v>1536</v>
      </c>
      <c r="G661" s="2" t="s">
        <v>171</v>
      </c>
      <c r="H661" s="2" t="s">
        <v>106</v>
      </c>
      <c r="I661" s="2" t="s">
        <v>172</v>
      </c>
      <c r="J661" s="2">
        <v>1</v>
      </c>
      <c r="K661" s="2">
        <v>32.99</v>
      </c>
      <c r="L661" s="2"/>
      <c r="M661" s="2">
        <v>0</v>
      </c>
      <c r="N661" s="2">
        <v>7.99</v>
      </c>
      <c r="O661" s="2">
        <v>40.98</v>
      </c>
      <c r="P661" s="2" t="s">
        <v>68</v>
      </c>
      <c r="Q661" s="2" t="s">
        <v>28</v>
      </c>
      <c r="R661" s="2" t="s">
        <v>42</v>
      </c>
      <c r="S661" s="2" t="s">
        <v>75</v>
      </c>
      <c r="T661" s="2"/>
      <c r="U661" s="2" t="str">
        <f t="shared" si="31"/>
        <v>Not Required</v>
      </c>
      <c r="V661" s="2" t="s">
        <v>2002</v>
      </c>
    </row>
    <row r="662" spans="1:22" hidden="1" x14ac:dyDescent="0.3">
      <c r="A662" s="2" t="s">
        <v>2003</v>
      </c>
      <c r="B662" s="12">
        <f t="shared" si="30"/>
        <v>46238</v>
      </c>
      <c r="C662" s="13" t="s">
        <v>344</v>
      </c>
      <c r="D662" s="2" t="s">
        <v>2004</v>
      </c>
      <c r="E662" s="2" t="str">
        <f t="shared" si="32"/>
        <v>Email Available</v>
      </c>
      <c r="F662" s="2" t="s">
        <v>2005</v>
      </c>
      <c r="G662" s="2" t="s">
        <v>157</v>
      </c>
      <c r="H662" s="2" t="s">
        <v>37</v>
      </c>
      <c r="I662" s="2" t="s">
        <v>158</v>
      </c>
      <c r="J662" s="2">
        <v>1</v>
      </c>
      <c r="K662" s="2">
        <v>29.99</v>
      </c>
      <c r="L662" s="2" t="s">
        <v>67</v>
      </c>
      <c r="M662" s="2">
        <v>3</v>
      </c>
      <c r="N662" s="2">
        <v>5.99</v>
      </c>
      <c r="O662" s="2">
        <v>32.979999999999997</v>
      </c>
      <c r="P662" s="2" t="s">
        <v>51</v>
      </c>
      <c r="Q662" s="2" t="s">
        <v>28</v>
      </c>
      <c r="R662" s="2" t="s">
        <v>29</v>
      </c>
      <c r="S662" s="2" t="s">
        <v>43</v>
      </c>
      <c r="T662" s="2"/>
      <c r="U662" s="2" t="str">
        <f t="shared" si="31"/>
        <v>Not Required</v>
      </c>
      <c r="V662" s="2" t="s">
        <v>2006</v>
      </c>
    </row>
    <row r="663" spans="1:22" hidden="1" x14ac:dyDescent="0.3">
      <c r="A663" s="2" t="s">
        <v>2007</v>
      </c>
      <c r="B663" s="12">
        <f>DATE(VALUE(RIGHT(C663,4)),MATCH(LEFT(C663,3),{"Jan","Feb","Mar","Apr","May","Jun","Jul","Aug","Sep","Oct","Nov","Dec"},0),VALUE(MID(C663,5,2)))</f>
        <v>46238</v>
      </c>
      <c r="C663" s="13" t="s">
        <v>176</v>
      </c>
      <c r="D663" s="2" t="s">
        <v>764</v>
      </c>
      <c r="E663" s="2" t="str">
        <f t="shared" si="32"/>
        <v>Email Available</v>
      </c>
      <c r="F663" s="2" t="s">
        <v>765</v>
      </c>
      <c r="G663" s="2" t="s">
        <v>272</v>
      </c>
      <c r="H663" s="2" t="s">
        <v>23</v>
      </c>
      <c r="I663" s="2" t="s">
        <v>273</v>
      </c>
      <c r="J663" s="2">
        <v>1</v>
      </c>
      <c r="K663" s="2">
        <v>18.989999999999998</v>
      </c>
      <c r="L663" s="2" t="s">
        <v>208</v>
      </c>
      <c r="M663" s="2">
        <v>2.85</v>
      </c>
      <c r="N663" s="2">
        <v>4.99</v>
      </c>
      <c r="O663" s="2" t="s">
        <v>2008</v>
      </c>
      <c r="P663" s="2" t="s">
        <v>51</v>
      </c>
      <c r="Q663" s="2" t="s">
        <v>41</v>
      </c>
      <c r="R663" s="2" t="s">
        <v>52</v>
      </c>
      <c r="S663" s="2" t="s">
        <v>30</v>
      </c>
      <c r="T663" s="2" t="s">
        <v>31</v>
      </c>
      <c r="U663" s="2" t="str">
        <f t="shared" si="31"/>
        <v>Valid</v>
      </c>
      <c r="V663" s="2" t="s">
        <v>2009</v>
      </c>
    </row>
    <row r="664" spans="1:22" hidden="1" x14ac:dyDescent="0.3">
      <c r="A664" s="2" t="s">
        <v>2010</v>
      </c>
      <c r="B664" s="12">
        <f t="shared" si="30"/>
        <v>46238.580970289353</v>
      </c>
      <c r="C664" s="13">
        <v>46238.580970289353</v>
      </c>
      <c r="D664" s="2" t="s">
        <v>790</v>
      </c>
      <c r="E664" s="2" t="str">
        <f t="shared" si="32"/>
        <v>Email Available</v>
      </c>
      <c r="F664" s="2" t="s">
        <v>791</v>
      </c>
      <c r="G664" s="2" t="s">
        <v>65</v>
      </c>
      <c r="H664" s="2" t="s">
        <v>49</v>
      </c>
      <c r="I664" s="2" t="s">
        <v>66</v>
      </c>
      <c r="J664" s="2">
        <v>2</v>
      </c>
      <c r="K664" s="2">
        <v>14.99</v>
      </c>
      <c r="L664" s="2"/>
      <c r="M664" s="2">
        <v>0</v>
      </c>
      <c r="N664" s="2">
        <v>7.99</v>
      </c>
      <c r="O664" s="2">
        <v>37.97</v>
      </c>
      <c r="P664" s="2" t="s">
        <v>40</v>
      </c>
      <c r="Q664" s="2" t="s">
        <v>28</v>
      </c>
      <c r="R664" s="2" t="s">
        <v>42</v>
      </c>
      <c r="S664" s="2" t="s">
        <v>228</v>
      </c>
      <c r="T664" s="2"/>
      <c r="U664" s="2" t="str">
        <f t="shared" si="31"/>
        <v>Not Required</v>
      </c>
      <c r="V664" s="2" t="s">
        <v>2011</v>
      </c>
    </row>
    <row r="665" spans="1:22" hidden="1" x14ac:dyDescent="0.3">
      <c r="A665" s="2" t="s">
        <v>2012</v>
      </c>
      <c r="B665" s="12">
        <f t="shared" si="30"/>
        <v>46238.581004143518</v>
      </c>
      <c r="C665" s="13">
        <v>46238.581004143518</v>
      </c>
      <c r="D665" s="2" t="s">
        <v>2013</v>
      </c>
      <c r="E665" s="2" t="str">
        <f t="shared" si="32"/>
        <v>Email Available</v>
      </c>
      <c r="F665" s="2" t="s">
        <v>2014</v>
      </c>
      <c r="G665" s="2" t="s">
        <v>272</v>
      </c>
      <c r="H665" s="2" t="s">
        <v>23</v>
      </c>
      <c r="I665" s="2" t="s">
        <v>273</v>
      </c>
      <c r="J665" s="2">
        <v>2</v>
      </c>
      <c r="K665" s="2">
        <v>18.989999999999998</v>
      </c>
      <c r="L665" s="2" t="s">
        <v>121</v>
      </c>
      <c r="M665" s="2">
        <v>9.49</v>
      </c>
      <c r="N665" s="2">
        <v>4.99</v>
      </c>
      <c r="O665" s="2">
        <v>33.479999999999997</v>
      </c>
      <c r="P665" s="2" t="s">
        <v>68</v>
      </c>
      <c r="Q665" s="2" t="s">
        <v>114</v>
      </c>
      <c r="R665" s="2" t="s">
        <v>52</v>
      </c>
      <c r="S665" s="2" t="s">
        <v>228</v>
      </c>
      <c r="T665" s="2"/>
      <c r="U665" s="2" t="str">
        <f t="shared" si="31"/>
        <v>Not Required</v>
      </c>
      <c r="V665" s="2" t="s">
        <v>2015</v>
      </c>
    </row>
    <row r="666" spans="1:22" hidden="1" x14ac:dyDescent="0.3">
      <c r="A666" s="2" t="s">
        <v>2016</v>
      </c>
      <c r="B666" s="12">
        <f t="shared" si="30"/>
        <v>46238.587732337961</v>
      </c>
      <c r="C666" s="13">
        <v>46238.587732337961</v>
      </c>
      <c r="D666" s="2" t="s">
        <v>988</v>
      </c>
      <c r="E666" s="2" t="str">
        <f t="shared" si="32"/>
        <v>Email Available</v>
      </c>
      <c r="F666" s="2" t="s">
        <v>989</v>
      </c>
      <c r="G666" s="2" t="s">
        <v>171</v>
      </c>
      <c r="H666" s="2" t="s">
        <v>106</v>
      </c>
      <c r="I666" s="2" t="s">
        <v>172</v>
      </c>
      <c r="J666" s="2">
        <v>2</v>
      </c>
      <c r="K666" s="2">
        <v>32.99</v>
      </c>
      <c r="L666" s="2" t="s">
        <v>39</v>
      </c>
      <c r="M666" s="2">
        <v>0</v>
      </c>
      <c r="N666" s="2">
        <v>0</v>
      </c>
      <c r="O666" s="2">
        <v>65.98</v>
      </c>
      <c r="P666" s="2" t="s">
        <v>27</v>
      </c>
      <c r="Q666" s="2" t="s">
        <v>28</v>
      </c>
      <c r="R666" s="2" t="s">
        <v>29</v>
      </c>
      <c r="S666" s="2" t="s">
        <v>337</v>
      </c>
      <c r="T666" s="2"/>
      <c r="U666" s="2" t="str">
        <f t="shared" si="31"/>
        <v>Not Required</v>
      </c>
      <c r="V666" s="2" t="s">
        <v>2017</v>
      </c>
    </row>
    <row r="667" spans="1:22" hidden="1" x14ac:dyDescent="0.3">
      <c r="A667" s="2" t="s">
        <v>2018</v>
      </c>
      <c r="B667" s="12">
        <f t="shared" si="30"/>
        <v>46120</v>
      </c>
      <c r="C667" s="13" t="s">
        <v>142</v>
      </c>
      <c r="D667" s="2" t="s">
        <v>181</v>
      </c>
      <c r="E667" s="2" t="str">
        <f t="shared" si="32"/>
        <v>Email Available</v>
      </c>
      <c r="F667" s="2" t="s">
        <v>182</v>
      </c>
      <c r="G667" s="2" t="s">
        <v>266</v>
      </c>
      <c r="H667" s="2" t="s">
        <v>37</v>
      </c>
      <c r="I667" s="2" t="s">
        <v>267</v>
      </c>
      <c r="J667" s="2">
        <v>1</v>
      </c>
      <c r="K667" s="2">
        <v>15.49</v>
      </c>
      <c r="L667" s="2"/>
      <c r="M667" s="2">
        <v>0</v>
      </c>
      <c r="N667" s="2">
        <v>4.99</v>
      </c>
      <c r="O667" s="2">
        <v>20.48</v>
      </c>
      <c r="P667" s="2" t="s">
        <v>27</v>
      </c>
      <c r="Q667" s="2" t="s">
        <v>28</v>
      </c>
      <c r="R667" s="2" t="s">
        <v>52</v>
      </c>
      <c r="S667" s="2" t="s">
        <v>30</v>
      </c>
      <c r="T667" s="2" t="s">
        <v>294</v>
      </c>
      <c r="U667" s="2" t="str">
        <f t="shared" si="31"/>
        <v>Valid</v>
      </c>
      <c r="V667" s="2" t="s">
        <v>2019</v>
      </c>
    </row>
    <row r="668" spans="1:22" hidden="1" x14ac:dyDescent="0.3">
      <c r="A668" s="2" t="s">
        <v>2020</v>
      </c>
      <c r="B668" s="12">
        <f t="shared" si="30"/>
        <v>46238.582437118057</v>
      </c>
      <c r="C668" s="13">
        <v>46238.582437118057</v>
      </c>
      <c r="D668" s="2" t="s">
        <v>2021</v>
      </c>
      <c r="E668" s="2" t="str">
        <f t="shared" si="32"/>
        <v>Email Available</v>
      </c>
      <c r="F668" s="2" t="s">
        <v>2022</v>
      </c>
      <c r="G668" s="2" t="s">
        <v>272</v>
      </c>
      <c r="H668" s="2" t="s">
        <v>23</v>
      </c>
      <c r="I668" s="2" t="s">
        <v>273</v>
      </c>
      <c r="J668" s="2">
        <v>1</v>
      </c>
      <c r="K668" s="2">
        <v>18.989999999999998</v>
      </c>
      <c r="L668" s="2" t="s">
        <v>39</v>
      </c>
      <c r="M668" s="2">
        <v>0</v>
      </c>
      <c r="N668" s="2">
        <v>0</v>
      </c>
      <c r="O668" s="2">
        <v>18.989999999999998</v>
      </c>
      <c r="P668" s="2" t="s">
        <v>27</v>
      </c>
      <c r="Q668" s="2" t="s">
        <v>114</v>
      </c>
      <c r="R668" s="2" t="s">
        <v>52</v>
      </c>
      <c r="S668" s="2" t="s">
        <v>108</v>
      </c>
      <c r="T668" s="2"/>
      <c r="U668" s="2" t="str">
        <f t="shared" si="31"/>
        <v>Not Required</v>
      </c>
      <c r="V668" s="2" t="s">
        <v>2023</v>
      </c>
    </row>
    <row r="669" spans="1:22" hidden="1" x14ac:dyDescent="0.3">
      <c r="A669" s="2" t="s">
        <v>2024</v>
      </c>
      <c r="B669" s="12">
        <f t="shared" si="30"/>
        <v>46238</v>
      </c>
      <c r="C669" s="13" t="s">
        <v>1202</v>
      </c>
      <c r="D669" s="2" t="s">
        <v>737</v>
      </c>
      <c r="E669" s="2" t="str">
        <f t="shared" si="32"/>
        <v>Email Available</v>
      </c>
      <c r="F669" s="2" t="s">
        <v>516</v>
      </c>
      <c r="G669" s="2" t="s">
        <v>120</v>
      </c>
      <c r="H669" s="2" t="s">
        <v>23</v>
      </c>
      <c r="I669" s="2" t="s">
        <v>24</v>
      </c>
      <c r="J669" s="2">
        <v>1</v>
      </c>
      <c r="K669" s="2">
        <v>12.99</v>
      </c>
      <c r="L669" s="2" t="s">
        <v>39</v>
      </c>
      <c r="M669" s="2">
        <v>0</v>
      </c>
      <c r="N669" s="2">
        <v>0</v>
      </c>
      <c r="O669" s="2">
        <v>12.99</v>
      </c>
      <c r="P669" s="2" t="s">
        <v>40</v>
      </c>
      <c r="Q669" s="2" t="s">
        <v>41</v>
      </c>
      <c r="R669" s="2" t="s">
        <v>52</v>
      </c>
      <c r="S669" s="2" t="s">
        <v>337</v>
      </c>
      <c r="T669" s="2"/>
      <c r="U669" s="2" t="str">
        <f t="shared" si="31"/>
        <v>Not Required</v>
      </c>
      <c r="V669" s="2" t="s">
        <v>2025</v>
      </c>
    </row>
    <row r="670" spans="1:22" hidden="1" x14ac:dyDescent="0.3">
      <c r="A670" s="2" t="s">
        <v>2026</v>
      </c>
      <c r="B670" s="12">
        <f t="shared" si="30"/>
        <v>46238</v>
      </c>
      <c r="C670" s="13" t="s">
        <v>148</v>
      </c>
      <c r="D670" s="2" t="s">
        <v>94</v>
      </c>
      <c r="E670" s="2" t="str">
        <f t="shared" si="32"/>
        <v>Email Available</v>
      </c>
      <c r="F670" s="2" t="s">
        <v>95</v>
      </c>
      <c r="G670" s="2" t="s">
        <v>120</v>
      </c>
      <c r="H670" s="2" t="s">
        <v>23</v>
      </c>
      <c r="I670" s="2" t="s">
        <v>24</v>
      </c>
      <c r="J670" s="2">
        <v>1</v>
      </c>
      <c r="K670" s="2">
        <v>12.99</v>
      </c>
      <c r="L670" s="2" t="s">
        <v>1139</v>
      </c>
      <c r="M670" s="2">
        <v>1.3</v>
      </c>
      <c r="N670" s="2">
        <v>5.99</v>
      </c>
      <c r="O670" s="2">
        <v>17.68</v>
      </c>
      <c r="P670" s="2" t="s">
        <v>40</v>
      </c>
      <c r="Q670" s="2" t="s">
        <v>90</v>
      </c>
      <c r="R670" s="2" t="s">
        <v>52</v>
      </c>
      <c r="S670" s="2" t="s">
        <v>43</v>
      </c>
      <c r="T670" s="2"/>
      <c r="U670" s="2" t="str">
        <f t="shared" si="31"/>
        <v>Not Required</v>
      </c>
      <c r="V670" s="2" t="s">
        <v>2027</v>
      </c>
    </row>
    <row r="671" spans="1:22" hidden="1" x14ac:dyDescent="0.3">
      <c r="A671" s="2" t="s">
        <v>2028</v>
      </c>
      <c r="B671" s="12">
        <f t="shared" si="30"/>
        <v>46238.584291319443</v>
      </c>
      <c r="C671" s="13">
        <v>46238.584291319443</v>
      </c>
      <c r="D671" s="2" t="s">
        <v>335</v>
      </c>
      <c r="E671" s="2" t="str">
        <f t="shared" si="32"/>
        <v>Email Available</v>
      </c>
      <c r="F671" s="2" t="s">
        <v>336</v>
      </c>
      <c r="G671" s="2" t="s">
        <v>187</v>
      </c>
      <c r="H671" s="2" t="s">
        <v>37</v>
      </c>
      <c r="I671" s="2" t="s">
        <v>188</v>
      </c>
      <c r="J671" s="2">
        <v>2</v>
      </c>
      <c r="K671" s="2">
        <v>11.99</v>
      </c>
      <c r="L671" s="2" t="s">
        <v>39</v>
      </c>
      <c r="M671" s="2">
        <v>0</v>
      </c>
      <c r="N671" s="2">
        <v>0</v>
      </c>
      <c r="O671" s="2">
        <v>23.98</v>
      </c>
      <c r="P671" s="2" t="s">
        <v>74</v>
      </c>
      <c r="Q671" s="2" t="s">
        <v>28</v>
      </c>
      <c r="R671" s="2" t="s">
        <v>42</v>
      </c>
      <c r="S671" s="2" t="s">
        <v>337</v>
      </c>
      <c r="T671" s="2"/>
      <c r="U671" s="2" t="str">
        <f t="shared" si="31"/>
        <v>Not Required</v>
      </c>
      <c r="V671" s="2" t="s">
        <v>2029</v>
      </c>
    </row>
    <row r="672" spans="1:22" hidden="1" x14ac:dyDescent="0.3">
      <c r="A672" s="2" t="s">
        <v>2030</v>
      </c>
      <c r="B672" s="12">
        <f t="shared" si="30"/>
        <v>46238.579755567131</v>
      </c>
      <c r="C672" s="13">
        <v>46238.579755567131</v>
      </c>
      <c r="D672" s="2" t="s">
        <v>764</v>
      </c>
      <c r="E672" s="2" t="str">
        <f t="shared" si="32"/>
        <v>Email Available</v>
      </c>
      <c r="F672" s="2" t="s">
        <v>765</v>
      </c>
      <c r="G672" s="2" t="s">
        <v>65</v>
      </c>
      <c r="H672" s="2" t="s">
        <v>49</v>
      </c>
      <c r="I672" s="2" t="s">
        <v>66</v>
      </c>
      <c r="J672" s="2">
        <v>4</v>
      </c>
      <c r="K672" s="2">
        <v>14.99</v>
      </c>
      <c r="L672" s="2"/>
      <c r="M672" s="2">
        <v>0</v>
      </c>
      <c r="N672" s="2">
        <v>7.99</v>
      </c>
      <c r="O672" s="2">
        <v>67.95</v>
      </c>
      <c r="P672" s="2" t="s">
        <v>40</v>
      </c>
      <c r="Q672" s="2" t="s">
        <v>114</v>
      </c>
      <c r="R672" s="2" t="s">
        <v>42</v>
      </c>
      <c r="S672" s="2" t="s">
        <v>30</v>
      </c>
      <c r="T672" s="2" t="s">
        <v>454</v>
      </c>
      <c r="U672" s="2" t="str">
        <f t="shared" si="31"/>
        <v>Valid</v>
      </c>
      <c r="V672" s="2" t="s">
        <v>2031</v>
      </c>
    </row>
    <row r="673" spans="1:22" hidden="1" x14ac:dyDescent="0.3">
      <c r="A673" s="2" t="s">
        <v>2032</v>
      </c>
      <c r="B673" s="12">
        <f t="shared" si="30"/>
        <v>46238.588441574073</v>
      </c>
      <c r="C673" s="13">
        <v>46238.588441574073</v>
      </c>
      <c r="D673" s="2" t="s">
        <v>2033</v>
      </c>
      <c r="E673" s="2" t="str">
        <f t="shared" si="32"/>
        <v>Email Available</v>
      </c>
      <c r="F673" s="2" t="s">
        <v>2034</v>
      </c>
      <c r="G673" s="2" t="s">
        <v>127</v>
      </c>
      <c r="H673" s="2" t="s">
        <v>81</v>
      </c>
      <c r="I673" s="2" t="s">
        <v>128</v>
      </c>
      <c r="J673" s="2">
        <v>1</v>
      </c>
      <c r="K673" s="2">
        <v>13.99</v>
      </c>
      <c r="L673" s="2" t="s">
        <v>67</v>
      </c>
      <c r="M673" s="2">
        <v>1.4</v>
      </c>
      <c r="N673" s="2">
        <v>5.99</v>
      </c>
      <c r="O673" s="2">
        <v>18.579999999999998</v>
      </c>
      <c r="P673" s="2" t="s">
        <v>74</v>
      </c>
      <c r="Q673" s="2" t="s">
        <v>28</v>
      </c>
      <c r="R673" s="2" t="s">
        <v>99</v>
      </c>
      <c r="S673" s="2" t="s">
        <v>30</v>
      </c>
      <c r="T673" s="2" t="s">
        <v>347</v>
      </c>
      <c r="U673" s="2" t="str">
        <f t="shared" si="31"/>
        <v>Valid</v>
      </c>
      <c r="V673" s="2" t="s">
        <v>2035</v>
      </c>
    </row>
    <row r="674" spans="1:22" hidden="1" x14ac:dyDescent="0.3">
      <c r="A674" s="2" t="s">
        <v>2036</v>
      </c>
      <c r="B674" s="12">
        <f t="shared" si="30"/>
        <v>46238.586174618053</v>
      </c>
      <c r="C674" s="13">
        <v>46238.586174618053</v>
      </c>
      <c r="D674" s="2" t="s">
        <v>2037</v>
      </c>
      <c r="E674" s="2" t="str">
        <f t="shared" si="32"/>
        <v>Email Available</v>
      </c>
      <c r="F674" s="2" t="s">
        <v>2038</v>
      </c>
      <c r="G674" s="2" t="s">
        <v>36</v>
      </c>
      <c r="H674" s="2" t="s">
        <v>37</v>
      </c>
      <c r="I674" s="2" t="s">
        <v>38</v>
      </c>
      <c r="J674" s="2">
        <v>1</v>
      </c>
      <c r="K674" s="2" t="s">
        <v>571</v>
      </c>
      <c r="L674" s="2" t="s">
        <v>97</v>
      </c>
      <c r="M674" s="2">
        <v>4.4000000000000004</v>
      </c>
      <c r="N674" s="2">
        <v>4.99</v>
      </c>
      <c r="O674" s="2">
        <v>22.58</v>
      </c>
      <c r="P674" s="2" t="s">
        <v>40</v>
      </c>
      <c r="Q674" s="2" t="s">
        <v>28</v>
      </c>
      <c r="R674" s="2" t="s">
        <v>52</v>
      </c>
      <c r="S674" s="2" t="s">
        <v>337</v>
      </c>
      <c r="T674" s="2"/>
      <c r="U674" s="2" t="str">
        <f t="shared" si="31"/>
        <v>Not Required</v>
      </c>
      <c r="V674" s="2" t="s">
        <v>2039</v>
      </c>
    </row>
    <row r="675" spans="1:22" hidden="1" x14ac:dyDescent="0.3">
      <c r="A675" s="2" t="s">
        <v>2040</v>
      </c>
      <c r="B675" s="12">
        <f t="shared" si="30"/>
        <v>46238.584567650461</v>
      </c>
      <c r="C675" s="13">
        <v>46238.584567650461</v>
      </c>
      <c r="D675" s="2" t="s">
        <v>748</v>
      </c>
      <c r="E675" s="2" t="str">
        <f t="shared" si="32"/>
        <v>Email Available</v>
      </c>
      <c r="F675" s="2" t="s">
        <v>749</v>
      </c>
      <c r="G675" s="2" t="s">
        <v>226</v>
      </c>
      <c r="H675" s="2" t="s">
        <v>23</v>
      </c>
      <c r="I675" s="2" t="s">
        <v>227</v>
      </c>
      <c r="J675" s="2">
        <v>2</v>
      </c>
      <c r="K675" s="2">
        <v>17.989999999999998</v>
      </c>
      <c r="L675" s="2"/>
      <c r="M675" s="2">
        <v>0</v>
      </c>
      <c r="N675" s="2">
        <v>7.99</v>
      </c>
      <c r="O675" s="2">
        <v>43.97</v>
      </c>
      <c r="P675" s="2" t="s">
        <v>74</v>
      </c>
      <c r="Q675" s="2" t="s">
        <v>41</v>
      </c>
      <c r="R675" s="2" t="s">
        <v>52</v>
      </c>
      <c r="S675" s="2" t="s">
        <v>108</v>
      </c>
      <c r="T675" s="2"/>
      <c r="U675" s="2" t="str">
        <f t="shared" si="31"/>
        <v>Not Required</v>
      </c>
      <c r="V675" s="2" t="s">
        <v>2041</v>
      </c>
    </row>
    <row r="676" spans="1:22" hidden="1" x14ac:dyDescent="0.3">
      <c r="A676" s="2" t="s">
        <v>2042</v>
      </c>
      <c r="B676" s="12">
        <f t="shared" si="30"/>
        <v>46238.587724618053</v>
      </c>
      <c r="C676" s="13">
        <v>46238.587724618053</v>
      </c>
      <c r="D676" s="2"/>
      <c r="E676" s="2" t="str">
        <f t="shared" si="32"/>
        <v>Email Available</v>
      </c>
      <c r="F676" s="2" t="s">
        <v>663</v>
      </c>
      <c r="G676" s="2" t="s">
        <v>80</v>
      </c>
      <c r="H676" s="2" t="s">
        <v>81</v>
      </c>
      <c r="I676" s="2" t="s">
        <v>82</v>
      </c>
      <c r="J676" s="2">
        <v>1</v>
      </c>
      <c r="K676" s="2">
        <v>89.99</v>
      </c>
      <c r="L676" s="2"/>
      <c r="M676" s="2">
        <v>0</v>
      </c>
      <c r="N676" s="2">
        <v>0</v>
      </c>
      <c r="O676" s="2">
        <v>89.99</v>
      </c>
      <c r="P676" s="2" t="s">
        <v>68</v>
      </c>
      <c r="Q676" s="2" t="s">
        <v>28</v>
      </c>
      <c r="R676" s="2" t="s">
        <v>52</v>
      </c>
      <c r="S676" s="2" t="s">
        <v>30</v>
      </c>
      <c r="T676" s="2" t="s">
        <v>248</v>
      </c>
      <c r="U676" s="2" t="str">
        <f t="shared" si="31"/>
        <v>Valid</v>
      </c>
      <c r="V676" s="2" t="s">
        <v>2043</v>
      </c>
    </row>
    <row r="677" spans="1:22" hidden="1" x14ac:dyDescent="0.3">
      <c r="A677" s="2" t="s">
        <v>2044</v>
      </c>
      <c r="B677" s="12">
        <f t="shared" si="30"/>
        <v>46238.582620104156</v>
      </c>
      <c r="C677" s="13">
        <v>46238.582620104156</v>
      </c>
      <c r="D677" s="2" t="s">
        <v>2045</v>
      </c>
      <c r="E677" s="2" t="str">
        <f t="shared" si="32"/>
        <v>Email Available</v>
      </c>
      <c r="F677" s="2" t="s">
        <v>2046</v>
      </c>
      <c r="G677" s="2" t="s">
        <v>206</v>
      </c>
      <c r="H677" s="2" t="s">
        <v>196</v>
      </c>
      <c r="I677" s="2" t="s">
        <v>207</v>
      </c>
      <c r="J677" s="2">
        <v>1</v>
      </c>
      <c r="K677" s="2">
        <v>24.99</v>
      </c>
      <c r="L677" s="2" t="s">
        <v>67</v>
      </c>
      <c r="M677" s="2">
        <v>2.5</v>
      </c>
      <c r="N677" s="2">
        <v>7.99</v>
      </c>
      <c r="O677" s="2">
        <v>30.48</v>
      </c>
      <c r="P677" s="2" t="s">
        <v>51</v>
      </c>
      <c r="Q677" s="2" t="s">
        <v>114</v>
      </c>
      <c r="R677" s="2" t="s">
        <v>29</v>
      </c>
      <c r="S677" s="2" t="s">
        <v>108</v>
      </c>
      <c r="T677" s="2"/>
      <c r="U677" s="2" t="str">
        <f t="shared" si="31"/>
        <v>Not Required</v>
      </c>
      <c r="V677" s="2" t="s">
        <v>2047</v>
      </c>
    </row>
    <row r="678" spans="1:22" hidden="1" x14ac:dyDescent="0.3">
      <c r="A678" s="2" t="s">
        <v>2048</v>
      </c>
      <c r="B678" s="12">
        <f t="shared" si="30"/>
        <v>46238.582092951387</v>
      </c>
      <c r="C678" s="13">
        <v>46238.582092951387</v>
      </c>
      <c r="D678" s="2" t="s">
        <v>502</v>
      </c>
      <c r="E678" s="2" t="str">
        <f t="shared" si="32"/>
        <v>Email Available</v>
      </c>
      <c r="F678" s="2" t="s">
        <v>503</v>
      </c>
      <c r="G678" s="2" t="s">
        <v>133</v>
      </c>
      <c r="H678" s="2" t="s">
        <v>106</v>
      </c>
      <c r="I678" s="2" t="s">
        <v>134</v>
      </c>
      <c r="J678" s="2">
        <v>2</v>
      </c>
      <c r="K678" s="2">
        <v>16.989999999999998</v>
      </c>
      <c r="L678" s="2" t="s">
        <v>39</v>
      </c>
      <c r="M678" s="2" t="s">
        <v>189</v>
      </c>
      <c r="N678" s="2">
        <v>0</v>
      </c>
      <c r="O678" s="2">
        <v>33.979999999999997</v>
      </c>
      <c r="P678" s="2" t="s">
        <v>40</v>
      </c>
      <c r="Q678" s="2" t="s">
        <v>28</v>
      </c>
      <c r="R678" s="2" t="s">
        <v>29</v>
      </c>
      <c r="S678" s="2" t="s">
        <v>108</v>
      </c>
      <c r="T678" s="2"/>
      <c r="U678" s="2" t="str">
        <f t="shared" si="31"/>
        <v>Not Required</v>
      </c>
      <c r="V678" s="2" t="s">
        <v>2049</v>
      </c>
    </row>
    <row r="679" spans="1:22" hidden="1" x14ac:dyDescent="0.3">
      <c r="A679" s="2" t="s">
        <v>2050</v>
      </c>
      <c r="B679" s="12">
        <f t="shared" si="30"/>
        <v>46238.584846747683</v>
      </c>
      <c r="C679" s="13">
        <v>46238.584846747683</v>
      </c>
      <c r="D679" s="2" t="s">
        <v>2051</v>
      </c>
      <c r="E679" s="2" t="str">
        <f t="shared" si="32"/>
        <v>Email Available</v>
      </c>
      <c r="F679" s="2" t="s">
        <v>2052</v>
      </c>
      <c r="G679" s="2" t="s">
        <v>105</v>
      </c>
      <c r="H679" s="2" t="s">
        <v>106</v>
      </c>
      <c r="I679" s="2" t="s">
        <v>107</v>
      </c>
      <c r="J679" s="2">
        <v>1</v>
      </c>
      <c r="K679" s="2">
        <v>19.989999999999998</v>
      </c>
      <c r="L679" s="2"/>
      <c r="M679" s="2">
        <v>0</v>
      </c>
      <c r="N679" s="2">
        <v>4.99</v>
      </c>
      <c r="O679" s="2">
        <v>24.98</v>
      </c>
      <c r="P679" s="2" t="s">
        <v>40</v>
      </c>
      <c r="Q679" s="2" t="s">
        <v>41</v>
      </c>
      <c r="R679" s="2" t="s">
        <v>99</v>
      </c>
      <c r="S679" s="2" t="s">
        <v>43</v>
      </c>
      <c r="T679" s="2"/>
      <c r="U679" s="2" t="str">
        <f t="shared" si="31"/>
        <v>Not Required</v>
      </c>
      <c r="V679" s="2" t="s">
        <v>2053</v>
      </c>
    </row>
    <row r="680" spans="1:22" hidden="1" x14ac:dyDescent="0.3">
      <c r="A680" s="2" t="s">
        <v>2054</v>
      </c>
      <c r="B680" s="12">
        <f t="shared" si="30"/>
        <v>46238.586269270832</v>
      </c>
      <c r="C680" s="13">
        <v>46238.586269270832</v>
      </c>
      <c r="D680" s="2" t="s">
        <v>2055</v>
      </c>
      <c r="E680" s="2" t="str">
        <f t="shared" si="32"/>
        <v>Email Available</v>
      </c>
      <c r="F680" s="2" t="s">
        <v>2056</v>
      </c>
      <c r="G680" s="2" t="s">
        <v>65</v>
      </c>
      <c r="H680" s="2" t="s">
        <v>49</v>
      </c>
      <c r="I680" s="2" t="s">
        <v>66</v>
      </c>
      <c r="J680" s="2">
        <v>1</v>
      </c>
      <c r="K680" s="2">
        <v>14.99</v>
      </c>
      <c r="L680" s="2" t="s">
        <v>39</v>
      </c>
      <c r="M680" s="2">
        <v>0</v>
      </c>
      <c r="N680" s="2">
        <v>0</v>
      </c>
      <c r="O680" s="2">
        <v>14.99</v>
      </c>
      <c r="P680" s="2" t="s">
        <v>40</v>
      </c>
      <c r="Q680" s="2" t="s">
        <v>28</v>
      </c>
      <c r="R680" s="2" t="s">
        <v>99</v>
      </c>
      <c r="S680" s="2" t="s">
        <v>30</v>
      </c>
      <c r="T680" s="2" t="s">
        <v>60</v>
      </c>
      <c r="U680" s="2" t="str">
        <f t="shared" si="31"/>
        <v>Valid</v>
      </c>
      <c r="V680" s="2" t="s">
        <v>2057</v>
      </c>
    </row>
    <row r="681" spans="1:22" x14ac:dyDescent="0.3">
      <c r="A681" s="2" t="s">
        <v>2058</v>
      </c>
      <c r="B681" s="12">
        <f t="shared" si="30"/>
        <v>46238.58708568287</v>
      </c>
      <c r="C681" s="13">
        <v>46238.58708568287</v>
      </c>
      <c r="D681" s="2" t="s">
        <v>2059</v>
      </c>
      <c r="E681" s="2" t="str">
        <f t="shared" si="32"/>
        <v>Missing Email</v>
      </c>
      <c r="F681" s="2"/>
      <c r="G681" s="2" t="s">
        <v>187</v>
      </c>
      <c r="H681" s="2" t="s">
        <v>37</v>
      </c>
      <c r="I681" s="2" t="s">
        <v>188</v>
      </c>
      <c r="J681" s="2">
        <v>1</v>
      </c>
      <c r="K681" s="2">
        <v>11.99</v>
      </c>
      <c r="L681" s="2"/>
      <c r="M681" s="2">
        <v>0</v>
      </c>
      <c r="N681" s="2">
        <v>5.99</v>
      </c>
      <c r="O681" s="2">
        <v>17.98</v>
      </c>
      <c r="P681" s="2" t="s">
        <v>74</v>
      </c>
      <c r="Q681" s="2" t="s">
        <v>90</v>
      </c>
      <c r="R681" s="2" t="s">
        <v>42</v>
      </c>
      <c r="S681" s="2" t="s">
        <v>30</v>
      </c>
      <c r="T681" s="2" t="s">
        <v>939</v>
      </c>
      <c r="U681" s="2" t="str">
        <f t="shared" si="31"/>
        <v>Valid</v>
      </c>
      <c r="V681" s="2" t="s">
        <v>2060</v>
      </c>
    </row>
    <row r="682" spans="1:22" hidden="1" x14ac:dyDescent="0.3">
      <c r="A682" s="2" t="s">
        <v>2061</v>
      </c>
      <c r="B682" s="12">
        <f t="shared" si="30"/>
        <v>46238.583006203713</v>
      </c>
      <c r="C682" s="13">
        <v>46238.583006203713</v>
      </c>
      <c r="D682" s="2" t="s">
        <v>698</v>
      </c>
      <c r="E682" s="2" t="str">
        <f t="shared" si="32"/>
        <v>Email Available</v>
      </c>
      <c r="F682" s="2" t="s">
        <v>699</v>
      </c>
      <c r="G682" s="2" t="s">
        <v>58</v>
      </c>
      <c r="H682" s="2" t="s">
        <v>23</v>
      </c>
      <c r="I682" s="2" t="s">
        <v>59</v>
      </c>
      <c r="J682" s="2">
        <v>1</v>
      </c>
      <c r="K682" s="2">
        <v>9.99</v>
      </c>
      <c r="L682" s="2"/>
      <c r="M682" s="2">
        <v>0</v>
      </c>
      <c r="N682" s="2">
        <v>7.99</v>
      </c>
      <c r="O682" s="2">
        <v>17.98</v>
      </c>
      <c r="P682" s="2" t="s">
        <v>74</v>
      </c>
      <c r="Q682" s="2" t="s">
        <v>28</v>
      </c>
      <c r="R682" s="2" t="s">
        <v>42</v>
      </c>
      <c r="S682" s="2" t="s">
        <v>30</v>
      </c>
      <c r="T682" s="2" t="s">
        <v>91</v>
      </c>
      <c r="U682" s="2" t="str">
        <f t="shared" si="31"/>
        <v>Valid</v>
      </c>
      <c r="V682" s="2" t="s">
        <v>2062</v>
      </c>
    </row>
    <row r="683" spans="1:22" hidden="1" x14ac:dyDescent="0.3">
      <c r="A683" s="2" t="s">
        <v>2063</v>
      </c>
      <c r="B683" s="12">
        <f t="shared" si="30"/>
        <v>46238.582179803241</v>
      </c>
      <c r="C683" s="13">
        <v>46238.582179803241</v>
      </c>
      <c r="D683" s="2" t="s">
        <v>853</v>
      </c>
      <c r="E683" s="2" t="str">
        <f t="shared" si="32"/>
        <v>Email Available</v>
      </c>
      <c r="F683" s="2" t="s">
        <v>854</v>
      </c>
      <c r="G683" s="2" t="s">
        <v>65</v>
      </c>
      <c r="H683" s="2" t="s">
        <v>49</v>
      </c>
      <c r="I683" s="2" t="s">
        <v>66</v>
      </c>
      <c r="J683" s="2">
        <v>1</v>
      </c>
      <c r="K683" s="2">
        <v>14.99</v>
      </c>
      <c r="L683" s="2" t="s">
        <v>208</v>
      </c>
      <c r="M683" s="2">
        <v>2.25</v>
      </c>
      <c r="N683" s="2">
        <v>4.99</v>
      </c>
      <c r="O683" s="2">
        <v>17.73</v>
      </c>
      <c r="P683" s="2" t="s">
        <v>51</v>
      </c>
      <c r="Q683" s="2" t="s">
        <v>28</v>
      </c>
      <c r="R683" s="2" t="s">
        <v>29</v>
      </c>
      <c r="S683" s="2" t="s">
        <v>30</v>
      </c>
      <c r="T683" s="2" t="s">
        <v>145</v>
      </c>
      <c r="U683" s="2" t="str">
        <f t="shared" si="31"/>
        <v>Valid</v>
      </c>
      <c r="V683" s="2" t="s">
        <v>2064</v>
      </c>
    </row>
    <row r="684" spans="1:22" hidden="1" x14ac:dyDescent="0.3">
      <c r="A684" s="2" t="s">
        <v>2065</v>
      </c>
      <c r="B684" s="12">
        <f t="shared" si="30"/>
        <v>46238.587013969911</v>
      </c>
      <c r="C684" s="13">
        <v>46238.587013969911</v>
      </c>
      <c r="D684" s="2" t="s">
        <v>1575</v>
      </c>
      <c r="E684" s="2" t="str">
        <f t="shared" si="32"/>
        <v>Email Available</v>
      </c>
      <c r="F684" s="2" t="s">
        <v>1576</v>
      </c>
      <c r="G684" s="2" t="s">
        <v>105</v>
      </c>
      <c r="H684" s="2" t="s">
        <v>106</v>
      </c>
      <c r="I684" s="2" t="s">
        <v>107</v>
      </c>
      <c r="J684" s="2">
        <v>2</v>
      </c>
      <c r="K684" s="2">
        <v>19.989999999999998</v>
      </c>
      <c r="L684" s="2"/>
      <c r="M684" s="2">
        <v>0</v>
      </c>
      <c r="N684" s="2">
        <v>7.99</v>
      </c>
      <c r="O684" s="2">
        <v>47.97</v>
      </c>
      <c r="P684" s="2" t="s">
        <v>68</v>
      </c>
      <c r="Q684" s="2" t="s">
        <v>114</v>
      </c>
      <c r="R684" s="2" t="s">
        <v>42</v>
      </c>
      <c r="S684" s="2" t="s">
        <v>108</v>
      </c>
      <c r="T684" s="2"/>
      <c r="U684" s="2" t="str">
        <f t="shared" si="31"/>
        <v>Not Required</v>
      </c>
      <c r="V684" s="2" t="s">
        <v>2066</v>
      </c>
    </row>
    <row r="685" spans="1:22" hidden="1" x14ac:dyDescent="0.3">
      <c r="A685" s="2" t="s">
        <v>2067</v>
      </c>
      <c r="B685" s="12">
        <f t="shared" si="30"/>
        <v>46238.580350879631</v>
      </c>
      <c r="C685" s="13">
        <v>46238.580350879631</v>
      </c>
      <c r="D685" s="2" t="s">
        <v>200</v>
      </c>
      <c r="E685" s="2" t="str">
        <f t="shared" si="32"/>
        <v>Email Available</v>
      </c>
      <c r="F685" s="2" t="s">
        <v>201</v>
      </c>
      <c r="G685" s="2" t="s">
        <v>151</v>
      </c>
      <c r="H685" s="2" t="s">
        <v>49</v>
      </c>
      <c r="I685" s="2" t="s">
        <v>152</v>
      </c>
      <c r="J685" s="2">
        <v>1</v>
      </c>
      <c r="K685" s="2">
        <v>34.99</v>
      </c>
      <c r="L685" s="2"/>
      <c r="M685" s="2">
        <v>0</v>
      </c>
      <c r="N685" s="2">
        <v>4.99</v>
      </c>
      <c r="O685" s="2">
        <v>39.979999999999997</v>
      </c>
      <c r="P685" s="2" t="s">
        <v>74</v>
      </c>
      <c r="Q685" s="2" t="s">
        <v>114</v>
      </c>
      <c r="R685" s="2" t="s">
        <v>29</v>
      </c>
      <c r="S685" s="2" t="s">
        <v>30</v>
      </c>
      <c r="T685" s="2" t="s">
        <v>1412</v>
      </c>
      <c r="U685" s="2" t="str">
        <f t="shared" si="31"/>
        <v>Valid</v>
      </c>
      <c r="V685" s="2" t="s">
        <v>716</v>
      </c>
    </row>
    <row r="686" spans="1:22" x14ac:dyDescent="0.3">
      <c r="A686" s="2" t="s">
        <v>2068</v>
      </c>
      <c r="B686" s="12">
        <f t="shared" si="30"/>
        <v>46238.579310659719</v>
      </c>
      <c r="C686" s="13">
        <v>46238.579310659719</v>
      </c>
      <c r="D686" s="2" t="s">
        <v>2069</v>
      </c>
      <c r="E686" s="2" t="str">
        <f t="shared" si="32"/>
        <v>Missing Email</v>
      </c>
      <c r="F686" s="2"/>
      <c r="G686" s="2" t="s">
        <v>2070</v>
      </c>
      <c r="H686" s="2" t="s">
        <v>49</v>
      </c>
      <c r="I686" s="2" t="s">
        <v>66</v>
      </c>
      <c r="J686" s="2">
        <v>1</v>
      </c>
      <c r="K686" s="2">
        <v>14.99</v>
      </c>
      <c r="L686" s="2" t="s">
        <v>67</v>
      </c>
      <c r="M686" s="2">
        <v>1.5</v>
      </c>
      <c r="N686" s="2">
        <v>4.99</v>
      </c>
      <c r="O686" s="2" t="s">
        <v>1775</v>
      </c>
      <c r="P686" s="2" t="s">
        <v>68</v>
      </c>
      <c r="Q686" s="2" t="s">
        <v>28</v>
      </c>
      <c r="R686" s="2" t="s">
        <v>29</v>
      </c>
      <c r="S686" s="2" t="s">
        <v>108</v>
      </c>
      <c r="T686" s="2"/>
      <c r="U686" s="2" t="str">
        <f t="shared" si="31"/>
        <v>Not Required</v>
      </c>
      <c r="V686" s="2" t="s">
        <v>2071</v>
      </c>
    </row>
    <row r="687" spans="1:22" hidden="1" x14ac:dyDescent="0.3">
      <c r="A687" s="2" t="s">
        <v>2072</v>
      </c>
      <c r="B687" s="12">
        <f t="shared" si="30"/>
        <v>46238.58584615741</v>
      </c>
      <c r="C687" s="13">
        <v>46238.58584615741</v>
      </c>
      <c r="D687" s="2" t="s">
        <v>1535</v>
      </c>
      <c r="E687" s="2" t="str">
        <f t="shared" si="32"/>
        <v>Email Available</v>
      </c>
      <c r="F687" s="2" t="s">
        <v>1536</v>
      </c>
      <c r="G687" s="2" t="s">
        <v>368</v>
      </c>
      <c r="H687" s="2" t="s">
        <v>88</v>
      </c>
      <c r="I687" s="2" t="s">
        <v>369</v>
      </c>
      <c r="J687" s="2">
        <v>1</v>
      </c>
      <c r="K687" s="2">
        <v>54.99</v>
      </c>
      <c r="L687" s="2"/>
      <c r="M687" s="2">
        <v>0</v>
      </c>
      <c r="N687" s="2">
        <v>4.99</v>
      </c>
      <c r="O687" s="2">
        <v>59.98</v>
      </c>
      <c r="P687" s="2" t="s">
        <v>40</v>
      </c>
      <c r="Q687" s="2" t="s">
        <v>90</v>
      </c>
      <c r="R687" s="2" t="s">
        <v>29</v>
      </c>
      <c r="S687" s="2" t="s">
        <v>75</v>
      </c>
      <c r="T687" s="2"/>
      <c r="U687" s="2" t="str">
        <f t="shared" si="31"/>
        <v>Not Required</v>
      </c>
      <c r="V687" s="2" t="s">
        <v>2073</v>
      </c>
    </row>
    <row r="688" spans="1:22" hidden="1" x14ac:dyDescent="0.3">
      <c r="A688" s="2" t="s">
        <v>2074</v>
      </c>
      <c r="B688" s="12">
        <f t="shared" si="30"/>
        <v>46238</v>
      </c>
      <c r="C688" s="13" t="s">
        <v>2075</v>
      </c>
      <c r="D688" s="2" t="s">
        <v>354</v>
      </c>
      <c r="E688" s="2" t="str">
        <f t="shared" si="32"/>
        <v>Email Available</v>
      </c>
      <c r="F688" s="2" t="s">
        <v>355</v>
      </c>
      <c r="G688" s="2" t="s">
        <v>171</v>
      </c>
      <c r="H688" s="2" t="s">
        <v>106</v>
      </c>
      <c r="I688" s="2" t="s">
        <v>172</v>
      </c>
      <c r="J688" s="2">
        <v>2</v>
      </c>
      <c r="K688" s="2">
        <v>32.99</v>
      </c>
      <c r="L688" s="2"/>
      <c r="M688" s="2">
        <v>0</v>
      </c>
      <c r="N688" s="2">
        <v>5.99</v>
      </c>
      <c r="O688" s="2" t="s">
        <v>2076</v>
      </c>
      <c r="P688" s="2" t="s">
        <v>74</v>
      </c>
      <c r="Q688" s="2" t="s">
        <v>41</v>
      </c>
      <c r="R688" s="2" t="s">
        <v>42</v>
      </c>
      <c r="S688" s="2" t="s">
        <v>228</v>
      </c>
      <c r="T688" s="2"/>
      <c r="U688" s="2" t="str">
        <f t="shared" si="31"/>
        <v>Not Required</v>
      </c>
      <c r="V688" s="2" t="s">
        <v>2077</v>
      </c>
    </row>
    <row r="689" spans="1:22" hidden="1" x14ac:dyDescent="0.3">
      <c r="A689" s="2" t="s">
        <v>2078</v>
      </c>
      <c r="B689" s="12">
        <f t="shared" si="30"/>
        <v>46120</v>
      </c>
      <c r="C689" s="13" t="s">
        <v>142</v>
      </c>
      <c r="D689" s="2" t="s">
        <v>2079</v>
      </c>
      <c r="E689" s="2" t="str">
        <f t="shared" si="32"/>
        <v>Email Available</v>
      </c>
      <c r="F689" s="2" t="s">
        <v>2080</v>
      </c>
      <c r="G689" s="2" t="s">
        <v>58</v>
      </c>
      <c r="H689" s="2" t="s">
        <v>23</v>
      </c>
      <c r="I689" s="2" t="s">
        <v>59</v>
      </c>
      <c r="J689" s="2">
        <v>2</v>
      </c>
      <c r="K689" s="2">
        <v>9.99</v>
      </c>
      <c r="L689" s="2"/>
      <c r="M689" s="2">
        <v>0</v>
      </c>
      <c r="N689" s="2">
        <v>4.99</v>
      </c>
      <c r="O689" s="2">
        <v>24.97</v>
      </c>
      <c r="P689" s="2" t="s">
        <v>68</v>
      </c>
      <c r="Q689" s="2" t="s">
        <v>114</v>
      </c>
      <c r="R689" s="2" t="s">
        <v>52</v>
      </c>
      <c r="S689" s="2" t="s">
        <v>43</v>
      </c>
      <c r="T689" s="2"/>
      <c r="U689" s="2" t="str">
        <f t="shared" si="31"/>
        <v>Not Required</v>
      </c>
      <c r="V689" s="2" t="s">
        <v>2081</v>
      </c>
    </row>
    <row r="690" spans="1:22" hidden="1" x14ac:dyDescent="0.3">
      <c r="A690" s="2" t="s">
        <v>2082</v>
      </c>
      <c r="B690" s="12">
        <f t="shared" si="30"/>
        <v>46238.580552731481</v>
      </c>
      <c r="C690" s="13">
        <v>46238.580552731481</v>
      </c>
      <c r="D690" s="2" t="s">
        <v>651</v>
      </c>
      <c r="E690" s="2" t="str">
        <f t="shared" si="32"/>
        <v>Email Available</v>
      </c>
      <c r="F690" s="2" t="s">
        <v>652</v>
      </c>
      <c r="G690" s="2" t="s">
        <v>48</v>
      </c>
      <c r="H690" s="2" t="s">
        <v>49</v>
      </c>
      <c r="I690" s="2" t="s">
        <v>50</v>
      </c>
      <c r="J690" s="2">
        <v>1</v>
      </c>
      <c r="K690" s="2">
        <v>39.99</v>
      </c>
      <c r="L690" s="2" t="s">
        <v>39</v>
      </c>
      <c r="M690" s="2" t="s">
        <v>189</v>
      </c>
      <c r="N690" s="2">
        <v>0</v>
      </c>
      <c r="O690" s="2">
        <v>39.99</v>
      </c>
      <c r="P690" s="2" t="s">
        <v>68</v>
      </c>
      <c r="Q690" s="2" t="s">
        <v>28</v>
      </c>
      <c r="R690" s="2" t="s">
        <v>52</v>
      </c>
      <c r="S690" s="2" t="s">
        <v>30</v>
      </c>
      <c r="T690" s="2" t="s">
        <v>91</v>
      </c>
      <c r="U690" s="2" t="str">
        <f t="shared" si="31"/>
        <v>Valid</v>
      </c>
      <c r="V690" s="2" t="s">
        <v>2083</v>
      </c>
    </row>
    <row r="691" spans="1:22" hidden="1" x14ac:dyDescent="0.3">
      <c r="A691" s="2" t="s">
        <v>2084</v>
      </c>
      <c r="B691" s="12">
        <f t="shared" si="30"/>
        <v>46120</v>
      </c>
      <c r="C691" s="13" t="s">
        <v>142</v>
      </c>
      <c r="D691" s="2" t="s">
        <v>536</v>
      </c>
      <c r="E691" s="2" t="str">
        <f t="shared" si="32"/>
        <v>Email Available</v>
      </c>
      <c r="F691" s="2" t="s">
        <v>537</v>
      </c>
      <c r="G691" s="2" t="s">
        <v>315</v>
      </c>
      <c r="H691" s="2" t="s">
        <v>37</v>
      </c>
      <c r="I691" s="2" t="s">
        <v>316</v>
      </c>
      <c r="J691" s="2">
        <v>1</v>
      </c>
      <c r="K691" s="2">
        <v>8.99</v>
      </c>
      <c r="L691" s="2" t="s">
        <v>121</v>
      </c>
      <c r="M691" s="2">
        <v>2.25</v>
      </c>
      <c r="N691" s="2">
        <v>5.99</v>
      </c>
      <c r="O691" s="2">
        <v>12.73</v>
      </c>
      <c r="P691" s="2" t="s">
        <v>51</v>
      </c>
      <c r="Q691" s="2" t="s">
        <v>90</v>
      </c>
      <c r="R691" s="2" t="s">
        <v>52</v>
      </c>
      <c r="S691" s="2" t="s">
        <v>30</v>
      </c>
      <c r="T691" s="2" t="s">
        <v>69</v>
      </c>
      <c r="U691" s="2" t="str">
        <f t="shared" si="31"/>
        <v>Valid</v>
      </c>
      <c r="V691" s="2" t="s">
        <v>2085</v>
      </c>
    </row>
    <row r="692" spans="1:22" hidden="1" x14ac:dyDescent="0.3">
      <c r="A692" s="2" t="s">
        <v>2086</v>
      </c>
      <c r="B692" s="12">
        <f t="shared" si="30"/>
        <v>46238.580141990737</v>
      </c>
      <c r="C692" s="13">
        <v>46238.580141990737</v>
      </c>
      <c r="D692" s="2" t="s">
        <v>1220</v>
      </c>
      <c r="E692" s="2" t="str">
        <f t="shared" si="32"/>
        <v>Email Available</v>
      </c>
      <c r="F692" s="2" t="s">
        <v>1221</v>
      </c>
      <c r="G692" s="2" t="s">
        <v>266</v>
      </c>
      <c r="H692" s="2" t="s">
        <v>37</v>
      </c>
      <c r="I692" s="2" t="s">
        <v>267</v>
      </c>
      <c r="J692" s="2">
        <v>2</v>
      </c>
      <c r="K692" s="2">
        <v>15.49</v>
      </c>
      <c r="L692" s="2" t="s">
        <v>67</v>
      </c>
      <c r="M692" s="2">
        <v>3.1</v>
      </c>
      <c r="N692" s="2">
        <v>7.99</v>
      </c>
      <c r="O692" s="2">
        <v>35.869999999999997</v>
      </c>
      <c r="P692" s="2" t="s">
        <v>51</v>
      </c>
      <c r="Q692" s="2" t="s">
        <v>41</v>
      </c>
      <c r="R692" s="2" t="s">
        <v>52</v>
      </c>
      <c r="S692" s="2" t="s">
        <v>75</v>
      </c>
      <c r="T692" s="2"/>
      <c r="U692" s="2" t="str">
        <f t="shared" si="31"/>
        <v>Not Required</v>
      </c>
      <c r="V692" s="2" t="s">
        <v>2087</v>
      </c>
    </row>
    <row r="693" spans="1:22" hidden="1" x14ac:dyDescent="0.3">
      <c r="A693" s="2" t="s">
        <v>2088</v>
      </c>
      <c r="B693" s="12">
        <f t="shared" si="30"/>
        <v>46238.587601319443</v>
      </c>
      <c r="C693" s="13">
        <v>46238.587601319443</v>
      </c>
      <c r="D693" s="2" t="s">
        <v>549</v>
      </c>
      <c r="E693" s="2" t="str">
        <f t="shared" si="32"/>
        <v>Email Available</v>
      </c>
      <c r="F693" s="2" t="s">
        <v>550</v>
      </c>
      <c r="G693" s="2" t="s">
        <v>87</v>
      </c>
      <c r="H693" s="2" t="s">
        <v>88</v>
      </c>
      <c r="I693" s="2" t="s">
        <v>89</v>
      </c>
      <c r="J693" s="2">
        <v>3</v>
      </c>
      <c r="K693" s="2" t="s">
        <v>370</v>
      </c>
      <c r="L693" s="2"/>
      <c r="M693" s="2">
        <v>0</v>
      </c>
      <c r="N693" s="2">
        <v>0</v>
      </c>
      <c r="O693" s="2">
        <v>164.97</v>
      </c>
      <c r="P693" s="2" t="s">
        <v>51</v>
      </c>
      <c r="Q693" s="2" t="s">
        <v>28</v>
      </c>
      <c r="R693" s="2" t="s">
        <v>52</v>
      </c>
      <c r="S693" s="2" t="s">
        <v>108</v>
      </c>
      <c r="T693" s="2"/>
      <c r="U693" s="2" t="str">
        <f t="shared" si="31"/>
        <v>Not Required</v>
      </c>
      <c r="V693" s="2" t="s">
        <v>2089</v>
      </c>
    </row>
    <row r="694" spans="1:22" hidden="1" x14ac:dyDescent="0.3">
      <c r="A694" s="2" t="s">
        <v>2090</v>
      </c>
      <c r="B694" s="12">
        <f t="shared" si="30"/>
        <v>46238.58440417824</v>
      </c>
      <c r="C694" s="13">
        <v>46238.58440417824</v>
      </c>
      <c r="D694" s="2" t="s">
        <v>1252</v>
      </c>
      <c r="E694" s="2" t="str">
        <f t="shared" si="32"/>
        <v>Email Available</v>
      </c>
      <c r="F694" s="2" t="s">
        <v>1253</v>
      </c>
      <c r="G694" s="2" t="s">
        <v>151</v>
      </c>
      <c r="H694" s="2" t="s">
        <v>49</v>
      </c>
      <c r="I694" s="2" t="s">
        <v>152</v>
      </c>
      <c r="J694" s="2">
        <v>1</v>
      </c>
      <c r="K694" s="2">
        <v>34.99</v>
      </c>
      <c r="L694" s="2"/>
      <c r="M694" s="2">
        <v>0</v>
      </c>
      <c r="N694" s="2">
        <v>5.99</v>
      </c>
      <c r="O694" s="2">
        <v>40.98</v>
      </c>
      <c r="P694" s="2" t="s">
        <v>74</v>
      </c>
      <c r="Q694" s="2" t="s">
        <v>114</v>
      </c>
      <c r="R694" s="2" t="s">
        <v>52</v>
      </c>
      <c r="S694" s="2" t="s">
        <v>108</v>
      </c>
      <c r="T694" s="2"/>
      <c r="U694" s="2" t="str">
        <f t="shared" si="31"/>
        <v>Not Required</v>
      </c>
      <c r="V694" s="2" t="s">
        <v>2091</v>
      </c>
    </row>
    <row r="695" spans="1:22" hidden="1" x14ac:dyDescent="0.3">
      <c r="A695" s="2" t="s">
        <v>2092</v>
      </c>
      <c r="B695" s="12">
        <f t="shared" si="30"/>
        <v>46238.582175081021</v>
      </c>
      <c r="C695" s="13">
        <v>46238.582175081021</v>
      </c>
      <c r="D695" s="2" t="s">
        <v>2093</v>
      </c>
      <c r="E695" s="2" t="str">
        <f t="shared" si="32"/>
        <v>Email Available</v>
      </c>
      <c r="F695" s="2" t="s">
        <v>2094</v>
      </c>
      <c r="G695" s="2" t="s">
        <v>272</v>
      </c>
      <c r="H695" s="2" t="s">
        <v>23</v>
      </c>
      <c r="I695" s="2" t="s">
        <v>273</v>
      </c>
      <c r="J695" s="2">
        <v>2</v>
      </c>
      <c r="K695" s="2">
        <v>18.989999999999998</v>
      </c>
      <c r="L695" s="2" t="s">
        <v>121</v>
      </c>
      <c r="M695" s="2">
        <v>9.49</v>
      </c>
      <c r="N695" s="2">
        <v>5.99</v>
      </c>
      <c r="O695" s="2">
        <v>34.479999999999997</v>
      </c>
      <c r="P695" s="2" t="s">
        <v>51</v>
      </c>
      <c r="Q695" s="2" t="s">
        <v>41</v>
      </c>
      <c r="R695" s="2" t="s">
        <v>29</v>
      </c>
      <c r="S695" s="2" t="s">
        <v>30</v>
      </c>
      <c r="T695" s="2" t="s">
        <v>1412</v>
      </c>
      <c r="U695" s="2" t="str">
        <f t="shared" si="31"/>
        <v>Valid</v>
      </c>
      <c r="V695" s="2" t="s">
        <v>2095</v>
      </c>
    </row>
    <row r="696" spans="1:22" x14ac:dyDescent="0.3">
      <c r="A696" s="2" t="s">
        <v>2096</v>
      </c>
      <c r="B696" s="12">
        <f t="shared" si="30"/>
        <v>46238.580527511571</v>
      </c>
      <c r="C696" s="13">
        <v>46238.580527511571</v>
      </c>
      <c r="D696" s="2" t="s">
        <v>2097</v>
      </c>
      <c r="E696" s="2" t="str">
        <f t="shared" si="32"/>
        <v>Missing Email</v>
      </c>
      <c r="F696" s="2"/>
      <c r="G696" s="2" t="s">
        <v>171</v>
      </c>
      <c r="H696" s="2" t="s">
        <v>106</v>
      </c>
      <c r="I696" s="2" t="s">
        <v>172</v>
      </c>
      <c r="J696" s="2">
        <v>3</v>
      </c>
      <c r="K696" s="2">
        <v>32.99</v>
      </c>
      <c r="L696" s="2"/>
      <c r="M696" s="2">
        <v>0</v>
      </c>
      <c r="N696" s="2">
        <v>0</v>
      </c>
      <c r="O696" s="2">
        <v>98.97</v>
      </c>
      <c r="P696" s="2" t="s">
        <v>40</v>
      </c>
      <c r="Q696" s="2" t="s">
        <v>41</v>
      </c>
      <c r="R696" s="2" t="s">
        <v>52</v>
      </c>
      <c r="S696" s="2" t="s">
        <v>75</v>
      </c>
      <c r="T696" s="2"/>
      <c r="U696" s="2" t="str">
        <f t="shared" si="31"/>
        <v>Not Required</v>
      </c>
      <c r="V696" s="2" t="s">
        <v>2098</v>
      </c>
    </row>
    <row r="697" spans="1:22" hidden="1" x14ac:dyDescent="0.3">
      <c r="A697" s="2" t="s">
        <v>2099</v>
      </c>
      <c r="B697" s="12">
        <f t="shared" si="30"/>
        <v>46238.585120810189</v>
      </c>
      <c r="C697" s="13">
        <v>46238.585120810189</v>
      </c>
      <c r="D697" s="2" t="s">
        <v>2100</v>
      </c>
      <c r="E697" s="2" t="str">
        <f t="shared" si="32"/>
        <v>Email Available</v>
      </c>
      <c r="F697" s="2" t="s">
        <v>2101</v>
      </c>
      <c r="G697" s="2" t="s">
        <v>187</v>
      </c>
      <c r="H697" s="2" t="s">
        <v>37</v>
      </c>
      <c r="I697" s="2" t="s">
        <v>188</v>
      </c>
      <c r="J697" s="2">
        <v>1</v>
      </c>
      <c r="K697" s="2">
        <v>11.99</v>
      </c>
      <c r="L697" s="2"/>
      <c r="M697" s="2">
        <v>0</v>
      </c>
      <c r="N697" s="2">
        <v>4.99</v>
      </c>
      <c r="O697" s="2">
        <v>16.98</v>
      </c>
      <c r="P697" s="2" t="s">
        <v>74</v>
      </c>
      <c r="Q697" s="2" t="s">
        <v>28</v>
      </c>
      <c r="R697" s="2" t="s">
        <v>52</v>
      </c>
      <c r="S697" s="2" t="s">
        <v>228</v>
      </c>
      <c r="T697" s="2"/>
      <c r="U697" s="2" t="str">
        <f t="shared" si="31"/>
        <v>Not Required</v>
      </c>
      <c r="V697" s="2" t="s">
        <v>2102</v>
      </c>
    </row>
    <row r="698" spans="1:22" hidden="1" x14ac:dyDescent="0.3">
      <c r="A698" s="2" t="s">
        <v>2103</v>
      </c>
      <c r="B698" s="12">
        <f t="shared" si="30"/>
        <v>46120</v>
      </c>
      <c r="C698" s="13" t="s">
        <v>142</v>
      </c>
      <c r="D698" s="2" t="s">
        <v>2104</v>
      </c>
      <c r="E698" s="2" t="str">
        <f t="shared" si="32"/>
        <v>Email Available</v>
      </c>
      <c r="F698" s="2" t="s">
        <v>452</v>
      </c>
      <c r="G698" s="2" t="s">
        <v>36</v>
      </c>
      <c r="H698" s="2" t="s">
        <v>37</v>
      </c>
      <c r="I698" s="2" t="s">
        <v>38</v>
      </c>
      <c r="J698" s="2">
        <v>2</v>
      </c>
      <c r="K698" s="2">
        <v>21.99</v>
      </c>
      <c r="L698" s="2"/>
      <c r="M698" s="2">
        <v>0</v>
      </c>
      <c r="N698" s="2">
        <v>4.99</v>
      </c>
      <c r="O698" s="2">
        <v>48.97</v>
      </c>
      <c r="P698" s="2" t="s">
        <v>68</v>
      </c>
      <c r="Q698" s="2" t="s">
        <v>90</v>
      </c>
      <c r="R698" s="2" t="s">
        <v>52</v>
      </c>
      <c r="S698" s="2" t="s">
        <v>30</v>
      </c>
      <c r="T698" s="2" t="s">
        <v>69</v>
      </c>
      <c r="U698" s="2" t="str">
        <f t="shared" si="31"/>
        <v>Valid</v>
      </c>
      <c r="V698" s="2" t="s">
        <v>2105</v>
      </c>
    </row>
    <row r="699" spans="1:22" hidden="1" x14ac:dyDescent="0.3">
      <c r="A699" s="2" t="s">
        <v>2106</v>
      </c>
      <c r="B699" s="12">
        <f t="shared" si="30"/>
        <v>46238.584532291658</v>
      </c>
      <c r="C699" s="13">
        <v>46238.584532291658</v>
      </c>
      <c r="D699" s="2" t="s">
        <v>420</v>
      </c>
      <c r="E699" s="2" t="str">
        <f t="shared" si="32"/>
        <v>Email Available</v>
      </c>
      <c r="F699" s="2" t="s">
        <v>421</v>
      </c>
      <c r="G699" s="2" t="s">
        <v>241</v>
      </c>
      <c r="H699" s="2" t="s">
        <v>242</v>
      </c>
      <c r="I699" s="2" t="s">
        <v>243</v>
      </c>
      <c r="J699" s="2">
        <v>4</v>
      </c>
      <c r="K699" s="2">
        <v>27.99</v>
      </c>
      <c r="L699" s="2"/>
      <c r="M699" s="2">
        <v>0</v>
      </c>
      <c r="N699" s="2">
        <v>0</v>
      </c>
      <c r="O699" s="2">
        <v>111.96</v>
      </c>
      <c r="P699" s="2" t="s">
        <v>74</v>
      </c>
      <c r="Q699" s="2" t="s">
        <v>28</v>
      </c>
      <c r="R699" s="2" t="s">
        <v>29</v>
      </c>
      <c r="S699" s="2" t="s">
        <v>337</v>
      </c>
      <c r="T699" s="2"/>
      <c r="U699" s="2" t="str">
        <f t="shared" si="31"/>
        <v>Not Required</v>
      </c>
      <c r="V699" s="2" t="s">
        <v>2107</v>
      </c>
    </row>
    <row r="700" spans="1:22" hidden="1" x14ac:dyDescent="0.3">
      <c r="A700" s="2" t="s">
        <v>2108</v>
      </c>
      <c r="B700" s="12">
        <f t="shared" si="30"/>
        <v>46238.578787199083</v>
      </c>
      <c r="C700" s="13">
        <v>46238.578787199083</v>
      </c>
      <c r="D700" s="2" t="s">
        <v>1002</v>
      </c>
      <c r="E700" s="2" t="str">
        <f t="shared" si="32"/>
        <v>Email Available</v>
      </c>
      <c r="F700" s="2" t="s">
        <v>1003</v>
      </c>
      <c r="G700" s="2" t="s">
        <v>195</v>
      </c>
      <c r="H700" s="2" t="s">
        <v>196</v>
      </c>
      <c r="I700" s="2" t="s">
        <v>197</v>
      </c>
      <c r="J700" s="2">
        <v>1</v>
      </c>
      <c r="K700" s="2">
        <v>13.49</v>
      </c>
      <c r="L700" s="2"/>
      <c r="M700" s="2">
        <v>0</v>
      </c>
      <c r="N700" s="2">
        <v>4.99</v>
      </c>
      <c r="O700" s="2">
        <v>18.48</v>
      </c>
      <c r="P700" s="2" t="s">
        <v>74</v>
      </c>
      <c r="Q700" s="2" t="s">
        <v>28</v>
      </c>
      <c r="R700" s="2" t="s">
        <v>52</v>
      </c>
      <c r="S700" s="2" t="s">
        <v>228</v>
      </c>
      <c r="T700" s="2"/>
      <c r="U700" s="2" t="str">
        <f t="shared" si="31"/>
        <v>Not Required</v>
      </c>
      <c r="V700" s="2" t="s">
        <v>2109</v>
      </c>
    </row>
    <row r="701" spans="1:22" hidden="1" x14ac:dyDescent="0.3">
      <c r="A701" s="2" t="s">
        <v>2110</v>
      </c>
      <c r="B701" s="12">
        <f t="shared" si="30"/>
        <v>46120</v>
      </c>
      <c r="C701" s="13" t="s">
        <v>142</v>
      </c>
      <c r="D701" s="2" t="s">
        <v>666</v>
      </c>
      <c r="E701" s="2" t="str">
        <f t="shared" si="32"/>
        <v>Email Available</v>
      </c>
      <c r="F701" s="2" t="s">
        <v>667</v>
      </c>
      <c r="G701" s="2" t="s">
        <v>226</v>
      </c>
      <c r="H701" s="2" t="s">
        <v>23</v>
      </c>
      <c r="I701" s="2" t="s">
        <v>227</v>
      </c>
      <c r="J701" s="2">
        <v>2</v>
      </c>
      <c r="K701" s="2">
        <v>17.989999999999998</v>
      </c>
      <c r="L701" s="2"/>
      <c r="M701" s="2">
        <v>0</v>
      </c>
      <c r="N701" s="2">
        <v>5.99</v>
      </c>
      <c r="O701" s="2">
        <v>41.97</v>
      </c>
      <c r="P701" s="2" t="s">
        <v>51</v>
      </c>
      <c r="Q701" s="2" t="s">
        <v>28</v>
      </c>
      <c r="R701" s="2" t="s">
        <v>52</v>
      </c>
      <c r="S701" s="2" t="s">
        <v>75</v>
      </c>
      <c r="T701" s="2"/>
      <c r="U701" s="2" t="str">
        <f t="shared" si="31"/>
        <v>Not Required</v>
      </c>
      <c r="V701" s="2" t="s">
        <v>2111</v>
      </c>
    </row>
    <row r="702" spans="1:22" hidden="1" x14ac:dyDescent="0.3">
      <c r="A702" s="2" t="s">
        <v>2112</v>
      </c>
      <c r="B702" s="12">
        <f t="shared" si="30"/>
        <v>46120</v>
      </c>
      <c r="C702" s="13" t="s">
        <v>142</v>
      </c>
      <c r="D702" s="2" t="s">
        <v>2113</v>
      </c>
      <c r="E702" s="2" t="str">
        <f t="shared" si="32"/>
        <v>Email Available</v>
      </c>
      <c r="F702" s="2" t="s">
        <v>867</v>
      </c>
      <c r="G702" s="2" t="s">
        <v>80</v>
      </c>
      <c r="H702" s="2" t="s">
        <v>81</v>
      </c>
      <c r="I702" s="2" t="s">
        <v>82</v>
      </c>
      <c r="J702" s="2">
        <v>1</v>
      </c>
      <c r="K702" s="2">
        <v>89.99</v>
      </c>
      <c r="L702" s="2" t="s">
        <v>208</v>
      </c>
      <c r="M702" s="2">
        <v>13.5</v>
      </c>
      <c r="N702" s="2">
        <v>0</v>
      </c>
      <c r="O702" s="2">
        <v>76.489999999999995</v>
      </c>
      <c r="P702" s="2" t="s">
        <v>27</v>
      </c>
      <c r="Q702" s="2" t="s">
        <v>28</v>
      </c>
      <c r="R702" s="2" t="s">
        <v>52</v>
      </c>
      <c r="S702" s="2" t="s">
        <v>108</v>
      </c>
      <c r="T702" s="2"/>
      <c r="U702" s="2" t="str">
        <f t="shared" si="31"/>
        <v>Not Required</v>
      </c>
      <c r="V702" s="2" t="s">
        <v>2114</v>
      </c>
    </row>
    <row r="703" spans="1:22" hidden="1" x14ac:dyDescent="0.3">
      <c r="A703" s="2" t="s">
        <v>2115</v>
      </c>
      <c r="B703" s="12">
        <f t="shared" ref="B703:B766" si="33">IF(ISNUMBER(C703),C703,DATEVALUE(SUBSTITUTE(TRIM(C703),CHAR(160)," ")))</f>
        <v>46238.582941516201</v>
      </c>
      <c r="C703" s="13">
        <v>46238.582941516201</v>
      </c>
      <c r="D703" s="2" t="s">
        <v>565</v>
      </c>
      <c r="E703" s="2" t="str">
        <f t="shared" si="32"/>
        <v>Email Available</v>
      </c>
      <c r="F703" s="2" t="s">
        <v>566</v>
      </c>
      <c r="G703" s="2" t="s">
        <v>241</v>
      </c>
      <c r="H703" s="2" t="s">
        <v>242</v>
      </c>
      <c r="I703" s="2" t="s">
        <v>243</v>
      </c>
      <c r="J703" s="2">
        <v>1</v>
      </c>
      <c r="K703" s="2">
        <v>27.99</v>
      </c>
      <c r="L703" s="2"/>
      <c r="M703" s="2">
        <v>0</v>
      </c>
      <c r="N703" s="2">
        <v>7.99</v>
      </c>
      <c r="O703" s="2">
        <v>35.979999999999997</v>
      </c>
      <c r="P703" s="2" t="s">
        <v>51</v>
      </c>
      <c r="Q703" s="2" t="s">
        <v>114</v>
      </c>
      <c r="R703" s="2" t="s">
        <v>52</v>
      </c>
      <c r="S703" s="2" t="s">
        <v>43</v>
      </c>
      <c r="T703" s="2"/>
      <c r="U703" s="2" t="str">
        <f t="shared" ref="U703:U766" si="34">IF(AND(S703="United States",T703=""),"Missing state",IF(T703="","Not Required","Valid"))</f>
        <v>Not Required</v>
      </c>
      <c r="V703" s="2" t="s">
        <v>2116</v>
      </c>
    </row>
    <row r="704" spans="1:22" hidden="1" x14ac:dyDescent="0.3">
      <c r="A704" s="2" t="s">
        <v>2121</v>
      </c>
      <c r="B704" s="12">
        <f t="shared" si="33"/>
        <v>46238.582596307868</v>
      </c>
      <c r="C704" s="13">
        <v>46238.582596307868</v>
      </c>
      <c r="D704" s="2" t="s">
        <v>2122</v>
      </c>
      <c r="E704" s="2" t="str">
        <f t="shared" si="32"/>
        <v>Email Available</v>
      </c>
      <c r="F704" s="2" t="s">
        <v>2123</v>
      </c>
      <c r="G704" s="2" t="s">
        <v>105</v>
      </c>
      <c r="H704" s="2" t="s">
        <v>106</v>
      </c>
      <c r="I704" s="2" t="s">
        <v>107</v>
      </c>
      <c r="J704" s="2">
        <v>1</v>
      </c>
      <c r="K704" s="2">
        <v>19.989999999999998</v>
      </c>
      <c r="L704" s="2" t="s">
        <v>208</v>
      </c>
      <c r="M704" s="2">
        <v>3</v>
      </c>
      <c r="N704" s="2">
        <v>5.99</v>
      </c>
      <c r="O704" s="2">
        <v>22.98</v>
      </c>
      <c r="P704" s="2" t="s">
        <v>51</v>
      </c>
      <c r="Q704" s="2" t="s">
        <v>90</v>
      </c>
      <c r="R704" s="2" t="s">
        <v>42</v>
      </c>
      <c r="S704" s="2" t="s">
        <v>228</v>
      </c>
      <c r="T704" s="2"/>
      <c r="U704" s="2" t="str">
        <f t="shared" si="34"/>
        <v>Not Required</v>
      </c>
      <c r="V704" s="2" t="s">
        <v>2124</v>
      </c>
    </row>
    <row r="705" spans="1:22" hidden="1" x14ac:dyDescent="0.3">
      <c r="A705" s="2" t="s">
        <v>2125</v>
      </c>
      <c r="B705" s="12">
        <f t="shared" si="33"/>
        <v>46238.583810937504</v>
      </c>
      <c r="C705" s="13">
        <v>46238.583810937504</v>
      </c>
      <c r="D705" s="2" t="s">
        <v>562</v>
      </c>
      <c r="E705" s="2" t="str">
        <f t="shared" si="32"/>
        <v>Email Available</v>
      </c>
      <c r="F705" s="2" t="s">
        <v>47</v>
      </c>
      <c r="G705" s="2" t="s">
        <v>206</v>
      </c>
      <c r="H705" s="2" t="s">
        <v>196</v>
      </c>
      <c r="I705" s="2" t="s">
        <v>207</v>
      </c>
      <c r="J705" s="2">
        <v>1</v>
      </c>
      <c r="K705" s="2">
        <v>24.99</v>
      </c>
      <c r="L705" s="2"/>
      <c r="M705" s="2">
        <v>0</v>
      </c>
      <c r="N705" s="2">
        <v>5.99</v>
      </c>
      <c r="O705" s="2">
        <v>30.98</v>
      </c>
      <c r="P705" s="2" t="s">
        <v>40</v>
      </c>
      <c r="Q705" s="2" t="s">
        <v>114</v>
      </c>
      <c r="R705" s="2" t="s">
        <v>52</v>
      </c>
      <c r="S705" s="2" t="s">
        <v>30</v>
      </c>
      <c r="T705" s="2" t="s">
        <v>454</v>
      </c>
      <c r="U705" s="2" t="str">
        <f t="shared" si="34"/>
        <v>Valid</v>
      </c>
      <c r="V705" s="2" t="s">
        <v>2126</v>
      </c>
    </row>
    <row r="706" spans="1:22" hidden="1" x14ac:dyDescent="0.3">
      <c r="A706" s="2" t="s">
        <v>2127</v>
      </c>
      <c r="B706" s="12">
        <f t="shared" si="33"/>
        <v>46238.581809606483</v>
      </c>
      <c r="C706" s="13">
        <v>46238.581809606483</v>
      </c>
      <c r="D706" s="2" t="s">
        <v>1612</v>
      </c>
      <c r="E706" s="2" t="str">
        <f t="shared" si="32"/>
        <v>Email Available</v>
      </c>
      <c r="F706" s="2" t="s">
        <v>1613</v>
      </c>
      <c r="G706" s="2" t="s">
        <v>241</v>
      </c>
      <c r="H706" s="2" t="s">
        <v>242</v>
      </c>
      <c r="I706" s="2" t="s">
        <v>243</v>
      </c>
      <c r="J706" s="2">
        <v>1</v>
      </c>
      <c r="K706" s="2">
        <v>27.99</v>
      </c>
      <c r="L706" s="2" t="s">
        <v>67</v>
      </c>
      <c r="M706" s="2">
        <v>2.8</v>
      </c>
      <c r="N706" s="2">
        <v>4.99</v>
      </c>
      <c r="O706" s="2" t="s">
        <v>2128</v>
      </c>
      <c r="P706" s="2" t="s">
        <v>27</v>
      </c>
      <c r="Q706" s="2" t="s">
        <v>114</v>
      </c>
      <c r="R706" s="2" t="s">
        <v>42</v>
      </c>
      <c r="S706" s="2" t="s">
        <v>337</v>
      </c>
      <c r="T706" s="2"/>
      <c r="U706" s="2" t="str">
        <f t="shared" si="34"/>
        <v>Not Required</v>
      </c>
      <c r="V706" s="2" t="s">
        <v>950</v>
      </c>
    </row>
    <row r="707" spans="1:22" hidden="1" x14ac:dyDescent="0.3">
      <c r="A707" s="2" t="s">
        <v>2129</v>
      </c>
      <c r="B707" s="12">
        <f t="shared" si="33"/>
        <v>46238.584657384257</v>
      </c>
      <c r="C707" s="13">
        <v>46238.584657384257</v>
      </c>
      <c r="D707" s="2" t="s">
        <v>2130</v>
      </c>
      <c r="E707" s="2" t="str">
        <f t="shared" ref="E707:E770" si="35">IF(TRIM(F707)="","Missing Email","Email Available")</f>
        <v>Email Available</v>
      </c>
      <c r="F707" s="2" t="s">
        <v>1114</v>
      </c>
      <c r="G707" s="2" t="s">
        <v>48</v>
      </c>
      <c r="H707" s="2" t="s">
        <v>49</v>
      </c>
      <c r="I707" s="2" t="s">
        <v>50</v>
      </c>
      <c r="J707" s="2">
        <v>3</v>
      </c>
      <c r="K707" s="2">
        <v>39.99</v>
      </c>
      <c r="L707" s="2"/>
      <c r="M707" s="2" t="s">
        <v>189</v>
      </c>
      <c r="N707" s="2">
        <v>0</v>
      </c>
      <c r="O707" s="2">
        <v>119.97</v>
      </c>
      <c r="P707" s="2" t="s">
        <v>40</v>
      </c>
      <c r="Q707" s="2" t="s">
        <v>28</v>
      </c>
      <c r="R707" s="2" t="s">
        <v>52</v>
      </c>
      <c r="S707" s="2" t="s">
        <v>30</v>
      </c>
      <c r="T707" s="2" t="s">
        <v>91</v>
      </c>
      <c r="U707" s="2" t="str">
        <f t="shared" si="34"/>
        <v>Valid</v>
      </c>
      <c r="V707" s="2" t="s">
        <v>2131</v>
      </c>
    </row>
    <row r="708" spans="1:22" hidden="1" x14ac:dyDescent="0.3">
      <c r="A708" s="2" t="s">
        <v>2132</v>
      </c>
      <c r="B708" s="12">
        <f t="shared" si="33"/>
        <v>46238.582731770832</v>
      </c>
      <c r="C708" s="13">
        <v>46238.582731770832</v>
      </c>
      <c r="D708" s="2" t="s">
        <v>1510</v>
      </c>
      <c r="E708" s="2" t="str">
        <f t="shared" si="35"/>
        <v>Email Available</v>
      </c>
      <c r="F708" s="2" t="s">
        <v>2005</v>
      </c>
      <c r="G708" s="2" t="s">
        <v>368</v>
      </c>
      <c r="H708" s="2" t="s">
        <v>88</v>
      </c>
      <c r="I708" s="2" t="s">
        <v>369</v>
      </c>
      <c r="J708" s="2">
        <v>1</v>
      </c>
      <c r="K708" s="2">
        <v>54.99</v>
      </c>
      <c r="L708" s="2"/>
      <c r="M708" s="2">
        <v>0</v>
      </c>
      <c r="N708" s="2">
        <v>7.99</v>
      </c>
      <c r="O708" s="2">
        <v>62.98</v>
      </c>
      <c r="P708" s="2" t="s">
        <v>74</v>
      </c>
      <c r="Q708" s="2" t="s">
        <v>28</v>
      </c>
      <c r="R708" s="2" t="s">
        <v>29</v>
      </c>
      <c r="S708" s="2" t="s">
        <v>43</v>
      </c>
      <c r="T708" s="2"/>
      <c r="U708" s="2" t="str">
        <f t="shared" si="34"/>
        <v>Not Required</v>
      </c>
      <c r="V708" s="2" t="s">
        <v>2133</v>
      </c>
    </row>
    <row r="709" spans="1:22" hidden="1" x14ac:dyDescent="0.3">
      <c r="A709" s="2" t="s">
        <v>2134</v>
      </c>
      <c r="B709" s="12">
        <f t="shared" si="33"/>
        <v>46120</v>
      </c>
      <c r="C709" s="13" t="s">
        <v>142</v>
      </c>
      <c r="D709" s="2" t="s">
        <v>1227</v>
      </c>
      <c r="E709" s="2" t="str">
        <f t="shared" si="35"/>
        <v>Email Available</v>
      </c>
      <c r="F709" s="2" t="s">
        <v>1228</v>
      </c>
      <c r="G709" s="2" t="s">
        <v>120</v>
      </c>
      <c r="H709" s="2" t="s">
        <v>23</v>
      </c>
      <c r="I709" s="2" t="s">
        <v>24</v>
      </c>
      <c r="J709" s="2">
        <v>1</v>
      </c>
      <c r="K709" s="2">
        <v>12.99</v>
      </c>
      <c r="L709" s="2"/>
      <c r="M709" s="2" t="s">
        <v>189</v>
      </c>
      <c r="N709" s="2">
        <v>7.99</v>
      </c>
      <c r="O709" s="2">
        <v>20.98</v>
      </c>
      <c r="P709" s="2" t="s">
        <v>40</v>
      </c>
      <c r="Q709" s="2" t="s">
        <v>41</v>
      </c>
      <c r="R709" s="2" t="s">
        <v>52</v>
      </c>
      <c r="S709" s="2" t="s">
        <v>30</v>
      </c>
      <c r="T709" s="2" t="s">
        <v>53</v>
      </c>
      <c r="U709" s="2" t="str">
        <f t="shared" si="34"/>
        <v>Valid</v>
      </c>
      <c r="V709" s="2" t="s">
        <v>2135</v>
      </c>
    </row>
    <row r="710" spans="1:22" hidden="1" x14ac:dyDescent="0.3">
      <c r="A710" s="2" t="s">
        <v>2136</v>
      </c>
      <c r="B710" s="12">
        <f t="shared" si="33"/>
        <v>46238</v>
      </c>
      <c r="C710" s="13" t="s">
        <v>148</v>
      </c>
      <c r="D710" s="2" t="s">
        <v>470</v>
      </c>
      <c r="E710" s="2" t="str">
        <f t="shared" si="35"/>
        <v>Email Available</v>
      </c>
      <c r="F710" s="2" t="s">
        <v>471</v>
      </c>
      <c r="G710" s="2" t="s">
        <v>272</v>
      </c>
      <c r="H710" s="2" t="s">
        <v>23</v>
      </c>
      <c r="I710" s="2" t="s">
        <v>273</v>
      </c>
      <c r="J710" s="2">
        <v>2</v>
      </c>
      <c r="K710" s="2">
        <v>18.989999999999998</v>
      </c>
      <c r="L710" s="2"/>
      <c r="M710" s="2">
        <v>0</v>
      </c>
      <c r="N710" s="2">
        <v>7.99</v>
      </c>
      <c r="O710" s="2">
        <v>45.97</v>
      </c>
      <c r="P710" s="2" t="s">
        <v>27</v>
      </c>
      <c r="Q710" s="2" t="s">
        <v>114</v>
      </c>
      <c r="R710" s="2" t="s">
        <v>99</v>
      </c>
      <c r="S710" s="2" t="s">
        <v>43</v>
      </c>
      <c r="T710" s="2"/>
      <c r="U710" s="2" t="str">
        <f t="shared" si="34"/>
        <v>Not Required</v>
      </c>
      <c r="V710" s="2" t="s">
        <v>2137</v>
      </c>
    </row>
    <row r="711" spans="1:22" hidden="1" x14ac:dyDescent="0.3">
      <c r="A711" s="2" t="s">
        <v>2138</v>
      </c>
      <c r="B711" s="12">
        <f t="shared" si="33"/>
        <v>46238.584974560188</v>
      </c>
      <c r="C711" s="13">
        <v>46238.584974560188</v>
      </c>
      <c r="D711" s="2" t="s">
        <v>224</v>
      </c>
      <c r="E711" s="2" t="str">
        <f t="shared" si="35"/>
        <v>Email Available</v>
      </c>
      <c r="F711" s="2" t="s">
        <v>225</v>
      </c>
      <c r="G711" s="2" t="s">
        <v>65</v>
      </c>
      <c r="H711" s="2" t="s">
        <v>49</v>
      </c>
      <c r="I711" s="2" t="s">
        <v>66</v>
      </c>
      <c r="J711" s="2">
        <v>2</v>
      </c>
      <c r="K711" s="2">
        <v>14.99</v>
      </c>
      <c r="L711" s="2" t="s">
        <v>39</v>
      </c>
      <c r="M711" s="2">
        <v>0</v>
      </c>
      <c r="N711" s="2">
        <v>0</v>
      </c>
      <c r="O711" s="2">
        <v>29.98</v>
      </c>
      <c r="P711" s="2" t="s">
        <v>27</v>
      </c>
      <c r="Q711" s="2" t="s">
        <v>28</v>
      </c>
      <c r="R711" s="2" t="s">
        <v>52</v>
      </c>
      <c r="S711" s="2" t="s">
        <v>228</v>
      </c>
      <c r="T711" s="2"/>
      <c r="U711" s="2" t="str">
        <f t="shared" si="34"/>
        <v>Not Required</v>
      </c>
      <c r="V711" s="2" t="s">
        <v>2139</v>
      </c>
    </row>
    <row r="712" spans="1:22" hidden="1" x14ac:dyDescent="0.3">
      <c r="A712" s="2" t="s">
        <v>2140</v>
      </c>
      <c r="B712" s="12">
        <f t="shared" si="33"/>
        <v>46238</v>
      </c>
      <c r="C712" s="13" t="s">
        <v>1162</v>
      </c>
      <c r="D712" s="2" t="s">
        <v>466</v>
      </c>
      <c r="E712" s="2" t="str">
        <f t="shared" si="35"/>
        <v>Email Available</v>
      </c>
      <c r="F712" s="2" t="s">
        <v>467</v>
      </c>
      <c r="G712" s="2" t="s">
        <v>241</v>
      </c>
      <c r="H712" s="2" t="s">
        <v>242</v>
      </c>
      <c r="I712" s="2" t="s">
        <v>243</v>
      </c>
      <c r="J712" s="2">
        <v>1</v>
      </c>
      <c r="K712" s="2" t="s">
        <v>1532</v>
      </c>
      <c r="L712" s="2" t="s">
        <v>67</v>
      </c>
      <c r="M712" s="2">
        <v>2.8</v>
      </c>
      <c r="N712" s="2">
        <v>7.99</v>
      </c>
      <c r="O712" s="2">
        <v>33.18</v>
      </c>
      <c r="P712" s="2" t="s">
        <v>68</v>
      </c>
      <c r="Q712" s="2" t="s">
        <v>90</v>
      </c>
      <c r="R712" s="2" t="s">
        <v>52</v>
      </c>
      <c r="S712" s="2" t="s">
        <v>228</v>
      </c>
      <c r="T712" s="2"/>
      <c r="U712" s="2" t="str">
        <f t="shared" si="34"/>
        <v>Not Required</v>
      </c>
      <c r="V712" s="2" t="s">
        <v>2141</v>
      </c>
    </row>
    <row r="713" spans="1:22" hidden="1" x14ac:dyDescent="0.3">
      <c r="A713" s="2" t="s">
        <v>2142</v>
      </c>
      <c r="B713" s="12">
        <f t="shared" si="33"/>
        <v>46120</v>
      </c>
      <c r="C713" s="13" t="s">
        <v>142</v>
      </c>
      <c r="D713" s="2" t="s">
        <v>524</v>
      </c>
      <c r="E713" s="2" t="str">
        <f t="shared" si="35"/>
        <v>Email Available</v>
      </c>
      <c r="F713" s="2" t="s">
        <v>525</v>
      </c>
      <c r="G713" s="2" t="s">
        <v>171</v>
      </c>
      <c r="H713" s="2" t="s">
        <v>106</v>
      </c>
      <c r="I713" s="2" t="s">
        <v>172</v>
      </c>
      <c r="J713" s="2">
        <v>3</v>
      </c>
      <c r="K713" s="2">
        <v>32.99</v>
      </c>
      <c r="L713" s="2"/>
      <c r="M713" s="2">
        <v>0</v>
      </c>
      <c r="N713" s="2">
        <v>0</v>
      </c>
      <c r="O713" s="2">
        <v>98.97</v>
      </c>
      <c r="P713" s="2" t="s">
        <v>40</v>
      </c>
      <c r="Q713" s="2" t="s">
        <v>28</v>
      </c>
      <c r="R713" s="2" t="s">
        <v>52</v>
      </c>
      <c r="S713" s="2" t="s">
        <v>30</v>
      </c>
      <c r="T713" s="2" t="s">
        <v>91</v>
      </c>
      <c r="U713" s="2" t="str">
        <f t="shared" si="34"/>
        <v>Valid</v>
      </c>
      <c r="V713" s="2" t="s">
        <v>2143</v>
      </c>
    </row>
    <row r="714" spans="1:22" hidden="1" x14ac:dyDescent="0.3">
      <c r="A714" s="2" t="s">
        <v>2144</v>
      </c>
      <c r="B714" s="12">
        <f t="shared" si="33"/>
        <v>46238.578986550929</v>
      </c>
      <c r="C714" s="13">
        <v>46238.578986550929</v>
      </c>
      <c r="D714" s="2" t="s">
        <v>1227</v>
      </c>
      <c r="E714" s="2" t="str">
        <f t="shared" si="35"/>
        <v>Email Available</v>
      </c>
      <c r="F714" s="2" t="s">
        <v>1228</v>
      </c>
      <c r="G714" s="2" t="s">
        <v>284</v>
      </c>
      <c r="H714" s="2" t="s">
        <v>23</v>
      </c>
      <c r="I714" s="2" t="s">
        <v>285</v>
      </c>
      <c r="J714" s="2">
        <v>2</v>
      </c>
      <c r="K714" s="2">
        <v>24.99</v>
      </c>
      <c r="L714" s="2" t="s">
        <v>67</v>
      </c>
      <c r="M714" s="2">
        <v>5</v>
      </c>
      <c r="N714" s="2">
        <v>4.99</v>
      </c>
      <c r="O714" s="2">
        <v>49.97</v>
      </c>
      <c r="P714" s="2" t="s">
        <v>27</v>
      </c>
      <c r="Q714" s="2" t="s">
        <v>28</v>
      </c>
      <c r="R714" s="2" t="s">
        <v>52</v>
      </c>
      <c r="S714" s="2" t="s">
        <v>30</v>
      </c>
      <c r="T714" s="2" t="s">
        <v>766</v>
      </c>
      <c r="U714" s="2" t="str">
        <f t="shared" si="34"/>
        <v>Valid</v>
      </c>
      <c r="V714" s="2" t="s">
        <v>2145</v>
      </c>
    </row>
    <row r="715" spans="1:22" hidden="1" x14ac:dyDescent="0.3">
      <c r="A715" s="2" t="s">
        <v>2146</v>
      </c>
      <c r="B715" s="12">
        <f t="shared" si="33"/>
        <v>46238.580989756942</v>
      </c>
      <c r="C715" s="13">
        <v>46238.580989756942</v>
      </c>
      <c r="D715" s="2" t="s">
        <v>2147</v>
      </c>
      <c r="E715" s="2" t="str">
        <f t="shared" si="35"/>
        <v>Email Available</v>
      </c>
      <c r="F715" s="2" t="s">
        <v>2148</v>
      </c>
      <c r="G715" s="2" t="s">
        <v>157</v>
      </c>
      <c r="H715" s="2" t="s">
        <v>37</v>
      </c>
      <c r="I715" s="2" t="s">
        <v>158</v>
      </c>
      <c r="J715" s="2">
        <v>2</v>
      </c>
      <c r="K715" s="2">
        <v>29.99</v>
      </c>
      <c r="L715" s="2" t="s">
        <v>67</v>
      </c>
      <c r="M715" s="2" t="s">
        <v>2149</v>
      </c>
      <c r="N715" s="2">
        <v>7.99</v>
      </c>
      <c r="O715" s="2" t="s">
        <v>2150</v>
      </c>
      <c r="P715" s="2" t="s">
        <v>68</v>
      </c>
      <c r="Q715" s="2" t="s">
        <v>28</v>
      </c>
      <c r="R715" s="2" t="s">
        <v>52</v>
      </c>
      <c r="S715" s="2" t="s">
        <v>30</v>
      </c>
      <c r="T715" s="2" t="s">
        <v>115</v>
      </c>
      <c r="U715" s="2" t="str">
        <f t="shared" si="34"/>
        <v>Valid</v>
      </c>
      <c r="V715" s="2" t="s">
        <v>2151</v>
      </c>
    </row>
    <row r="716" spans="1:22" hidden="1" x14ac:dyDescent="0.3">
      <c r="A716" s="2" t="s">
        <v>2152</v>
      </c>
      <c r="B716" s="12">
        <f t="shared" si="33"/>
        <v>46238.579070590276</v>
      </c>
      <c r="C716" s="13">
        <v>46238.579070590276</v>
      </c>
      <c r="D716" s="2" t="s">
        <v>373</v>
      </c>
      <c r="E716" s="2" t="str">
        <f t="shared" si="35"/>
        <v>Email Available</v>
      </c>
      <c r="F716" s="2" t="s">
        <v>374</v>
      </c>
      <c r="G716" s="2" t="s">
        <v>80</v>
      </c>
      <c r="H716" s="2" t="s">
        <v>81</v>
      </c>
      <c r="I716" s="2" t="s">
        <v>82</v>
      </c>
      <c r="J716" s="2">
        <v>2</v>
      </c>
      <c r="K716" s="2">
        <v>89.99</v>
      </c>
      <c r="L716" s="2"/>
      <c r="M716" s="2">
        <v>0</v>
      </c>
      <c r="N716" s="2">
        <v>0</v>
      </c>
      <c r="O716" s="2" t="s">
        <v>2153</v>
      </c>
      <c r="P716" s="2" t="s">
        <v>68</v>
      </c>
      <c r="Q716" s="2" t="s">
        <v>90</v>
      </c>
      <c r="R716" s="2" t="s">
        <v>99</v>
      </c>
      <c r="S716" s="2" t="s">
        <v>337</v>
      </c>
      <c r="T716" s="2"/>
      <c r="U716" s="2" t="str">
        <f t="shared" si="34"/>
        <v>Not Required</v>
      </c>
      <c r="V716" s="2" t="s">
        <v>2154</v>
      </c>
    </row>
    <row r="717" spans="1:22" hidden="1" x14ac:dyDescent="0.3">
      <c r="A717" s="2" t="s">
        <v>2155</v>
      </c>
      <c r="B717" s="12">
        <f t="shared" si="33"/>
        <v>46238.587733020831</v>
      </c>
      <c r="C717" s="13">
        <v>46238.587733020831</v>
      </c>
      <c r="D717" s="2" t="s">
        <v>2156</v>
      </c>
      <c r="E717" s="2" t="str">
        <f t="shared" si="35"/>
        <v>Email Available</v>
      </c>
      <c r="F717" s="2" t="s">
        <v>2157</v>
      </c>
      <c r="G717" s="2" t="s">
        <v>87</v>
      </c>
      <c r="H717" s="2" t="s">
        <v>88</v>
      </c>
      <c r="I717" s="2" t="s">
        <v>89</v>
      </c>
      <c r="J717" s="2">
        <v>1</v>
      </c>
      <c r="K717" s="2">
        <v>54.99</v>
      </c>
      <c r="L717" s="2" t="s">
        <v>208</v>
      </c>
      <c r="M717" s="2">
        <v>8.25</v>
      </c>
      <c r="N717" s="2">
        <v>7.99</v>
      </c>
      <c r="O717" s="2">
        <v>54.73</v>
      </c>
      <c r="P717" s="2" t="s">
        <v>74</v>
      </c>
      <c r="Q717" s="2" t="s">
        <v>28</v>
      </c>
      <c r="R717" s="2" t="s">
        <v>42</v>
      </c>
      <c r="S717" s="2" t="s">
        <v>43</v>
      </c>
      <c r="T717" s="2"/>
      <c r="U717" s="2" t="str">
        <f t="shared" si="34"/>
        <v>Not Required</v>
      </c>
      <c r="V717" s="2" t="s">
        <v>2158</v>
      </c>
    </row>
    <row r="718" spans="1:22" hidden="1" x14ac:dyDescent="0.3">
      <c r="A718" s="2" t="s">
        <v>2159</v>
      </c>
      <c r="B718" s="12">
        <f t="shared" si="33"/>
        <v>46238.58555329861</v>
      </c>
      <c r="C718" s="13">
        <v>46238.58555329861</v>
      </c>
      <c r="D718" s="2" t="s">
        <v>610</v>
      </c>
      <c r="E718" s="2" t="str">
        <f t="shared" si="35"/>
        <v>Email Available</v>
      </c>
      <c r="F718" s="2" t="s">
        <v>611</v>
      </c>
      <c r="G718" s="2" t="s">
        <v>315</v>
      </c>
      <c r="H718" s="2" t="s">
        <v>37</v>
      </c>
      <c r="I718" s="2" t="s">
        <v>316</v>
      </c>
      <c r="J718" s="2">
        <v>1</v>
      </c>
      <c r="K718" s="2">
        <v>8.99</v>
      </c>
      <c r="L718" s="2" t="s">
        <v>39</v>
      </c>
      <c r="M718" s="2">
        <v>0</v>
      </c>
      <c r="N718" s="2">
        <v>0</v>
      </c>
      <c r="O718" s="2">
        <v>8.99</v>
      </c>
      <c r="P718" s="2" t="s">
        <v>27</v>
      </c>
      <c r="Q718" s="2" t="s">
        <v>28</v>
      </c>
      <c r="R718" s="2" t="s">
        <v>52</v>
      </c>
      <c r="S718" s="2" t="s">
        <v>43</v>
      </c>
      <c r="T718" s="2"/>
      <c r="U718" s="2" t="str">
        <f t="shared" si="34"/>
        <v>Not Required</v>
      </c>
      <c r="V718" s="2" t="s">
        <v>2160</v>
      </c>
    </row>
    <row r="719" spans="1:22" hidden="1" x14ac:dyDescent="0.3">
      <c r="A719" s="2" t="s">
        <v>2161</v>
      </c>
      <c r="B719" s="12">
        <f t="shared" si="33"/>
        <v>46238.581880972219</v>
      </c>
      <c r="C719" s="13">
        <v>46238.581880972219</v>
      </c>
      <c r="D719" s="2" t="s">
        <v>748</v>
      </c>
      <c r="E719" s="2" t="str">
        <f t="shared" si="35"/>
        <v>Email Available</v>
      </c>
      <c r="F719" s="2" t="s">
        <v>749</v>
      </c>
      <c r="G719" s="2" t="s">
        <v>151</v>
      </c>
      <c r="H719" s="2" t="s">
        <v>49</v>
      </c>
      <c r="I719" s="2" t="s">
        <v>152</v>
      </c>
      <c r="J719" s="2">
        <v>1</v>
      </c>
      <c r="K719" s="2">
        <v>34.99</v>
      </c>
      <c r="L719" s="2"/>
      <c r="M719" s="2">
        <v>0</v>
      </c>
      <c r="N719" s="2">
        <v>5.99</v>
      </c>
      <c r="O719" s="2">
        <v>40.98</v>
      </c>
      <c r="P719" s="2" t="s">
        <v>51</v>
      </c>
      <c r="Q719" s="2" t="s">
        <v>28</v>
      </c>
      <c r="R719" s="2" t="s">
        <v>52</v>
      </c>
      <c r="S719" s="2" t="s">
        <v>108</v>
      </c>
      <c r="T719" s="2"/>
      <c r="U719" s="2" t="str">
        <f t="shared" si="34"/>
        <v>Not Required</v>
      </c>
      <c r="V719" s="2" t="s">
        <v>2162</v>
      </c>
    </row>
    <row r="720" spans="1:22" hidden="1" x14ac:dyDescent="0.3">
      <c r="A720" s="2" t="s">
        <v>2163</v>
      </c>
      <c r="B720" s="12">
        <f t="shared" si="33"/>
        <v>46238.584805856481</v>
      </c>
      <c r="C720" s="13">
        <v>46238.584805856481</v>
      </c>
      <c r="D720" s="2" t="s">
        <v>428</v>
      </c>
      <c r="E720" s="2" t="str">
        <f t="shared" si="35"/>
        <v>Email Available</v>
      </c>
      <c r="F720" s="2" t="s">
        <v>429</v>
      </c>
      <c r="G720" s="2" t="s">
        <v>226</v>
      </c>
      <c r="H720" s="2" t="s">
        <v>23</v>
      </c>
      <c r="I720" s="2" t="s">
        <v>227</v>
      </c>
      <c r="J720" s="2">
        <v>1</v>
      </c>
      <c r="K720" s="2">
        <v>17.989999999999998</v>
      </c>
      <c r="L720" s="2"/>
      <c r="M720" s="2">
        <v>0</v>
      </c>
      <c r="N720" s="2">
        <v>7.99</v>
      </c>
      <c r="O720" s="2">
        <v>25.98</v>
      </c>
      <c r="P720" s="2" t="s">
        <v>68</v>
      </c>
      <c r="Q720" s="2" t="s">
        <v>28</v>
      </c>
      <c r="R720" s="2" t="s">
        <v>52</v>
      </c>
      <c r="S720" s="2" t="s">
        <v>30</v>
      </c>
      <c r="T720" s="2" t="s">
        <v>347</v>
      </c>
      <c r="U720" s="2" t="str">
        <f t="shared" si="34"/>
        <v>Valid</v>
      </c>
      <c r="V720" s="2" t="s">
        <v>2164</v>
      </c>
    </row>
    <row r="721" spans="1:22" hidden="1" x14ac:dyDescent="0.3">
      <c r="A721" s="2" t="s">
        <v>2165</v>
      </c>
      <c r="B721" s="12">
        <f t="shared" si="33"/>
        <v>46120</v>
      </c>
      <c r="C721" s="13" t="s">
        <v>142</v>
      </c>
      <c r="D721" s="2" t="s">
        <v>1645</v>
      </c>
      <c r="E721" s="2" t="str">
        <f t="shared" si="35"/>
        <v>Email Available</v>
      </c>
      <c r="F721" s="2" t="s">
        <v>1553</v>
      </c>
      <c r="G721" s="2" t="s">
        <v>58</v>
      </c>
      <c r="H721" s="2" t="s">
        <v>23</v>
      </c>
      <c r="I721" s="2" t="s">
        <v>59</v>
      </c>
      <c r="J721" s="2">
        <v>1</v>
      </c>
      <c r="K721" s="2">
        <v>9.99</v>
      </c>
      <c r="L721" s="2" t="s">
        <v>39</v>
      </c>
      <c r="M721" s="2">
        <v>0</v>
      </c>
      <c r="N721" s="2">
        <v>0</v>
      </c>
      <c r="O721" s="2">
        <v>9.99</v>
      </c>
      <c r="P721" s="2" t="s">
        <v>40</v>
      </c>
      <c r="Q721" s="2" t="s">
        <v>28</v>
      </c>
      <c r="R721" s="2" t="s">
        <v>99</v>
      </c>
      <c r="S721" s="2" t="s">
        <v>75</v>
      </c>
      <c r="T721" s="2"/>
      <c r="U721" s="2" t="str">
        <f t="shared" si="34"/>
        <v>Not Required</v>
      </c>
      <c r="V721" s="2" t="s">
        <v>2087</v>
      </c>
    </row>
    <row r="722" spans="1:22" hidden="1" x14ac:dyDescent="0.3">
      <c r="A722" s="2" t="s">
        <v>2166</v>
      </c>
      <c r="B722" s="12">
        <f t="shared" si="33"/>
        <v>46238.58732554398</v>
      </c>
      <c r="C722" s="13">
        <v>46238.58732554398</v>
      </c>
      <c r="D722" s="2" t="s">
        <v>2167</v>
      </c>
      <c r="E722" s="2" t="str">
        <f t="shared" si="35"/>
        <v>Email Available</v>
      </c>
      <c r="F722" s="2" t="s">
        <v>2168</v>
      </c>
      <c r="G722" s="2" t="s">
        <v>171</v>
      </c>
      <c r="H722" s="2" t="s">
        <v>106</v>
      </c>
      <c r="I722" s="2" t="s">
        <v>172</v>
      </c>
      <c r="J722" s="2">
        <v>2</v>
      </c>
      <c r="K722" s="2">
        <v>32.99</v>
      </c>
      <c r="L722" s="2"/>
      <c r="M722" s="2">
        <v>0</v>
      </c>
      <c r="N722" s="2">
        <v>4.99</v>
      </c>
      <c r="O722" s="2">
        <v>70.97</v>
      </c>
      <c r="P722" s="2" t="s">
        <v>51</v>
      </c>
      <c r="Q722" s="2" t="s">
        <v>28</v>
      </c>
      <c r="R722" s="2" t="s">
        <v>42</v>
      </c>
      <c r="S722" s="2" t="s">
        <v>43</v>
      </c>
      <c r="T722" s="2"/>
      <c r="U722" s="2" t="str">
        <f t="shared" si="34"/>
        <v>Not Required</v>
      </c>
      <c r="V722" s="2" t="s">
        <v>2169</v>
      </c>
    </row>
    <row r="723" spans="1:22" x14ac:dyDescent="0.3">
      <c r="A723" s="2" t="s">
        <v>2173</v>
      </c>
      <c r="B723" s="12">
        <f t="shared" si="33"/>
        <v>46238</v>
      </c>
      <c r="C723" s="13" t="s">
        <v>922</v>
      </c>
      <c r="D723" s="2" t="s">
        <v>2174</v>
      </c>
      <c r="E723" s="2" t="str">
        <f t="shared" si="35"/>
        <v>Missing Email</v>
      </c>
      <c r="F723" s="2"/>
      <c r="G723" s="2" t="s">
        <v>65</v>
      </c>
      <c r="H723" s="2" t="s">
        <v>49</v>
      </c>
      <c r="I723" s="2" t="s">
        <v>66</v>
      </c>
      <c r="J723" s="2">
        <v>1</v>
      </c>
      <c r="K723" s="2">
        <v>14.99</v>
      </c>
      <c r="L723" s="2"/>
      <c r="M723" s="2">
        <v>0</v>
      </c>
      <c r="N723" s="2">
        <v>4.99</v>
      </c>
      <c r="O723" s="2">
        <v>19.98</v>
      </c>
      <c r="P723" s="2" t="s">
        <v>51</v>
      </c>
      <c r="Q723" s="2" t="s">
        <v>28</v>
      </c>
      <c r="R723" s="2" t="s">
        <v>52</v>
      </c>
      <c r="S723" s="2" t="s">
        <v>30</v>
      </c>
      <c r="T723" s="2" t="s">
        <v>115</v>
      </c>
      <c r="U723" s="2" t="str">
        <f t="shared" si="34"/>
        <v>Valid</v>
      </c>
      <c r="V723" s="2" t="s">
        <v>2175</v>
      </c>
    </row>
    <row r="724" spans="1:22" hidden="1" x14ac:dyDescent="0.3">
      <c r="A724" s="2" t="s">
        <v>2176</v>
      </c>
      <c r="B724" s="12">
        <f t="shared" si="33"/>
        <v>46120</v>
      </c>
      <c r="C724" s="13" t="s">
        <v>142</v>
      </c>
      <c r="D724" s="2" t="s">
        <v>1463</v>
      </c>
      <c r="E724" s="2" t="str">
        <f t="shared" si="35"/>
        <v>Email Available</v>
      </c>
      <c r="F724" s="2" t="s">
        <v>1464</v>
      </c>
      <c r="G724" s="2" t="s">
        <v>127</v>
      </c>
      <c r="H724" s="2" t="s">
        <v>81</v>
      </c>
      <c r="I724" s="2" t="s">
        <v>128</v>
      </c>
      <c r="J724" s="2">
        <v>1</v>
      </c>
      <c r="K724" s="2">
        <v>13.99</v>
      </c>
      <c r="L724" s="2"/>
      <c r="M724" s="2">
        <v>0</v>
      </c>
      <c r="N724" s="2">
        <v>4.99</v>
      </c>
      <c r="O724" s="2">
        <v>18.98</v>
      </c>
      <c r="P724" s="2" t="s">
        <v>40</v>
      </c>
      <c r="Q724" s="2" t="s">
        <v>90</v>
      </c>
      <c r="R724" s="2" t="s">
        <v>29</v>
      </c>
      <c r="S724" s="2" t="s">
        <v>43</v>
      </c>
      <c r="T724" s="2"/>
      <c r="U724" s="2" t="str">
        <f t="shared" si="34"/>
        <v>Not Required</v>
      </c>
      <c r="V724" s="2" t="s">
        <v>2177</v>
      </c>
    </row>
    <row r="725" spans="1:22" hidden="1" x14ac:dyDescent="0.3">
      <c r="A725" s="2" t="s">
        <v>2178</v>
      </c>
      <c r="B725" s="12">
        <f t="shared" si="33"/>
        <v>46238</v>
      </c>
      <c r="C725" s="13" t="s">
        <v>255</v>
      </c>
      <c r="D725" s="2" t="s">
        <v>2059</v>
      </c>
      <c r="E725" s="2" t="str">
        <f t="shared" si="35"/>
        <v>Email Available</v>
      </c>
      <c r="F725" s="2" t="s">
        <v>2179</v>
      </c>
      <c r="G725" s="2" t="s">
        <v>187</v>
      </c>
      <c r="H725" s="2" t="s">
        <v>37</v>
      </c>
      <c r="I725" s="2" t="s">
        <v>188</v>
      </c>
      <c r="J725" s="2">
        <v>2</v>
      </c>
      <c r="K725" s="2">
        <v>11.99</v>
      </c>
      <c r="L725" s="2"/>
      <c r="M725" s="2">
        <v>0</v>
      </c>
      <c r="N725" s="2">
        <v>4.99</v>
      </c>
      <c r="O725" s="2">
        <v>28.97</v>
      </c>
      <c r="P725" s="2" t="s">
        <v>74</v>
      </c>
      <c r="Q725" s="2" t="s">
        <v>28</v>
      </c>
      <c r="R725" s="2" t="s">
        <v>42</v>
      </c>
      <c r="S725" s="2" t="s">
        <v>30</v>
      </c>
      <c r="T725" s="2" t="s">
        <v>53</v>
      </c>
      <c r="U725" s="2" t="str">
        <f t="shared" si="34"/>
        <v>Valid</v>
      </c>
      <c r="V725" s="2" t="s">
        <v>2180</v>
      </c>
    </row>
    <row r="726" spans="1:22" x14ac:dyDescent="0.3">
      <c r="A726" s="2" t="s">
        <v>2181</v>
      </c>
      <c r="B726" s="12">
        <f t="shared" si="33"/>
        <v>46238.580465949082</v>
      </c>
      <c r="C726" s="13">
        <v>46238.580465949082</v>
      </c>
      <c r="D726" s="2" t="s">
        <v>2182</v>
      </c>
      <c r="E726" s="2" t="str">
        <f t="shared" si="35"/>
        <v>Missing Email</v>
      </c>
      <c r="F726" s="2"/>
      <c r="G726" s="2" t="s">
        <v>272</v>
      </c>
      <c r="H726" s="2" t="s">
        <v>23</v>
      </c>
      <c r="I726" s="2" t="s">
        <v>273</v>
      </c>
      <c r="J726" s="2">
        <v>1</v>
      </c>
      <c r="K726" s="2">
        <v>18.989999999999998</v>
      </c>
      <c r="L726" s="2"/>
      <c r="M726" s="2">
        <v>0</v>
      </c>
      <c r="N726" s="2">
        <v>5.99</v>
      </c>
      <c r="O726" s="2">
        <v>24.98</v>
      </c>
      <c r="P726" s="2" t="s">
        <v>74</v>
      </c>
      <c r="Q726" s="2" t="s">
        <v>41</v>
      </c>
      <c r="R726" s="2" t="s">
        <v>52</v>
      </c>
      <c r="S726" s="2" t="s">
        <v>228</v>
      </c>
      <c r="T726" s="2"/>
      <c r="U726" s="2" t="str">
        <f t="shared" si="34"/>
        <v>Not Required</v>
      </c>
      <c r="V726" s="2" t="s">
        <v>2183</v>
      </c>
    </row>
    <row r="727" spans="1:22" x14ac:dyDescent="0.3">
      <c r="A727" s="2" t="s">
        <v>2184</v>
      </c>
      <c r="B727" s="12">
        <f t="shared" si="33"/>
        <v>46238.586432986107</v>
      </c>
      <c r="C727" s="13">
        <v>46238.586432986107</v>
      </c>
      <c r="D727" s="2" t="s">
        <v>2185</v>
      </c>
      <c r="E727" s="2" t="str">
        <f t="shared" si="35"/>
        <v>Missing Email</v>
      </c>
      <c r="F727" s="2"/>
      <c r="G727" s="2" t="s">
        <v>36</v>
      </c>
      <c r="H727" s="2" t="s">
        <v>37</v>
      </c>
      <c r="I727" s="2" t="s">
        <v>38</v>
      </c>
      <c r="J727" s="2">
        <v>1</v>
      </c>
      <c r="K727" s="2">
        <v>21.99</v>
      </c>
      <c r="L727" s="2"/>
      <c r="M727" s="2">
        <v>0</v>
      </c>
      <c r="N727" s="2">
        <v>7.99</v>
      </c>
      <c r="O727" s="2">
        <v>29.98</v>
      </c>
      <c r="P727" s="2" t="s">
        <v>27</v>
      </c>
      <c r="Q727" s="2" t="s">
        <v>114</v>
      </c>
      <c r="R727" s="2" t="s">
        <v>52</v>
      </c>
      <c r="S727" s="2" t="s">
        <v>30</v>
      </c>
      <c r="T727" s="2" t="s">
        <v>53</v>
      </c>
      <c r="U727" s="2" t="str">
        <f t="shared" si="34"/>
        <v>Valid</v>
      </c>
      <c r="V727" s="2" t="s">
        <v>2186</v>
      </c>
    </row>
    <row r="728" spans="1:22" hidden="1" x14ac:dyDescent="0.3">
      <c r="A728" s="2" t="s">
        <v>2187</v>
      </c>
      <c r="B728" s="12">
        <f t="shared" si="33"/>
        <v>46238.581282511572</v>
      </c>
      <c r="C728" s="13">
        <v>46238.581282511572</v>
      </c>
      <c r="D728" s="2" t="s">
        <v>193</v>
      </c>
      <c r="E728" s="2" t="str">
        <f t="shared" si="35"/>
        <v>Email Available</v>
      </c>
      <c r="F728" s="2" t="s">
        <v>194</v>
      </c>
      <c r="G728" s="2" t="s">
        <v>226</v>
      </c>
      <c r="H728" s="2" t="s">
        <v>23</v>
      </c>
      <c r="I728" s="2" t="s">
        <v>227</v>
      </c>
      <c r="J728" s="2">
        <v>1</v>
      </c>
      <c r="K728" s="2">
        <v>17.989999999999998</v>
      </c>
      <c r="L728" s="2"/>
      <c r="M728" s="2">
        <v>0</v>
      </c>
      <c r="N728" s="2">
        <v>4.99</v>
      </c>
      <c r="O728" s="2">
        <v>22.98</v>
      </c>
      <c r="P728" s="2" t="s">
        <v>74</v>
      </c>
      <c r="Q728" s="2" t="s">
        <v>28</v>
      </c>
      <c r="R728" s="2" t="s">
        <v>42</v>
      </c>
      <c r="S728" s="2" t="s">
        <v>30</v>
      </c>
      <c r="T728" s="2" t="s">
        <v>766</v>
      </c>
      <c r="U728" s="2" t="str">
        <f t="shared" si="34"/>
        <v>Valid</v>
      </c>
      <c r="V728" s="2" t="s">
        <v>2188</v>
      </c>
    </row>
    <row r="729" spans="1:22" hidden="1" x14ac:dyDescent="0.3">
      <c r="A729" s="2" t="s">
        <v>2189</v>
      </c>
      <c r="B729" s="12">
        <f t="shared" si="33"/>
        <v>46120</v>
      </c>
      <c r="C729" s="13" t="s">
        <v>142</v>
      </c>
      <c r="D729" s="2" t="s">
        <v>797</v>
      </c>
      <c r="E729" s="2" t="str">
        <f t="shared" si="35"/>
        <v>Email Available</v>
      </c>
      <c r="F729" s="2" t="s">
        <v>798</v>
      </c>
      <c r="G729" s="2" t="s">
        <v>65</v>
      </c>
      <c r="H729" s="2" t="s">
        <v>49</v>
      </c>
      <c r="I729" s="2" t="s">
        <v>453</v>
      </c>
      <c r="J729" s="2">
        <v>1</v>
      </c>
      <c r="K729" s="2">
        <v>14.99</v>
      </c>
      <c r="L729" s="2"/>
      <c r="M729" s="2">
        <v>0</v>
      </c>
      <c r="N729" s="2">
        <v>7.99</v>
      </c>
      <c r="O729" s="2">
        <v>22.98</v>
      </c>
      <c r="P729" s="2" t="s">
        <v>40</v>
      </c>
      <c r="Q729" s="2" t="s">
        <v>90</v>
      </c>
      <c r="R729" s="2" t="s">
        <v>52</v>
      </c>
      <c r="S729" s="2" t="s">
        <v>337</v>
      </c>
      <c r="T729" s="2"/>
      <c r="U729" s="2" t="str">
        <f t="shared" si="34"/>
        <v>Not Required</v>
      </c>
      <c r="V729" s="2" t="s">
        <v>2190</v>
      </c>
    </row>
    <row r="730" spans="1:22" hidden="1" x14ac:dyDescent="0.3">
      <c r="A730" s="2" t="s">
        <v>2191</v>
      </c>
      <c r="B730" s="12">
        <f t="shared" si="33"/>
        <v>46238.588133321762</v>
      </c>
      <c r="C730" s="13">
        <v>46238.588133321762</v>
      </c>
      <c r="D730" s="2" t="s">
        <v>1007</v>
      </c>
      <c r="E730" s="2" t="str">
        <f t="shared" si="35"/>
        <v>Email Available</v>
      </c>
      <c r="F730" s="2" t="s">
        <v>1008</v>
      </c>
      <c r="G730" s="2" t="s">
        <v>284</v>
      </c>
      <c r="H730" s="2" t="s">
        <v>23</v>
      </c>
      <c r="I730" s="2" t="s">
        <v>285</v>
      </c>
      <c r="J730" s="2">
        <v>1</v>
      </c>
      <c r="K730" s="2">
        <v>24.99</v>
      </c>
      <c r="L730" s="2"/>
      <c r="M730" s="2">
        <v>0</v>
      </c>
      <c r="N730" s="2">
        <v>5.99</v>
      </c>
      <c r="O730" s="2">
        <v>30.98</v>
      </c>
      <c r="P730" s="2" t="s">
        <v>68</v>
      </c>
      <c r="Q730" s="2" t="s">
        <v>90</v>
      </c>
      <c r="R730" s="2" t="s">
        <v>52</v>
      </c>
      <c r="S730" s="2" t="s">
        <v>43</v>
      </c>
      <c r="T730" s="2"/>
      <c r="U730" s="2" t="str">
        <f t="shared" si="34"/>
        <v>Not Required</v>
      </c>
      <c r="V730" s="2" t="s">
        <v>2192</v>
      </c>
    </row>
    <row r="731" spans="1:22" hidden="1" x14ac:dyDescent="0.3">
      <c r="A731" s="2" t="s">
        <v>2193</v>
      </c>
      <c r="B731" s="12">
        <f t="shared" si="33"/>
        <v>46238.588383576389</v>
      </c>
      <c r="C731" s="13">
        <v>46238.588383576389</v>
      </c>
      <c r="D731" s="2" t="s">
        <v>204</v>
      </c>
      <c r="E731" s="2" t="str">
        <f t="shared" si="35"/>
        <v>Email Available</v>
      </c>
      <c r="F731" s="2" t="s">
        <v>1724</v>
      </c>
      <c r="G731" s="2" t="s">
        <v>195</v>
      </c>
      <c r="H731" s="2" t="s">
        <v>196</v>
      </c>
      <c r="I731" s="2" t="s">
        <v>197</v>
      </c>
      <c r="J731" s="2">
        <v>1</v>
      </c>
      <c r="K731" s="2">
        <v>13.49</v>
      </c>
      <c r="L731" s="2"/>
      <c r="M731" s="2">
        <v>0</v>
      </c>
      <c r="N731" s="2">
        <v>5.99</v>
      </c>
      <c r="O731" s="2">
        <v>19.48</v>
      </c>
      <c r="P731" s="2" t="s">
        <v>74</v>
      </c>
      <c r="Q731" s="2" t="s">
        <v>28</v>
      </c>
      <c r="R731" s="2" t="s">
        <v>29</v>
      </c>
      <c r="S731" s="2" t="s">
        <v>30</v>
      </c>
      <c r="T731" s="2" t="s">
        <v>248</v>
      </c>
      <c r="U731" s="2" t="str">
        <f t="shared" si="34"/>
        <v>Valid</v>
      </c>
      <c r="V731" s="2" t="s">
        <v>2194</v>
      </c>
    </row>
    <row r="732" spans="1:22" hidden="1" x14ac:dyDescent="0.3">
      <c r="A732" s="2" t="s">
        <v>2195</v>
      </c>
      <c r="B732" s="12">
        <f t="shared" si="33"/>
        <v>46238.588462083331</v>
      </c>
      <c r="C732" s="13">
        <v>46238.588462083331</v>
      </c>
      <c r="D732" s="2" t="s">
        <v>443</v>
      </c>
      <c r="E732" s="2" t="str">
        <f t="shared" si="35"/>
        <v>Email Available</v>
      </c>
      <c r="F732" s="2" t="s">
        <v>444</v>
      </c>
      <c r="G732" s="2" t="s">
        <v>127</v>
      </c>
      <c r="H732" s="2" t="s">
        <v>81</v>
      </c>
      <c r="I732" s="2" t="s">
        <v>128</v>
      </c>
      <c r="J732" s="2">
        <v>1</v>
      </c>
      <c r="K732" s="2">
        <v>13.99</v>
      </c>
      <c r="L732" s="2" t="s">
        <v>2196</v>
      </c>
      <c r="M732" s="2">
        <v>2.8</v>
      </c>
      <c r="N732" s="2">
        <v>7.99</v>
      </c>
      <c r="O732" s="2">
        <v>19.18</v>
      </c>
      <c r="P732" s="2" t="s">
        <v>27</v>
      </c>
      <c r="Q732" s="2" t="s">
        <v>28</v>
      </c>
      <c r="R732" s="2" t="s">
        <v>52</v>
      </c>
      <c r="S732" s="2" t="s">
        <v>43</v>
      </c>
      <c r="T732" s="2"/>
      <c r="U732" s="2" t="str">
        <f t="shared" si="34"/>
        <v>Not Required</v>
      </c>
      <c r="V732" s="2" t="s">
        <v>2197</v>
      </c>
    </row>
    <row r="733" spans="1:22" hidden="1" x14ac:dyDescent="0.3">
      <c r="A733" s="2" t="s">
        <v>2198</v>
      </c>
      <c r="B733" s="12">
        <f t="shared" si="33"/>
        <v>46238.584958749998</v>
      </c>
      <c r="C733" s="13">
        <v>46238.584958749998</v>
      </c>
      <c r="D733" s="2" t="s">
        <v>2199</v>
      </c>
      <c r="E733" s="2" t="str">
        <f t="shared" si="35"/>
        <v>Email Available</v>
      </c>
      <c r="F733" s="2" t="s">
        <v>2200</v>
      </c>
      <c r="G733" s="2" t="s">
        <v>272</v>
      </c>
      <c r="H733" s="2" t="s">
        <v>23</v>
      </c>
      <c r="I733" s="2" t="s">
        <v>273</v>
      </c>
      <c r="J733" s="2">
        <v>1</v>
      </c>
      <c r="K733" s="2">
        <v>18.989999999999998</v>
      </c>
      <c r="L733" s="2"/>
      <c r="M733" s="2">
        <v>0</v>
      </c>
      <c r="N733" s="2">
        <v>5.99</v>
      </c>
      <c r="O733" s="2">
        <v>24.98</v>
      </c>
      <c r="P733" s="2" t="s">
        <v>74</v>
      </c>
      <c r="Q733" s="2" t="s">
        <v>90</v>
      </c>
      <c r="R733" s="2" t="s">
        <v>29</v>
      </c>
      <c r="S733" s="2" t="s">
        <v>75</v>
      </c>
      <c r="T733" s="2"/>
      <c r="U733" s="2" t="str">
        <f t="shared" si="34"/>
        <v>Not Required</v>
      </c>
      <c r="V733" s="2" t="s">
        <v>2201</v>
      </c>
    </row>
    <row r="734" spans="1:22" hidden="1" x14ac:dyDescent="0.3">
      <c r="A734" s="2" t="s">
        <v>2202</v>
      </c>
      <c r="B734" s="12">
        <f t="shared" si="33"/>
        <v>46238.581854999997</v>
      </c>
      <c r="C734" s="13">
        <v>46238.581854999997</v>
      </c>
      <c r="D734" s="2" t="s">
        <v>825</v>
      </c>
      <c r="E734" s="2" t="str">
        <f t="shared" si="35"/>
        <v>Email Available</v>
      </c>
      <c r="F734" s="2" t="s">
        <v>826</v>
      </c>
      <c r="G734" s="2" t="s">
        <v>127</v>
      </c>
      <c r="H734" s="2" t="s">
        <v>81</v>
      </c>
      <c r="I734" s="2" t="s">
        <v>128</v>
      </c>
      <c r="J734" s="2">
        <v>1</v>
      </c>
      <c r="K734" s="2">
        <v>13.99</v>
      </c>
      <c r="L734" s="2" t="s">
        <v>121</v>
      </c>
      <c r="M734" s="2">
        <v>3.5</v>
      </c>
      <c r="N734" s="2">
        <v>4.99</v>
      </c>
      <c r="O734" s="2">
        <v>15.48</v>
      </c>
      <c r="P734" s="2" t="s">
        <v>68</v>
      </c>
      <c r="Q734" s="2" t="s">
        <v>28</v>
      </c>
      <c r="R734" s="2" t="s">
        <v>52</v>
      </c>
      <c r="S734" s="2" t="s">
        <v>75</v>
      </c>
      <c r="T734" s="2"/>
      <c r="U734" s="2" t="str">
        <f t="shared" si="34"/>
        <v>Not Required</v>
      </c>
      <c r="V734" s="2" t="s">
        <v>2203</v>
      </c>
    </row>
    <row r="735" spans="1:22" hidden="1" x14ac:dyDescent="0.3">
      <c r="A735" s="2" t="s">
        <v>2204</v>
      </c>
      <c r="B735" s="12">
        <f t="shared" si="33"/>
        <v>46238.585898090278</v>
      </c>
      <c r="C735" s="13">
        <v>46238.585898090278</v>
      </c>
      <c r="D735" s="2" t="s">
        <v>713</v>
      </c>
      <c r="E735" s="2" t="str">
        <f t="shared" si="35"/>
        <v>Email Available</v>
      </c>
      <c r="F735" s="2" t="s">
        <v>714</v>
      </c>
      <c r="G735" s="2" t="s">
        <v>206</v>
      </c>
      <c r="H735" s="2" t="s">
        <v>196</v>
      </c>
      <c r="I735" s="2" t="s">
        <v>207</v>
      </c>
      <c r="J735" s="2">
        <v>1</v>
      </c>
      <c r="K735" s="2" t="s">
        <v>1229</v>
      </c>
      <c r="L735" s="2"/>
      <c r="M735" s="2">
        <v>0</v>
      </c>
      <c r="N735" s="2">
        <v>7.99</v>
      </c>
      <c r="O735" s="2">
        <v>32.979999999999997</v>
      </c>
      <c r="P735" s="2" t="s">
        <v>27</v>
      </c>
      <c r="Q735" s="2" t="s">
        <v>90</v>
      </c>
      <c r="R735" s="2" t="s">
        <v>52</v>
      </c>
      <c r="S735" s="2" t="s">
        <v>337</v>
      </c>
      <c r="T735" s="2"/>
      <c r="U735" s="2" t="str">
        <f t="shared" si="34"/>
        <v>Not Required</v>
      </c>
      <c r="V735" s="2" t="s">
        <v>2205</v>
      </c>
    </row>
    <row r="736" spans="1:22" hidden="1" x14ac:dyDescent="0.3">
      <c r="A736" s="2" t="s">
        <v>2206</v>
      </c>
      <c r="B736" s="12">
        <f t="shared" si="33"/>
        <v>46238.585248738433</v>
      </c>
      <c r="C736" s="13">
        <v>46238.585248738433</v>
      </c>
      <c r="D736" s="2" t="s">
        <v>2033</v>
      </c>
      <c r="E736" s="2" t="str">
        <f t="shared" si="35"/>
        <v>Email Available</v>
      </c>
      <c r="F736" s="2" t="s">
        <v>2034</v>
      </c>
      <c r="G736" s="2" t="s">
        <v>241</v>
      </c>
      <c r="H736" s="2" t="s">
        <v>242</v>
      </c>
      <c r="I736" s="2" t="s">
        <v>243</v>
      </c>
      <c r="J736" s="2">
        <v>1</v>
      </c>
      <c r="K736" s="2">
        <v>27.99</v>
      </c>
      <c r="L736" s="2" t="s">
        <v>121</v>
      </c>
      <c r="M736" s="2">
        <v>7</v>
      </c>
      <c r="N736" s="2">
        <v>4.99</v>
      </c>
      <c r="O736" s="2">
        <v>25.98</v>
      </c>
      <c r="P736" s="2" t="s">
        <v>40</v>
      </c>
      <c r="Q736" s="2" t="s">
        <v>28</v>
      </c>
      <c r="R736" s="2" t="s">
        <v>52</v>
      </c>
      <c r="S736" s="2" t="s">
        <v>30</v>
      </c>
      <c r="T736" s="2" t="s">
        <v>53</v>
      </c>
      <c r="U736" s="2" t="str">
        <f t="shared" si="34"/>
        <v>Valid</v>
      </c>
      <c r="V736" s="2" t="s">
        <v>2207</v>
      </c>
    </row>
    <row r="737" spans="1:22" hidden="1" x14ac:dyDescent="0.3">
      <c r="A737" s="2" t="s">
        <v>2208</v>
      </c>
      <c r="B737" s="12">
        <f t="shared" si="33"/>
        <v>46238.584749594913</v>
      </c>
      <c r="C737" s="13">
        <v>46238.584749594913</v>
      </c>
      <c r="D737" s="2"/>
      <c r="E737" s="2" t="str">
        <f t="shared" si="35"/>
        <v>Email Available</v>
      </c>
      <c r="F737" s="2" t="s">
        <v>201</v>
      </c>
      <c r="G737" s="2" t="s">
        <v>272</v>
      </c>
      <c r="H737" s="2" t="s">
        <v>23</v>
      </c>
      <c r="I737" s="2" t="s">
        <v>273</v>
      </c>
      <c r="J737" s="2">
        <v>1</v>
      </c>
      <c r="K737" s="2" t="s">
        <v>639</v>
      </c>
      <c r="L737" s="2" t="s">
        <v>121</v>
      </c>
      <c r="M737" s="2">
        <v>4.75</v>
      </c>
      <c r="N737" s="2">
        <v>5.99</v>
      </c>
      <c r="O737" s="2">
        <v>20.23</v>
      </c>
      <c r="P737" s="2" t="s">
        <v>68</v>
      </c>
      <c r="Q737" s="2" t="s">
        <v>28</v>
      </c>
      <c r="R737" s="2" t="s">
        <v>52</v>
      </c>
      <c r="S737" s="2" t="s">
        <v>30</v>
      </c>
      <c r="T737" s="2" t="s">
        <v>53</v>
      </c>
      <c r="U737" s="2" t="str">
        <f t="shared" si="34"/>
        <v>Valid</v>
      </c>
      <c r="V737" s="2" t="s">
        <v>2209</v>
      </c>
    </row>
    <row r="738" spans="1:22" hidden="1" x14ac:dyDescent="0.3">
      <c r="A738" s="2" t="s">
        <v>2210</v>
      </c>
      <c r="B738" s="12">
        <f t="shared" si="33"/>
        <v>46238.586130578697</v>
      </c>
      <c r="C738" s="13">
        <v>46238.586130578697</v>
      </c>
      <c r="D738" s="2" t="s">
        <v>246</v>
      </c>
      <c r="E738" s="2" t="str">
        <f t="shared" si="35"/>
        <v>Email Available</v>
      </c>
      <c r="F738" s="2" t="s">
        <v>247</v>
      </c>
      <c r="G738" s="2" t="s">
        <v>315</v>
      </c>
      <c r="H738" s="2" t="s">
        <v>37</v>
      </c>
      <c r="I738" s="2" t="s">
        <v>316</v>
      </c>
      <c r="J738" s="2">
        <v>1</v>
      </c>
      <c r="K738" s="2">
        <v>8.99</v>
      </c>
      <c r="L738" s="2" t="s">
        <v>208</v>
      </c>
      <c r="M738" s="2">
        <v>1.35</v>
      </c>
      <c r="N738" s="2">
        <v>5.99</v>
      </c>
      <c r="O738" s="2">
        <v>13.63</v>
      </c>
      <c r="P738" s="2" t="s">
        <v>27</v>
      </c>
      <c r="Q738" s="2" t="s">
        <v>28</v>
      </c>
      <c r="R738" s="2" t="s">
        <v>29</v>
      </c>
      <c r="S738" s="2" t="s">
        <v>30</v>
      </c>
      <c r="T738" s="2" t="s">
        <v>1412</v>
      </c>
      <c r="U738" s="2" t="str">
        <f t="shared" si="34"/>
        <v>Valid</v>
      </c>
      <c r="V738" s="2" t="s">
        <v>2211</v>
      </c>
    </row>
    <row r="739" spans="1:22" hidden="1" x14ac:dyDescent="0.3">
      <c r="A739" s="2" t="s">
        <v>2212</v>
      </c>
      <c r="B739" s="12">
        <f t="shared" si="33"/>
        <v>46238.579173854167</v>
      </c>
      <c r="C739" s="13">
        <v>46238.579173854167</v>
      </c>
      <c r="D739" s="2" t="s">
        <v>2156</v>
      </c>
      <c r="E739" s="2" t="str">
        <f t="shared" si="35"/>
        <v>Email Available</v>
      </c>
      <c r="F739" s="2" t="s">
        <v>2157</v>
      </c>
      <c r="G739" s="2" t="s">
        <v>195</v>
      </c>
      <c r="H739" s="2" t="s">
        <v>196</v>
      </c>
      <c r="I739" s="2" t="s">
        <v>197</v>
      </c>
      <c r="J739" s="2">
        <v>1</v>
      </c>
      <c r="K739" s="2">
        <v>13.49</v>
      </c>
      <c r="L739" s="2"/>
      <c r="M739" s="2">
        <v>0</v>
      </c>
      <c r="N739" s="2">
        <v>4.99</v>
      </c>
      <c r="O739" s="2">
        <v>18.48</v>
      </c>
      <c r="P739" s="2" t="s">
        <v>68</v>
      </c>
      <c r="Q739" s="2" t="s">
        <v>41</v>
      </c>
      <c r="R739" s="2" t="s">
        <v>29</v>
      </c>
      <c r="S739" s="2" t="s">
        <v>43</v>
      </c>
      <c r="T739" s="2"/>
      <c r="U739" s="2" t="str">
        <f t="shared" si="34"/>
        <v>Not Required</v>
      </c>
      <c r="V739" s="2" t="s">
        <v>2213</v>
      </c>
    </row>
    <row r="740" spans="1:22" hidden="1" x14ac:dyDescent="0.3">
      <c r="A740" s="2" t="s">
        <v>2214</v>
      </c>
      <c r="B740" s="12">
        <f t="shared" si="33"/>
        <v>46238.582099594911</v>
      </c>
      <c r="C740" s="13">
        <v>46238.582099594911</v>
      </c>
      <c r="D740" s="2" t="s">
        <v>111</v>
      </c>
      <c r="E740" s="2" t="str">
        <f t="shared" si="35"/>
        <v>Email Available</v>
      </c>
      <c r="F740" s="2" t="s">
        <v>1547</v>
      </c>
      <c r="G740" s="2" t="s">
        <v>195</v>
      </c>
      <c r="H740" s="2" t="s">
        <v>196</v>
      </c>
      <c r="I740" s="2" t="s">
        <v>197</v>
      </c>
      <c r="J740" s="2">
        <v>2</v>
      </c>
      <c r="K740" s="2">
        <v>13.49</v>
      </c>
      <c r="L740" s="2"/>
      <c r="M740" s="2">
        <v>0</v>
      </c>
      <c r="N740" s="2">
        <v>4.99</v>
      </c>
      <c r="O740" s="2">
        <v>31.97</v>
      </c>
      <c r="P740" s="2" t="s">
        <v>51</v>
      </c>
      <c r="Q740" s="2" t="s">
        <v>41</v>
      </c>
      <c r="R740" s="2" t="s">
        <v>42</v>
      </c>
      <c r="S740" s="2" t="s">
        <v>30</v>
      </c>
      <c r="T740" s="2" t="s">
        <v>91</v>
      </c>
      <c r="U740" s="2" t="str">
        <f t="shared" si="34"/>
        <v>Valid</v>
      </c>
      <c r="V740" s="2" t="s">
        <v>2215</v>
      </c>
    </row>
    <row r="741" spans="1:22" x14ac:dyDescent="0.3">
      <c r="A741" s="2" t="s">
        <v>2216</v>
      </c>
      <c r="B741" s="12">
        <f t="shared" si="33"/>
        <v>46238.582788761567</v>
      </c>
      <c r="C741" s="13">
        <v>46238.582788761567</v>
      </c>
      <c r="D741" s="2" t="s">
        <v>2217</v>
      </c>
      <c r="E741" s="2" t="str">
        <f t="shared" si="35"/>
        <v>Missing Email</v>
      </c>
      <c r="F741" s="2"/>
      <c r="G741" s="2" t="s">
        <v>206</v>
      </c>
      <c r="H741" s="2" t="s">
        <v>196</v>
      </c>
      <c r="I741" s="2" t="s">
        <v>207</v>
      </c>
      <c r="J741" s="2">
        <v>3</v>
      </c>
      <c r="K741" s="2">
        <v>24.99</v>
      </c>
      <c r="L741" s="2" t="s">
        <v>25</v>
      </c>
      <c r="M741" s="2">
        <v>14.99</v>
      </c>
      <c r="N741" s="2">
        <v>4.99</v>
      </c>
      <c r="O741" s="2">
        <v>64.97</v>
      </c>
      <c r="P741" s="2" t="s">
        <v>40</v>
      </c>
      <c r="Q741" s="2" t="s">
        <v>28</v>
      </c>
      <c r="R741" s="2" t="s">
        <v>42</v>
      </c>
      <c r="S741" s="2" t="s">
        <v>337</v>
      </c>
      <c r="T741" s="2"/>
      <c r="U741" s="2" t="str">
        <f t="shared" si="34"/>
        <v>Not Required</v>
      </c>
      <c r="V741" s="2" t="s">
        <v>2218</v>
      </c>
    </row>
    <row r="742" spans="1:22" x14ac:dyDescent="0.3">
      <c r="A742" s="2" t="s">
        <v>2219</v>
      </c>
      <c r="B742" s="12">
        <f t="shared" si="33"/>
        <v>46238.582338564818</v>
      </c>
      <c r="C742" s="13">
        <v>46238.582338564818</v>
      </c>
      <c r="D742" s="2" t="s">
        <v>764</v>
      </c>
      <c r="E742" s="2" t="str">
        <f t="shared" si="35"/>
        <v>Missing Email</v>
      </c>
      <c r="F742" s="2"/>
      <c r="G742" s="2" t="s">
        <v>112</v>
      </c>
      <c r="H742" s="2" t="s">
        <v>81</v>
      </c>
      <c r="I742" s="2" t="s">
        <v>113</v>
      </c>
      <c r="J742" s="2">
        <v>1</v>
      </c>
      <c r="K742" s="2">
        <v>22.99</v>
      </c>
      <c r="L742" s="2" t="s">
        <v>39</v>
      </c>
      <c r="M742" s="2" t="s">
        <v>189</v>
      </c>
      <c r="N742" s="2">
        <v>0</v>
      </c>
      <c r="O742" s="2">
        <v>22.99</v>
      </c>
      <c r="P742" s="2" t="s">
        <v>68</v>
      </c>
      <c r="Q742" s="2" t="s">
        <v>41</v>
      </c>
      <c r="R742" s="2" t="s">
        <v>52</v>
      </c>
      <c r="S742" s="2" t="s">
        <v>30</v>
      </c>
      <c r="T742" s="2" t="s">
        <v>115</v>
      </c>
      <c r="U742" s="2" t="str">
        <f t="shared" si="34"/>
        <v>Valid</v>
      </c>
      <c r="V742" s="2" t="s">
        <v>2220</v>
      </c>
    </row>
    <row r="743" spans="1:22" hidden="1" x14ac:dyDescent="0.3">
      <c r="A743" s="2" t="s">
        <v>2221</v>
      </c>
      <c r="B743" s="12">
        <f t="shared" si="33"/>
        <v>46238.585338993063</v>
      </c>
      <c r="C743" s="13">
        <v>46238.585338993063</v>
      </c>
      <c r="D743" s="2" t="s">
        <v>1999</v>
      </c>
      <c r="E743" s="2" t="str">
        <f t="shared" si="35"/>
        <v>Email Available</v>
      </c>
      <c r="F743" s="2" t="s">
        <v>260</v>
      </c>
      <c r="G743" s="2" t="s">
        <v>65</v>
      </c>
      <c r="H743" s="2" t="s">
        <v>49</v>
      </c>
      <c r="I743" s="2" t="s">
        <v>66</v>
      </c>
      <c r="J743" s="2">
        <v>1</v>
      </c>
      <c r="K743" s="2">
        <v>14.99</v>
      </c>
      <c r="L743" s="2"/>
      <c r="M743" s="2">
        <v>0</v>
      </c>
      <c r="N743" s="2">
        <v>5.99</v>
      </c>
      <c r="O743" s="2">
        <v>20.98</v>
      </c>
      <c r="P743" s="2" t="s">
        <v>68</v>
      </c>
      <c r="Q743" s="2" t="s">
        <v>114</v>
      </c>
      <c r="R743" s="2" t="s">
        <v>42</v>
      </c>
      <c r="S743" s="2" t="s">
        <v>30</v>
      </c>
      <c r="T743" s="2" t="s">
        <v>91</v>
      </c>
      <c r="U743" s="2" t="str">
        <f t="shared" si="34"/>
        <v>Valid</v>
      </c>
      <c r="V743" s="2" t="s">
        <v>2222</v>
      </c>
    </row>
    <row r="744" spans="1:22" hidden="1" x14ac:dyDescent="0.3">
      <c r="A744" s="2" t="s">
        <v>2223</v>
      </c>
      <c r="B744" s="12">
        <f t="shared" si="33"/>
        <v>46238.582743194442</v>
      </c>
      <c r="C744" s="13">
        <v>46238.582743194442</v>
      </c>
      <c r="D744" s="2" t="s">
        <v>2224</v>
      </c>
      <c r="E744" s="2" t="str">
        <f t="shared" si="35"/>
        <v>Email Available</v>
      </c>
      <c r="F744" s="2" t="s">
        <v>2225</v>
      </c>
      <c r="G744" s="2" t="s">
        <v>87</v>
      </c>
      <c r="H744" s="2" t="s">
        <v>88</v>
      </c>
      <c r="I744" s="2" t="s">
        <v>89</v>
      </c>
      <c r="J744" s="2">
        <v>1</v>
      </c>
      <c r="K744" s="2">
        <v>54.99</v>
      </c>
      <c r="L744" s="2" t="s">
        <v>67</v>
      </c>
      <c r="M744" s="2">
        <v>5.5</v>
      </c>
      <c r="N744" s="2">
        <v>7.99</v>
      </c>
      <c r="O744" s="2">
        <v>57.48</v>
      </c>
      <c r="P744" s="2" t="s">
        <v>74</v>
      </c>
      <c r="Q744" s="2" t="s">
        <v>28</v>
      </c>
      <c r="R744" s="2" t="s">
        <v>99</v>
      </c>
      <c r="S744" s="2" t="s">
        <v>75</v>
      </c>
      <c r="T744" s="2"/>
      <c r="U744" s="2" t="str">
        <f t="shared" si="34"/>
        <v>Not Required</v>
      </c>
      <c r="V744" s="2" t="s">
        <v>1997</v>
      </c>
    </row>
    <row r="745" spans="1:22" hidden="1" x14ac:dyDescent="0.3">
      <c r="A745" s="2" t="s">
        <v>2226</v>
      </c>
      <c r="B745" s="12">
        <f>DATE(VALUE(RIGHT(C745,4)),MATCH(LEFT(C745,3),{"Jan","Feb","Mar","Apr","May","Jun","Jul","Aug","Sep","Oct","Nov","Dec"},0),VALUE(MID(C745,5,2)))</f>
        <v>46238</v>
      </c>
      <c r="C745" s="13" t="s">
        <v>176</v>
      </c>
      <c r="D745" s="2" t="s">
        <v>582</v>
      </c>
      <c r="E745" s="2" t="str">
        <f t="shared" si="35"/>
        <v>Email Available</v>
      </c>
      <c r="F745" s="2" t="s">
        <v>1154</v>
      </c>
      <c r="G745" s="2" t="s">
        <v>65</v>
      </c>
      <c r="H745" s="2" t="s">
        <v>49</v>
      </c>
      <c r="I745" s="2" t="s">
        <v>66</v>
      </c>
      <c r="J745" s="2">
        <v>1</v>
      </c>
      <c r="K745" s="2">
        <v>14.99</v>
      </c>
      <c r="L745" s="2" t="s">
        <v>208</v>
      </c>
      <c r="M745" s="2">
        <v>2.25</v>
      </c>
      <c r="N745" s="2">
        <v>5.99</v>
      </c>
      <c r="O745" s="2">
        <v>18.73</v>
      </c>
      <c r="P745" s="2" t="s">
        <v>68</v>
      </c>
      <c r="Q745" s="2" t="s">
        <v>41</v>
      </c>
      <c r="R745" s="2" t="s">
        <v>52</v>
      </c>
      <c r="S745" s="2" t="s">
        <v>30</v>
      </c>
      <c r="T745" s="2" t="s">
        <v>248</v>
      </c>
      <c r="U745" s="2" t="str">
        <f t="shared" si="34"/>
        <v>Valid</v>
      </c>
      <c r="V745" s="2" t="s">
        <v>2227</v>
      </c>
    </row>
    <row r="746" spans="1:22" hidden="1" x14ac:dyDescent="0.3">
      <c r="A746" s="2" t="s">
        <v>2228</v>
      </c>
      <c r="B746" s="12">
        <f t="shared" si="33"/>
        <v>46238.584512453701</v>
      </c>
      <c r="C746" s="13">
        <v>46238.584512453701</v>
      </c>
      <c r="D746" s="2" t="s">
        <v>764</v>
      </c>
      <c r="E746" s="2" t="str">
        <f t="shared" si="35"/>
        <v>Email Available</v>
      </c>
      <c r="F746" s="2" t="s">
        <v>765</v>
      </c>
      <c r="G746" s="2" t="s">
        <v>368</v>
      </c>
      <c r="H746" s="2" t="s">
        <v>88</v>
      </c>
      <c r="I746" s="2" t="s">
        <v>369</v>
      </c>
      <c r="J746" s="2">
        <v>1</v>
      </c>
      <c r="K746" s="2" t="s">
        <v>370</v>
      </c>
      <c r="L746" s="2"/>
      <c r="M746" s="2">
        <v>0</v>
      </c>
      <c r="N746" s="2">
        <v>4.99</v>
      </c>
      <c r="O746" s="2">
        <v>59.98</v>
      </c>
      <c r="P746" s="2" t="s">
        <v>51</v>
      </c>
      <c r="Q746" s="2" t="s">
        <v>28</v>
      </c>
      <c r="R746" s="2" t="s">
        <v>29</v>
      </c>
      <c r="S746" s="2" t="s">
        <v>30</v>
      </c>
      <c r="T746" s="2" t="s">
        <v>966</v>
      </c>
      <c r="U746" s="2" t="str">
        <f t="shared" si="34"/>
        <v>Valid</v>
      </c>
      <c r="V746" s="2" t="s">
        <v>2229</v>
      </c>
    </row>
    <row r="747" spans="1:22" hidden="1" x14ac:dyDescent="0.3">
      <c r="A747" s="2" t="s">
        <v>2230</v>
      </c>
      <c r="B747" s="12">
        <f t="shared" si="33"/>
        <v>46238.58406134259</v>
      </c>
      <c r="C747" s="13">
        <v>46238.58406134259</v>
      </c>
      <c r="D747" s="2" t="s">
        <v>211</v>
      </c>
      <c r="E747" s="2" t="str">
        <f t="shared" si="35"/>
        <v>Email Available</v>
      </c>
      <c r="F747" s="2" t="s">
        <v>212</v>
      </c>
      <c r="G747" s="2" t="s">
        <v>87</v>
      </c>
      <c r="H747" s="2" t="s">
        <v>88</v>
      </c>
      <c r="I747" s="2" t="s">
        <v>89</v>
      </c>
      <c r="J747" s="2">
        <v>2</v>
      </c>
      <c r="K747" s="2">
        <v>54.99</v>
      </c>
      <c r="L747" s="2" t="s">
        <v>25</v>
      </c>
      <c r="M747" s="2">
        <v>22</v>
      </c>
      <c r="N747" s="2">
        <v>0</v>
      </c>
      <c r="O747" s="2" t="s">
        <v>2231</v>
      </c>
      <c r="P747" s="2" t="s">
        <v>40</v>
      </c>
      <c r="Q747" s="2" t="s">
        <v>28</v>
      </c>
      <c r="R747" s="2" t="s">
        <v>52</v>
      </c>
      <c r="S747" s="2" t="s">
        <v>108</v>
      </c>
      <c r="T747" s="2"/>
      <c r="U747" s="2" t="str">
        <f t="shared" si="34"/>
        <v>Not Required</v>
      </c>
      <c r="V747" s="2" t="s">
        <v>2232</v>
      </c>
    </row>
    <row r="748" spans="1:22" hidden="1" x14ac:dyDescent="0.3">
      <c r="A748" s="2" t="s">
        <v>2233</v>
      </c>
      <c r="B748" s="12">
        <f t="shared" si="33"/>
        <v>46238.582796319453</v>
      </c>
      <c r="C748" s="13">
        <v>46238.582796319453</v>
      </c>
      <c r="D748" s="2" t="s">
        <v>1490</v>
      </c>
      <c r="E748" s="2" t="str">
        <f t="shared" si="35"/>
        <v>Email Available</v>
      </c>
      <c r="F748" s="2" t="s">
        <v>1117</v>
      </c>
      <c r="G748" s="2" t="s">
        <v>133</v>
      </c>
      <c r="H748" s="2" t="s">
        <v>106</v>
      </c>
      <c r="I748" s="2" t="s">
        <v>134</v>
      </c>
      <c r="J748" s="2">
        <v>2</v>
      </c>
      <c r="K748" s="2">
        <v>16.989999999999998</v>
      </c>
      <c r="L748" s="2" t="s">
        <v>1181</v>
      </c>
      <c r="M748" s="2">
        <v>8.49</v>
      </c>
      <c r="N748" s="2">
        <v>7.99</v>
      </c>
      <c r="O748" s="2" t="s">
        <v>299</v>
      </c>
      <c r="P748" s="2" t="s">
        <v>51</v>
      </c>
      <c r="Q748" s="2" t="s">
        <v>90</v>
      </c>
      <c r="R748" s="2" t="s">
        <v>52</v>
      </c>
      <c r="S748" s="2" t="s">
        <v>108</v>
      </c>
      <c r="T748" s="2"/>
      <c r="U748" s="2" t="str">
        <f t="shared" si="34"/>
        <v>Not Required</v>
      </c>
      <c r="V748" s="2" t="s">
        <v>2234</v>
      </c>
    </row>
    <row r="749" spans="1:22" hidden="1" x14ac:dyDescent="0.3">
      <c r="A749" s="2" t="s">
        <v>2235</v>
      </c>
      <c r="B749" s="12">
        <f t="shared" si="33"/>
        <v>46238.580226516213</v>
      </c>
      <c r="C749" s="13">
        <v>46238.580226516213</v>
      </c>
      <c r="D749" s="2" t="s">
        <v>331</v>
      </c>
      <c r="E749" s="2" t="str">
        <f t="shared" si="35"/>
        <v>Email Available</v>
      </c>
      <c r="F749" s="2" t="s">
        <v>332</v>
      </c>
      <c r="G749" s="2" t="s">
        <v>195</v>
      </c>
      <c r="H749" s="2" t="s">
        <v>196</v>
      </c>
      <c r="I749" s="2" t="s">
        <v>197</v>
      </c>
      <c r="J749" s="2">
        <v>1</v>
      </c>
      <c r="K749" s="2">
        <v>13.49</v>
      </c>
      <c r="L749" s="2" t="s">
        <v>39</v>
      </c>
      <c r="M749" s="2">
        <v>0</v>
      </c>
      <c r="N749" s="2">
        <v>0</v>
      </c>
      <c r="O749" s="2">
        <v>13.49</v>
      </c>
      <c r="P749" s="2" t="s">
        <v>74</v>
      </c>
      <c r="Q749" s="2" t="s">
        <v>90</v>
      </c>
      <c r="R749" s="2" t="s">
        <v>52</v>
      </c>
      <c r="S749" s="2" t="s">
        <v>30</v>
      </c>
      <c r="T749" s="2" t="s">
        <v>347</v>
      </c>
      <c r="U749" s="2" t="str">
        <f t="shared" si="34"/>
        <v>Valid</v>
      </c>
      <c r="V749" s="2" t="s">
        <v>2236</v>
      </c>
    </row>
    <row r="750" spans="1:22" hidden="1" x14ac:dyDescent="0.3">
      <c r="A750" s="2" t="s">
        <v>2237</v>
      </c>
      <c r="B750" s="12">
        <f t="shared" si="33"/>
        <v>46238.587386736108</v>
      </c>
      <c r="C750" s="13">
        <v>46238.587386736108</v>
      </c>
      <c r="D750" s="2" t="s">
        <v>900</v>
      </c>
      <c r="E750" s="2" t="str">
        <f t="shared" si="35"/>
        <v>Email Available</v>
      </c>
      <c r="F750" s="2" t="s">
        <v>901</v>
      </c>
      <c r="G750" s="2" t="s">
        <v>65</v>
      </c>
      <c r="H750" s="2" t="s">
        <v>49</v>
      </c>
      <c r="I750" s="2" t="s">
        <v>66</v>
      </c>
      <c r="J750" s="2">
        <v>1</v>
      </c>
      <c r="K750" s="2">
        <v>14.99</v>
      </c>
      <c r="L750" s="2"/>
      <c r="M750" s="2">
        <v>0</v>
      </c>
      <c r="N750" s="2">
        <v>5.99</v>
      </c>
      <c r="O750" s="2">
        <v>20.98</v>
      </c>
      <c r="P750" s="2" t="s">
        <v>51</v>
      </c>
      <c r="Q750" s="2" t="s">
        <v>28</v>
      </c>
      <c r="R750" s="2" t="s">
        <v>52</v>
      </c>
      <c r="S750" s="2" t="s">
        <v>30</v>
      </c>
      <c r="T750" s="2" t="s">
        <v>454</v>
      </c>
      <c r="U750" s="2" t="str">
        <f t="shared" si="34"/>
        <v>Valid</v>
      </c>
      <c r="V750" s="2" t="s">
        <v>2238</v>
      </c>
    </row>
    <row r="751" spans="1:22" hidden="1" x14ac:dyDescent="0.3">
      <c r="A751" s="2" t="s">
        <v>2239</v>
      </c>
      <c r="B751" s="12">
        <f t="shared" si="33"/>
        <v>46238</v>
      </c>
      <c r="C751" s="13" t="s">
        <v>102</v>
      </c>
      <c r="D751" s="2" t="s">
        <v>345</v>
      </c>
      <c r="E751" s="2" t="str">
        <f t="shared" si="35"/>
        <v>Email Available</v>
      </c>
      <c r="F751" s="2" t="s">
        <v>452</v>
      </c>
      <c r="G751" s="2" t="s">
        <v>187</v>
      </c>
      <c r="H751" s="2" t="s">
        <v>37</v>
      </c>
      <c r="I751" s="2" t="s">
        <v>188</v>
      </c>
      <c r="J751" s="2">
        <v>1</v>
      </c>
      <c r="K751" s="2">
        <v>11.99</v>
      </c>
      <c r="L751" s="2" t="s">
        <v>208</v>
      </c>
      <c r="M751" s="2">
        <v>1.8</v>
      </c>
      <c r="N751" s="2">
        <v>5.99</v>
      </c>
      <c r="O751" s="2">
        <v>16.18</v>
      </c>
      <c r="P751" s="2" t="s">
        <v>74</v>
      </c>
      <c r="Q751" s="2" t="s">
        <v>28</v>
      </c>
      <c r="R751" s="2" t="s">
        <v>99</v>
      </c>
      <c r="S751" s="2" t="s">
        <v>30</v>
      </c>
      <c r="T751" s="2" t="s">
        <v>31</v>
      </c>
      <c r="U751" s="2" t="str">
        <f t="shared" si="34"/>
        <v>Valid</v>
      </c>
      <c r="V751" s="2" t="s">
        <v>2240</v>
      </c>
    </row>
    <row r="752" spans="1:22" hidden="1" x14ac:dyDescent="0.3">
      <c r="A752" s="2" t="s">
        <v>2241</v>
      </c>
      <c r="B752" s="12">
        <f t="shared" si="33"/>
        <v>46238.580167893517</v>
      </c>
      <c r="C752" s="13">
        <v>46238.580167893517</v>
      </c>
      <c r="D752" s="2" t="s">
        <v>2242</v>
      </c>
      <c r="E752" s="2" t="str">
        <f t="shared" si="35"/>
        <v>Email Available</v>
      </c>
      <c r="F752" s="2" t="s">
        <v>2243</v>
      </c>
      <c r="G752" s="2" t="s">
        <v>206</v>
      </c>
      <c r="H752" s="2" t="s">
        <v>196</v>
      </c>
      <c r="I752" s="2" t="s">
        <v>207</v>
      </c>
      <c r="J752" s="2">
        <v>1</v>
      </c>
      <c r="K752" s="2">
        <v>24.99</v>
      </c>
      <c r="L752" s="2"/>
      <c r="M752" s="2">
        <v>0</v>
      </c>
      <c r="N752" s="2">
        <v>4.99</v>
      </c>
      <c r="O752" s="2" t="s">
        <v>2244</v>
      </c>
      <c r="P752" s="2" t="s">
        <v>51</v>
      </c>
      <c r="Q752" s="2" t="s">
        <v>28</v>
      </c>
      <c r="R752" s="2" t="s">
        <v>52</v>
      </c>
      <c r="S752" s="2" t="s">
        <v>108</v>
      </c>
      <c r="T752" s="2"/>
      <c r="U752" s="2" t="str">
        <f t="shared" si="34"/>
        <v>Not Required</v>
      </c>
      <c r="V752" s="2" t="s">
        <v>2245</v>
      </c>
    </row>
    <row r="753" spans="1:22" hidden="1" x14ac:dyDescent="0.3">
      <c r="A753" s="2" t="s">
        <v>2246</v>
      </c>
      <c r="B753" s="12">
        <f t="shared" si="33"/>
        <v>46238</v>
      </c>
      <c r="C753" s="13" t="s">
        <v>2075</v>
      </c>
      <c r="D753" s="2" t="s">
        <v>733</v>
      </c>
      <c r="E753" s="2" t="str">
        <f t="shared" si="35"/>
        <v>Email Available</v>
      </c>
      <c r="F753" s="2" t="s">
        <v>734</v>
      </c>
      <c r="G753" s="2" t="s">
        <v>226</v>
      </c>
      <c r="H753" s="2" t="s">
        <v>23</v>
      </c>
      <c r="I753" s="2" t="s">
        <v>227</v>
      </c>
      <c r="J753" s="2">
        <v>1</v>
      </c>
      <c r="K753" s="2">
        <v>17.989999999999998</v>
      </c>
      <c r="L753" s="2" t="s">
        <v>208</v>
      </c>
      <c r="M753" s="2">
        <v>2.7</v>
      </c>
      <c r="N753" s="2">
        <v>7.99</v>
      </c>
      <c r="O753" s="2">
        <v>23.28</v>
      </c>
      <c r="P753" s="2" t="s">
        <v>74</v>
      </c>
      <c r="Q753" s="2" t="s">
        <v>28</v>
      </c>
      <c r="R753" s="2" t="s">
        <v>52</v>
      </c>
      <c r="S753" s="2" t="s">
        <v>108</v>
      </c>
      <c r="T753" s="2"/>
      <c r="U753" s="2" t="str">
        <f t="shared" si="34"/>
        <v>Not Required</v>
      </c>
      <c r="V753" s="2" t="s">
        <v>2247</v>
      </c>
    </row>
    <row r="754" spans="1:22" hidden="1" x14ac:dyDescent="0.3">
      <c r="A754" s="2" t="s">
        <v>2248</v>
      </c>
      <c r="B754" s="12">
        <f t="shared" si="33"/>
        <v>46238.583543310182</v>
      </c>
      <c r="C754" s="13">
        <v>46238.583543310182</v>
      </c>
      <c r="D754" s="2" t="s">
        <v>900</v>
      </c>
      <c r="E754" s="2" t="str">
        <f t="shared" si="35"/>
        <v>Email Available</v>
      </c>
      <c r="F754" s="2" t="s">
        <v>901</v>
      </c>
      <c r="G754" s="2" t="s">
        <v>65</v>
      </c>
      <c r="H754" s="2" t="s">
        <v>49</v>
      </c>
      <c r="I754" s="2" t="s">
        <v>453</v>
      </c>
      <c r="J754" s="2">
        <v>1</v>
      </c>
      <c r="K754" s="2">
        <v>14.99</v>
      </c>
      <c r="L754" s="2"/>
      <c r="M754" s="2">
        <v>0</v>
      </c>
      <c r="N754" s="2">
        <v>4.99</v>
      </c>
      <c r="O754" s="2">
        <v>19.98</v>
      </c>
      <c r="P754" s="2" t="s">
        <v>68</v>
      </c>
      <c r="Q754" s="2" t="s">
        <v>28</v>
      </c>
      <c r="R754" s="2" t="s">
        <v>42</v>
      </c>
      <c r="S754" s="2" t="s">
        <v>30</v>
      </c>
      <c r="T754" s="2" t="s">
        <v>347</v>
      </c>
      <c r="U754" s="2" t="str">
        <f t="shared" si="34"/>
        <v>Valid</v>
      </c>
      <c r="V754" s="2" t="s">
        <v>2249</v>
      </c>
    </row>
    <row r="755" spans="1:22" hidden="1" x14ac:dyDescent="0.3">
      <c r="A755" s="2" t="s">
        <v>2250</v>
      </c>
      <c r="B755" s="12">
        <f t="shared" si="33"/>
        <v>46238.579955231478</v>
      </c>
      <c r="C755" s="13">
        <v>46238.579955231478</v>
      </c>
      <c r="D755" s="2" t="s">
        <v>466</v>
      </c>
      <c r="E755" s="2" t="str">
        <f t="shared" si="35"/>
        <v>Email Available</v>
      </c>
      <c r="F755" s="2" t="s">
        <v>467</v>
      </c>
      <c r="G755" s="2" t="s">
        <v>65</v>
      </c>
      <c r="H755" s="2" t="s">
        <v>49</v>
      </c>
      <c r="I755" s="2" t="s">
        <v>66</v>
      </c>
      <c r="J755" s="2">
        <v>1</v>
      </c>
      <c r="K755" s="2">
        <v>14.99</v>
      </c>
      <c r="L755" s="2" t="s">
        <v>67</v>
      </c>
      <c r="M755" s="2">
        <v>1.5</v>
      </c>
      <c r="N755" s="2">
        <v>4.99</v>
      </c>
      <c r="O755" s="2">
        <v>18.48</v>
      </c>
      <c r="P755" s="2" t="s">
        <v>27</v>
      </c>
      <c r="Q755" s="2" t="s">
        <v>28</v>
      </c>
      <c r="R755" s="2" t="s">
        <v>52</v>
      </c>
      <c r="S755" s="2" t="s">
        <v>228</v>
      </c>
      <c r="T755" s="2"/>
      <c r="U755" s="2" t="str">
        <f t="shared" si="34"/>
        <v>Not Required</v>
      </c>
      <c r="V755" s="2" t="s">
        <v>2251</v>
      </c>
    </row>
    <row r="756" spans="1:22" hidden="1" x14ac:dyDescent="0.3">
      <c r="A756" s="2" t="s">
        <v>2252</v>
      </c>
      <c r="B756" s="12">
        <f t="shared" si="33"/>
        <v>46238.585956087962</v>
      </c>
      <c r="C756" s="13">
        <v>46238.585956087962</v>
      </c>
      <c r="D756" s="2" t="s">
        <v>169</v>
      </c>
      <c r="E756" s="2" t="str">
        <f t="shared" si="35"/>
        <v>Email Available</v>
      </c>
      <c r="F756" s="2" t="s">
        <v>170</v>
      </c>
      <c r="G756" s="2" t="s">
        <v>133</v>
      </c>
      <c r="H756" s="2" t="s">
        <v>106</v>
      </c>
      <c r="I756" s="2" t="s">
        <v>134</v>
      </c>
      <c r="J756" s="2">
        <v>1</v>
      </c>
      <c r="K756" s="2" t="s">
        <v>999</v>
      </c>
      <c r="L756" s="2"/>
      <c r="M756" s="2">
        <v>0</v>
      </c>
      <c r="N756" s="2">
        <v>7.99</v>
      </c>
      <c r="O756" s="2" t="s">
        <v>954</v>
      </c>
      <c r="P756" s="2" t="s">
        <v>74</v>
      </c>
      <c r="Q756" s="2" t="s">
        <v>90</v>
      </c>
      <c r="R756" s="2" t="s">
        <v>99</v>
      </c>
      <c r="S756" s="2" t="s">
        <v>108</v>
      </c>
      <c r="T756" s="2"/>
      <c r="U756" s="2" t="str">
        <f t="shared" si="34"/>
        <v>Not Required</v>
      </c>
      <c r="V756" s="2" t="s">
        <v>2253</v>
      </c>
    </row>
    <row r="757" spans="1:22" hidden="1" x14ac:dyDescent="0.3">
      <c r="A757" s="2" t="s">
        <v>2254</v>
      </c>
      <c r="B757" s="12">
        <f t="shared" si="33"/>
        <v>46238.578990428243</v>
      </c>
      <c r="C757" s="13">
        <v>46238.578990428243</v>
      </c>
      <c r="D757" s="2" t="s">
        <v>20</v>
      </c>
      <c r="E757" s="2" t="str">
        <f t="shared" si="35"/>
        <v>Email Available</v>
      </c>
      <c r="F757" s="2" t="s">
        <v>21</v>
      </c>
      <c r="G757" s="2" t="s">
        <v>80</v>
      </c>
      <c r="H757" s="2" t="s">
        <v>81</v>
      </c>
      <c r="I757" s="2" t="s">
        <v>82</v>
      </c>
      <c r="J757" s="2">
        <v>3</v>
      </c>
      <c r="K757" s="2">
        <v>89.99</v>
      </c>
      <c r="L757" s="2"/>
      <c r="M757" s="2">
        <v>0</v>
      </c>
      <c r="N757" s="2">
        <v>0</v>
      </c>
      <c r="O757" s="2">
        <v>269.97000000000003</v>
      </c>
      <c r="P757" s="2" t="s">
        <v>27</v>
      </c>
      <c r="Q757" s="2" t="s">
        <v>90</v>
      </c>
      <c r="R757" s="2" t="s">
        <v>99</v>
      </c>
      <c r="S757" s="2" t="s">
        <v>30</v>
      </c>
      <c r="T757" s="2" t="s">
        <v>69</v>
      </c>
      <c r="U757" s="2" t="str">
        <f t="shared" si="34"/>
        <v>Valid</v>
      </c>
      <c r="V757" s="2" t="s">
        <v>2255</v>
      </c>
    </row>
    <row r="758" spans="1:22" hidden="1" x14ac:dyDescent="0.3">
      <c r="A758" s="2" t="s">
        <v>2256</v>
      </c>
      <c r="B758" s="12">
        <f t="shared" si="33"/>
        <v>46238.583692627311</v>
      </c>
      <c r="C758" s="13">
        <v>46238.583692627311</v>
      </c>
      <c r="D758" s="2" t="s">
        <v>825</v>
      </c>
      <c r="E758" s="2" t="str">
        <f t="shared" si="35"/>
        <v>Email Available</v>
      </c>
      <c r="F758" s="2" t="s">
        <v>826</v>
      </c>
      <c r="G758" s="2" t="s">
        <v>226</v>
      </c>
      <c r="H758" s="2" t="s">
        <v>23</v>
      </c>
      <c r="I758" s="2" t="s">
        <v>227</v>
      </c>
      <c r="J758" s="2">
        <v>1</v>
      </c>
      <c r="K758" s="2">
        <v>17.989999999999998</v>
      </c>
      <c r="L758" s="2" t="s">
        <v>121</v>
      </c>
      <c r="M758" s="2">
        <v>4.5</v>
      </c>
      <c r="N758" s="2">
        <v>4.99</v>
      </c>
      <c r="O758" s="2">
        <v>18.48</v>
      </c>
      <c r="P758" s="2" t="s">
        <v>27</v>
      </c>
      <c r="Q758" s="2" t="s">
        <v>28</v>
      </c>
      <c r="R758" s="2" t="s">
        <v>52</v>
      </c>
      <c r="S758" s="2" t="s">
        <v>75</v>
      </c>
      <c r="T758" s="2"/>
      <c r="U758" s="2" t="str">
        <f t="shared" si="34"/>
        <v>Not Required</v>
      </c>
      <c r="V758" s="2" t="s">
        <v>1288</v>
      </c>
    </row>
    <row r="759" spans="1:22" hidden="1" x14ac:dyDescent="0.3">
      <c r="A759" s="2" t="s">
        <v>2257</v>
      </c>
      <c r="B759" s="12">
        <f t="shared" si="33"/>
        <v>46238.587190312501</v>
      </c>
      <c r="C759" s="13">
        <v>46238.587190312501</v>
      </c>
      <c r="D759" s="2" t="s">
        <v>2258</v>
      </c>
      <c r="E759" s="2" t="str">
        <f t="shared" si="35"/>
        <v>Email Available</v>
      </c>
      <c r="F759" s="2" t="s">
        <v>671</v>
      </c>
      <c r="G759" s="2" t="s">
        <v>226</v>
      </c>
      <c r="H759" s="2" t="s">
        <v>23</v>
      </c>
      <c r="I759" s="2" t="s">
        <v>227</v>
      </c>
      <c r="J759" s="2">
        <v>1</v>
      </c>
      <c r="K759" s="2">
        <v>17.989999999999998</v>
      </c>
      <c r="L759" s="2" t="s">
        <v>121</v>
      </c>
      <c r="M759" s="2">
        <v>4.5</v>
      </c>
      <c r="N759" s="2">
        <v>7.99</v>
      </c>
      <c r="O759" s="2">
        <v>21.48</v>
      </c>
      <c r="P759" s="2" t="s">
        <v>68</v>
      </c>
      <c r="Q759" s="2" t="s">
        <v>41</v>
      </c>
      <c r="R759" s="2" t="s">
        <v>99</v>
      </c>
      <c r="S759" s="2" t="s">
        <v>337</v>
      </c>
      <c r="T759" s="2"/>
      <c r="U759" s="2" t="str">
        <f t="shared" si="34"/>
        <v>Not Required</v>
      </c>
      <c r="V759" s="2" t="s">
        <v>2259</v>
      </c>
    </row>
    <row r="760" spans="1:22" hidden="1" x14ac:dyDescent="0.3">
      <c r="A760" s="2" t="s">
        <v>2260</v>
      </c>
      <c r="B760" s="12">
        <f t="shared" si="33"/>
        <v>46238.585639340279</v>
      </c>
      <c r="C760" s="13">
        <v>46238.585639340279</v>
      </c>
      <c r="D760" s="2" t="s">
        <v>2261</v>
      </c>
      <c r="E760" s="2" t="str">
        <f t="shared" si="35"/>
        <v>Email Available</v>
      </c>
      <c r="F760" s="2" t="s">
        <v>2262</v>
      </c>
      <c r="G760" s="2" t="s">
        <v>80</v>
      </c>
      <c r="H760" s="2" t="s">
        <v>81</v>
      </c>
      <c r="I760" s="2" t="s">
        <v>82</v>
      </c>
      <c r="J760" s="2">
        <v>1</v>
      </c>
      <c r="K760" s="2">
        <v>89.99</v>
      </c>
      <c r="L760" s="2" t="s">
        <v>39</v>
      </c>
      <c r="M760" s="2" t="s">
        <v>189</v>
      </c>
      <c r="N760" s="2">
        <v>0</v>
      </c>
      <c r="O760" s="2">
        <v>89.99</v>
      </c>
      <c r="P760" s="2" t="s">
        <v>68</v>
      </c>
      <c r="Q760" s="2" t="s">
        <v>90</v>
      </c>
      <c r="R760" s="2" t="s">
        <v>52</v>
      </c>
      <c r="S760" s="2" t="s">
        <v>75</v>
      </c>
      <c r="T760" s="2"/>
      <c r="U760" s="2" t="str">
        <f t="shared" si="34"/>
        <v>Not Required</v>
      </c>
      <c r="V760" s="2" t="s">
        <v>2263</v>
      </c>
    </row>
    <row r="761" spans="1:22" hidden="1" x14ac:dyDescent="0.3">
      <c r="A761" s="2" t="s">
        <v>2264</v>
      </c>
      <c r="B761" s="12">
        <f t="shared" si="33"/>
        <v>46238.582983125001</v>
      </c>
      <c r="C761" s="13">
        <v>46238.582983125001</v>
      </c>
      <c r="D761" s="2" t="s">
        <v>637</v>
      </c>
      <c r="E761" s="2" t="str">
        <f t="shared" si="35"/>
        <v>Email Available</v>
      </c>
      <c r="F761" s="2" t="s">
        <v>638</v>
      </c>
      <c r="G761" s="2" t="s">
        <v>80</v>
      </c>
      <c r="H761" s="2" t="s">
        <v>81</v>
      </c>
      <c r="I761" s="2" t="s">
        <v>82</v>
      </c>
      <c r="J761" s="2">
        <v>2</v>
      </c>
      <c r="K761" s="2">
        <v>89.99</v>
      </c>
      <c r="L761" s="2" t="s">
        <v>121</v>
      </c>
      <c r="M761" s="2">
        <v>44.99</v>
      </c>
      <c r="N761" s="2">
        <v>0</v>
      </c>
      <c r="O761" s="2">
        <v>134.99</v>
      </c>
      <c r="P761" s="2" t="s">
        <v>40</v>
      </c>
      <c r="Q761" s="2" t="s">
        <v>90</v>
      </c>
      <c r="R761" s="2" t="s">
        <v>42</v>
      </c>
      <c r="S761" s="2" t="s">
        <v>30</v>
      </c>
      <c r="T761" s="2" t="s">
        <v>53</v>
      </c>
      <c r="U761" s="2" t="str">
        <f t="shared" si="34"/>
        <v>Valid</v>
      </c>
      <c r="V761" s="2" t="s">
        <v>2265</v>
      </c>
    </row>
    <row r="762" spans="1:22" hidden="1" x14ac:dyDescent="0.3">
      <c r="A762" s="2" t="s">
        <v>2266</v>
      </c>
      <c r="B762" s="12">
        <f t="shared" si="33"/>
        <v>46238.587768888887</v>
      </c>
      <c r="C762" s="13">
        <v>46238.587768888887</v>
      </c>
      <c r="D762" s="2" t="s">
        <v>1085</v>
      </c>
      <c r="E762" s="2" t="str">
        <f t="shared" si="35"/>
        <v>Email Available</v>
      </c>
      <c r="F762" s="2" t="s">
        <v>1086</v>
      </c>
      <c r="G762" s="2" t="s">
        <v>315</v>
      </c>
      <c r="H762" s="2" t="s">
        <v>37</v>
      </c>
      <c r="I762" s="2" t="s">
        <v>316</v>
      </c>
      <c r="J762" s="2">
        <v>2</v>
      </c>
      <c r="K762" s="2" t="s">
        <v>2267</v>
      </c>
      <c r="L762" s="2" t="s">
        <v>121</v>
      </c>
      <c r="M762" s="2">
        <v>4.5</v>
      </c>
      <c r="N762" s="2">
        <v>5.99</v>
      </c>
      <c r="O762" s="2">
        <v>19.47</v>
      </c>
      <c r="P762" s="2" t="s">
        <v>51</v>
      </c>
      <c r="Q762" s="2" t="s">
        <v>28</v>
      </c>
      <c r="R762" s="2" t="s">
        <v>52</v>
      </c>
      <c r="S762" s="2" t="s">
        <v>108</v>
      </c>
      <c r="T762" s="2"/>
      <c r="U762" s="2" t="str">
        <f t="shared" si="34"/>
        <v>Not Required</v>
      </c>
      <c r="V762" s="2" t="s">
        <v>2268</v>
      </c>
    </row>
    <row r="763" spans="1:22" hidden="1" x14ac:dyDescent="0.3">
      <c r="A763" s="2" t="s">
        <v>2269</v>
      </c>
      <c r="B763" s="12">
        <f t="shared" si="33"/>
        <v>46238.583514351849</v>
      </c>
      <c r="C763" s="13">
        <v>46238.583514351849</v>
      </c>
      <c r="D763" s="2" t="s">
        <v>2270</v>
      </c>
      <c r="E763" s="2" t="str">
        <f t="shared" si="35"/>
        <v>Email Available</v>
      </c>
      <c r="F763" s="2" t="s">
        <v>2271</v>
      </c>
      <c r="G763" s="2" t="s">
        <v>315</v>
      </c>
      <c r="H763" s="2" t="s">
        <v>37</v>
      </c>
      <c r="I763" s="2" t="s">
        <v>316</v>
      </c>
      <c r="J763" s="2">
        <v>1</v>
      </c>
      <c r="K763" s="2">
        <v>8.99</v>
      </c>
      <c r="L763" s="2" t="s">
        <v>25</v>
      </c>
      <c r="M763" s="2">
        <v>1.8</v>
      </c>
      <c r="N763" s="2">
        <v>4.99</v>
      </c>
      <c r="O763" s="2">
        <v>12.18</v>
      </c>
      <c r="P763" s="2" t="s">
        <v>51</v>
      </c>
      <c r="Q763" s="2" t="s">
        <v>90</v>
      </c>
      <c r="R763" s="2" t="s">
        <v>52</v>
      </c>
      <c r="S763" s="2" t="s">
        <v>228</v>
      </c>
      <c r="T763" s="2"/>
      <c r="U763" s="2" t="str">
        <f t="shared" si="34"/>
        <v>Not Required</v>
      </c>
      <c r="V763" s="2" t="s">
        <v>2272</v>
      </c>
    </row>
    <row r="764" spans="1:22" hidden="1" x14ac:dyDescent="0.3">
      <c r="A764" s="2" t="s">
        <v>2273</v>
      </c>
      <c r="B764" s="12">
        <f t="shared" si="33"/>
        <v>46238.58194851852</v>
      </c>
      <c r="C764" s="13">
        <v>46238.58194851852</v>
      </c>
      <c r="D764" s="2" t="s">
        <v>1732</v>
      </c>
      <c r="E764" s="2" t="str">
        <f t="shared" si="35"/>
        <v>Email Available</v>
      </c>
      <c r="F764" s="2" t="s">
        <v>1733</v>
      </c>
      <c r="G764" s="2" t="s">
        <v>65</v>
      </c>
      <c r="H764" s="2" t="s">
        <v>49</v>
      </c>
      <c r="I764" s="2" t="s">
        <v>453</v>
      </c>
      <c r="J764" s="2">
        <v>1</v>
      </c>
      <c r="K764" s="2">
        <v>14.99</v>
      </c>
      <c r="L764" s="2" t="s">
        <v>25</v>
      </c>
      <c r="M764" s="2">
        <v>3</v>
      </c>
      <c r="N764" s="2">
        <v>4.99</v>
      </c>
      <c r="O764" s="2">
        <v>16.98</v>
      </c>
      <c r="P764" s="2" t="s">
        <v>51</v>
      </c>
      <c r="Q764" s="2" t="s">
        <v>114</v>
      </c>
      <c r="R764" s="2" t="s">
        <v>42</v>
      </c>
      <c r="S764" s="2" t="s">
        <v>337</v>
      </c>
      <c r="T764" s="2"/>
      <c r="U764" s="2" t="str">
        <f t="shared" si="34"/>
        <v>Not Required</v>
      </c>
      <c r="V764" s="2" t="s">
        <v>2274</v>
      </c>
    </row>
    <row r="765" spans="1:22" hidden="1" x14ac:dyDescent="0.3">
      <c r="A765" s="2" t="s">
        <v>2275</v>
      </c>
      <c r="B765" s="12">
        <f t="shared" si="33"/>
        <v>46238</v>
      </c>
      <c r="C765" s="13" t="s">
        <v>1209</v>
      </c>
      <c r="D765" s="2" t="s">
        <v>1424</v>
      </c>
      <c r="E765" s="2" t="str">
        <f t="shared" si="35"/>
        <v>Email Available</v>
      </c>
      <c r="F765" s="2" t="s">
        <v>1425</v>
      </c>
      <c r="G765" s="2" t="s">
        <v>48</v>
      </c>
      <c r="H765" s="2" t="s">
        <v>49</v>
      </c>
      <c r="I765" s="2" t="s">
        <v>50</v>
      </c>
      <c r="J765" s="2">
        <v>2</v>
      </c>
      <c r="K765" s="2">
        <v>39.99</v>
      </c>
      <c r="L765" s="2"/>
      <c r="M765" s="2">
        <v>0</v>
      </c>
      <c r="N765" s="2">
        <v>0</v>
      </c>
      <c r="O765" s="2" t="s">
        <v>2276</v>
      </c>
      <c r="P765" s="2" t="s">
        <v>27</v>
      </c>
      <c r="Q765" s="2" t="s">
        <v>41</v>
      </c>
      <c r="R765" s="2" t="s">
        <v>99</v>
      </c>
      <c r="S765" s="2" t="s">
        <v>30</v>
      </c>
      <c r="T765" s="2" t="s">
        <v>91</v>
      </c>
      <c r="U765" s="2" t="str">
        <f t="shared" si="34"/>
        <v>Valid</v>
      </c>
      <c r="V765" s="2" t="s">
        <v>2277</v>
      </c>
    </row>
    <row r="766" spans="1:22" hidden="1" x14ac:dyDescent="0.3">
      <c r="A766" s="2" t="s">
        <v>2278</v>
      </c>
      <c r="B766" s="12">
        <f t="shared" si="33"/>
        <v>46238.581961562501</v>
      </c>
      <c r="C766" s="13">
        <v>46238.581961562501</v>
      </c>
      <c r="D766" s="2" t="s">
        <v>1362</v>
      </c>
      <c r="E766" s="2" t="str">
        <f t="shared" si="35"/>
        <v>Email Available</v>
      </c>
      <c r="F766" s="2" t="s">
        <v>1363</v>
      </c>
      <c r="G766" s="2" t="s">
        <v>48</v>
      </c>
      <c r="H766" s="2" t="s">
        <v>49</v>
      </c>
      <c r="I766" s="2" t="s">
        <v>50</v>
      </c>
      <c r="J766" s="2">
        <v>2</v>
      </c>
      <c r="K766" s="2">
        <v>39.99</v>
      </c>
      <c r="L766" s="2"/>
      <c r="M766" s="2">
        <v>0</v>
      </c>
      <c r="N766" s="2">
        <v>0</v>
      </c>
      <c r="O766" s="2">
        <v>79.98</v>
      </c>
      <c r="P766" s="2" t="s">
        <v>74</v>
      </c>
      <c r="Q766" s="2" t="s">
        <v>28</v>
      </c>
      <c r="R766" s="2" t="s">
        <v>52</v>
      </c>
      <c r="S766" s="2" t="s">
        <v>30</v>
      </c>
      <c r="T766" s="2" t="s">
        <v>115</v>
      </c>
      <c r="U766" s="2" t="str">
        <f t="shared" si="34"/>
        <v>Valid</v>
      </c>
      <c r="V766" s="2" t="s">
        <v>2279</v>
      </c>
    </row>
    <row r="767" spans="1:22" hidden="1" x14ac:dyDescent="0.3">
      <c r="A767" s="2" t="s">
        <v>2280</v>
      </c>
      <c r="B767" s="12">
        <f t="shared" ref="B767:B828" si="36">IF(ISNUMBER(C767),C767,DATEVALUE(SUBSTITUTE(TRIM(C767),CHAR(160)," ")))</f>
        <v>46238.586919120367</v>
      </c>
      <c r="C767" s="13">
        <v>46238.586919120367</v>
      </c>
      <c r="D767" s="2" t="s">
        <v>424</v>
      </c>
      <c r="E767" s="2" t="str">
        <f t="shared" si="35"/>
        <v>Email Available</v>
      </c>
      <c r="F767" s="2" t="s">
        <v>425</v>
      </c>
      <c r="G767" s="2" t="s">
        <v>241</v>
      </c>
      <c r="H767" s="2" t="s">
        <v>242</v>
      </c>
      <c r="I767" s="2" t="s">
        <v>243</v>
      </c>
      <c r="J767" s="2">
        <v>2</v>
      </c>
      <c r="K767" s="2">
        <v>27.99</v>
      </c>
      <c r="L767" s="2" t="s">
        <v>25</v>
      </c>
      <c r="M767" s="2">
        <v>11.2</v>
      </c>
      <c r="N767" s="2">
        <v>7.99</v>
      </c>
      <c r="O767" s="2">
        <v>52.77</v>
      </c>
      <c r="P767" s="2" t="s">
        <v>51</v>
      </c>
      <c r="Q767" s="2" t="s">
        <v>28</v>
      </c>
      <c r="R767" s="2" t="s">
        <v>42</v>
      </c>
      <c r="S767" s="2" t="s">
        <v>30</v>
      </c>
      <c r="T767" s="2" t="s">
        <v>939</v>
      </c>
      <c r="U767" s="2" t="str">
        <f t="shared" ref="U767:U828" si="37">IF(AND(S767="United States",T767=""),"Missing state",IF(T767="","Not Required","Valid"))</f>
        <v>Valid</v>
      </c>
      <c r="V767" s="2" t="s">
        <v>2281</v>
      </c>
    </row>
    <row r="768" spans="1:22" hidden="1" x14ac:dyDescent="0.3">
      <c r="A768" s="2" t="s">
        <v>2282</v>
      </c>
      <c r="B768" s="12">
        <f t="shared" si="36"/>
        <v>46238</v>
      </c>
      <c r="C768" s="13" t="s">
        <v>148</v>
      </c>
      <c r="D768" s="2" t="s">
        <v>681</v>
      </c>
      <c r="E768" s="2" t="str">
        <f t="shared" si="35"/>
        <v>Email Available</v>
      </c>
      <c r="F768" s="2" t="s">
        <v>682</v>
      </c>
      <c r="G768" s="2" t="s">
        <v>368</v>
      </c>
      <c r="H768" s="2" t="s">
        <v>88</v>
      </c>
      <c r="I768" s="2" t="s">
        <v>369</v>
      </c>
      <c r="J768" s="2">
        <v>1</v>
      </c>
      <c r="K768" s="2">
        <v>54.99</v>
      </c>
      <c r="L768" s="2"/>
      <c r="M768" s="2">
        <v>0</v>
      </c>
      <c r="N768" s="2">
        <v>7.99</v>
      </c>
      <c r="O768" s="2">
        <v>62.98</v>
      </c>
      <c r="P768" s="2" t="s">
        <v>68</v>
      </c>
      <c r="Q768" s="2" t="s">
        <v>28</v>
      </c>
      <c r="R768" s="2" t="s">
        <v>52</v>
      </c>
      <c r="S768" s="2" t="s">
        <v>75</v>
      </c>
      <c r="T768" s="2"/>
      <c r="U768" s="2" t="str">
        <f t="shared" si="37"/>
        <v>Not Required</v>
      </c>
      <c r="V768" s="2" t="s">
        <v>2283</v>
      </c>
    </row>
    <row r="769" spans="1:22" hidden="1" x14ac:dyDescent="0.3">
      <c r="A769" s="2" t="s">
        <v>2284</v>
      </c>
      <c r="B769" s="12">
        <f t="shared" si="36"/>
        <v>46238.587588043978</v>
      </c>
      <c r="C769" s="13">
        <v>46238.587588043978</v>
      </c>
      <c r="D769" s="2" t="s">
        <v>1471</v>
      </c>
      <c r="E769" s="2" t="str">
        <f t="shared" si="35"/>
        <v>Email Available</v>
      </c>
      <c r="F769" s="2" t="s">
        <v>1472</v>
      </c>
      <c r="G769" s="2" t="s">
        <v>157</v>
      </c>
      <c r="H769" s="2" t="s">
        <v>37</v>
      </c>
      <c r="I769" s="2" t="s">
        <v>158</v>
      </c>
      <c r="J769" s="2">
        <v>1</v>
      </c>
      <c r="K769" s="2">
        <v>29.99</v>
      </c>
      <c r="L769" s="2" t="s">
        <v>208</v>
      </c>
      <c r="M769" s="2">
        <v>4.5</v>
      </c>
      <c r="N769" s="2">
        <v>4.99</v>
      </c>
      <c r="O769" s="2">
        <v>30.48</v>
      </c>
      <c r="P769" s="2" t="s">
        <v>68</v>
      </c>
      <c r="Q769" s="2" t="s">
        <v>41</v>
      </c>
      <c r="R769" s="2" t="s">
        <v>52</v>
      </c>
      <c r="S769" s="2" t="s">
        <v>30</v>
      </c>
      <c r="T769" s="2" t="s">
        <v>294</v>
      </c>
      <c r="U769" s="2" t="str">
        <f t="shared" si="37"/>
        <v>Valid</v>
      </c>
      <c r="V769" s="2" t="s">
        <v>2285</v>
      </c>
    </row>
    <row r="770" spans="1:22" hidden="1" x14ac:dyDescent="0.3">
      <c r="A770" s="2" t="s">
        <v>2286</v>
      </c>
      <c r="B770" s="12">
        <f t="shared" si="36"/>
        <v>46238.580057418978</v>
      </c>
      <c r="C770" s="13">
        <v>46238.580057418978</v>
      </c>
      <c r="D770" s="2" t="s">
        <v>1020</v>
      </c>
      <c r="E770" s="2" t="str">
        <f t="shared" si="35"/>
        <v>Email Available</v>
      </c>
      <c r="F770" s="2" t="s">
        <v>1021</v>
      </c>
      <c r="G770" s="2" t="s">
        <v>112</v>
      </c>
      <c r="H770" s="2" t="s">
        <v>81</v>
      </c>
      <c r="I770" s="2" t="s">
        <v>113</v>
      </c>
      <c r="J770" s="2">
        <v>1</v>
      </c>
      <c r="K770" s="2">
        <v>22.99</v>
      </c>
      <c r="L770" s="2"/>
      <c r="M770" s="2">
        <v>0</v>
      </c>
      <c r="N770" s="2">
        <v>4.99</v>
      </c>
      <c r="O770" s="2">
        <v>27.98</v>
      </c>
      <c r="P770" s="2" t="s">
        <v>51</v>
      </c>
      <c r="Q770" s="2" t="s">
        <v>28</v>
      </c>
      <c r="R770" s="2" t="s">
        <v>99</v>
      </c>
      <c r="S770" s="2" t="s">
        <v>30</v>
      </c>
      <c r="T770" s="2" t="s">
        <v>454</v>
      </c>
      <c r="U770" s="2" t="str">
        <f t="shared" si="37"/>
        <v>Valid</v>
      </c>
      <c r="V770" s="2" t="s">
        <v>2287</v>
      </c>
    </row>
    <row r="771" spans="1:22" hidden="1" x14ac:dyDescent="0.3">
      <c r="A771" s="2" t="s">
        <v>2288</v>
      </c>
      <c r="B771" s="12">
        <f t="shared" si="36"/>
        <v>46238.579489629628</v>
      </c>
      <c r="C771" s="13">
        <v>46238.579489629628</v>
      </c>
      <c r="D771" s="2" t="s">
        <v>614</v>
      </c>
      <c r="E771" s="2" t="str">
        <f t="shared" ref="E771:E834" si="38">IF(TRIM(F771)="","Missing Email","Email Available")</f>
        <v>Email Available</v>
      </c>
      <c r="F771" s="2" t="s">
        <v>615</v>
      </c>
      <c r="G771" s="2" t="s">
        <v>2289</v>
      </c>
      <c r="H771" s="2" t="s">
        <v>106</v>
      </c>
      <c r="I771" s="2" t="s">
        <v>172</v>
      </c>
      <c r="J771" s="2">
        <v>2</v>
      </c>
      <c r="K771" s="2" t="s">
        <v>173</v>
      </c>
      <c r="L771" s="2"/>
      <c r="M771" s="2">
        <v>0</v>
      </c>
      <c r="N771" s="2">
        <v>4.99</v>
      </c>
      <c r="O771" s="2">
        <v>70.97</v>
      </c>
      <c r="P771" s="2" t="s">
        <v>27</v>
      </c>
      <c r="Q771" s="2" t="s">
        <v>41</v>
      </c>
      <c r="R771" s="2" t="s">
        <v>52</v>
      </c>
      <c r="S771" s="2" t="s">
        <v>43</v>
      </c>
      <c r="T771" s="2"/>
      <c r="U771" s="2" t="str">
        <f t="shared" si="37"/>
        <v>Not Required</v>
      </c>
      <c r="V771" s="2" t="s">
        <v>2290</v>
      </c>
    </row>
    <row r="772" spans="1:22" hidden="1" x14ac:dyDescent="0.3">
      <c r="A772" s="2" t="s">
        <v>2291</v>
      </c>
      <c r="B772" s="12">
        <f t="shared" si="36"/>
        <v>46238.579172835649</v>
      </c>
      <c r="C772" s="13">
        <v>46238.579172835649</v>
      </c>
      <c r="D772" s="2"/>
      <c r="E772" s="2" t="str">
        <f t="shared" si="38"/>
        <v>Email Available</v>
      </c>
      <c r="F772" s="2" t="s">
        <v>2292</v>
      </c>
      <c r="G772" s="2" t="s">
        <v>133</v>
      </c>
      <c r="H772" s="2" t="s">
        <v>106</v>
      </c>
      <c r="I772" s="2" t="s">
        <v>134</v>
      </c>
      <c r="J772" s="2">
        <v>1</v>
      </c>
      <c r="K772" s="2">
        <v>16.989999999999998</v>
      </c>
      <c r="L772" s="2"/>
      <c r="M772" s="2">
        <v>0</v>
      </c>
      <c r="N772" s="2">
        <v>7.99</v>
      </c>
      <c r="O772" s="2">
        <v>24.98</v>
      </c>
      <c r="P772" s="2" t="s">
        <v>68</v>
      </c>
      <c r="Q772" s="2" t="s">
        <v>28</v>
      </c>
      <c r="R772" s="2" t="s">
        <v>29</v>
      </c>
      <c r="S772" s="2" t="s">
        <v>228</v>
      </c>
      <c r="T772" s="2"/>
      <c r="U772" s="2" t="str">
        <f t="shared" si="37"/>
        <v>Not Required</v>
      </c>
      <c r="V772" s="2" t="s">
        <v>1452</v>
      </c>
    </row>
    <row r="773" spans="1:22" hidden="1" x14ac:dyDescent="0.3">
      <c r="A773" s="2" t="s">
        <v>2293</v>
      </c>
      <c r="B773" s="12">
        <f t="shared" si="36"/>
        <v>46238.581471296297</v>
      </c>
      <c r="C773" s="13">
        <v>46238.581471296297</v>
      </c>
      <c r="D773" s="2" t="s">
        <v>2294</v>
      </c>
      <c r="E773" s="2" t="str">
        <f t="shared" si="38"/>
        <v>Email Available</v>
      </c>
      <c r="F773" s="2" t="s">
        <v>2295</v>
      </c>
      <c r="G773" s="2" t="s">
        <v>105</v>
      </c>
      <c r="H773" s="2" t="s">
        <v>106</v>
      </c>
      <c r="I773" s="2" t="s">
        <v>107</v>
      </c>
      <c r="J773" s="2">
        <v>1</v>
      </c>
      <c r="K773" s="2">
        <v>19.989999999999998</v>
      </c>
      <c r="L773" s="2" t="s">
        <v>39</v>
      </c>
      <c r="M773" s="2">
        <v>0</v>
      </c>
      <c r="N773" s="2">
        <v>0</v>
      </c>
      <c r="O773" s="2">
        <v>19.989999999999998</v>
      </c>
      <c r="P773" s="2" t="s">
        <v>40</v>
      </c>
      <c r="Q773" s="2" t="s">
        <v>90</v>
      </c>
      <c r="R773" s="2" t="s">
        <v>29</v>
      </c>
      <c r="S773" s="2" t="s">
        <v>30</v>
      </c>
      <c r="T773" s="2" t="s">
        <v>31</v>
      </c>
      <c r="U773" s="2" t="str">
        <f t="shared" si="37"/>
        <v>Valid</v>
      </c>
      <c r="V773" s="2" t="s">
        <v>2296</v>
      </c>
    </row>
    <row r="774" spans="1:22" hidden="1" x14ac:dyDescent="0.3">
      <c r="A774" s="2" t="s">
        <v>2297</v>
      </c>
      <c r="B774" s="12">
        <f>DATE(VALUE(RIGHT(C774,4)),MATCH(LEFT(C774,3),{"Jan","Feb","Mar","Apr","May","Jun","Jul","Aug","Sep","Oct","Nov","Dec"},0),VALUE(MID(C774,5,2)))</f>
        <v>46238</v>
      </c>
      <c r="C774" s="13" t="s">
        <v>176</v>
      </c>
      <c r="D774" s="2" t="s">
        <v>2298</v>
      </c>
      <c r="E774" s="2" t="str">
        <f t="shared" si="38"/>
        <v>Email Available</v>
      </c>
      <c r="F774" s="2" t="s">
        <v>2299</v>
      </c>
      <c r="G774" s="2" t="s">
        <v>187</v>
      </c>
      <c r="H774" s="2" t="s">
        <v>37</v>
      </c>
      <c r="I774" s="2" t="s">
        <v>188</v>
      </c>
      <c r="J774" s="2">
        <v>2</v>
      </c>
      <c r="K774" s="2">
        <v>11.99</v>
      </c>
      <c r="L774" s="2" t="s">
        <v>25</v>
      </c>
      <c r="M774" s="2">
        <v>4.8</v>
      </c>
      <c r="N774" s="2">
        <v>5.99</v>
      </c>
      <c r="O774" s="2">
        <v>25.17</v>
      </c>
      <c r="P774" s="2" t="s">
        <v>40</v>
      </c>
      <c r="Q774" s="2" t="s">
        <v>28</v>
      </c>
      <c r="R774" s="2" t="s">
        <v>42</v>
      </c>
      <c r="S774" s="2" t="s">
        <v>30</v>
      </c>
      <c r="T774" s="2" t="s">
        <v>91</v>
      </c>
      <c r="U774" s="2" t="str">
        <f t="shared" si="37"/>
        <v>Valid</v>
      </c>
      <c r="V774" s="2" t="s">
        <v>2300</v>
      </c>
    </row>
    <row r="775" spans="1:22" x14ac:dyDescent="0.3">
      <c r="A775" s="2" t="s">
        <v>2301</v>
      </c>
      <c r="B775" s="12">
        <f t="shared" si="36"/>
        <v>46238.583064687497</v>
      </c>
      <c r="C775" s="13">
        <v>46238.583064687497</v>
      </c>
      <c r="D775" s="2" t="s">
        <v>204</v>
      </c>
      <c r="E775" s="2" t="str">
        <f t="shared" si="38"/>
        <v>Missing Email</v>
      </c>
      <c r="F775" s="2"/>
      <c r="G775" s="2" t="s">
        <v>105</v>
      </c>
      <c r="H775" s="2" t="s">
        <v>106</v>
      </c>
      <c r="I775" s="2" t="s">
        <v>107</v>
      </c>
      <c r="J775" s="2">
        <v>1</v>
      </c>
      <c r="K775" s="2">
        <v>19.989999999999998</v>
      </c>
      <c r="L775" s="2" t="s">
        <v>208</v>
      </c>
      <c r="M775" s="2">
        <v>3</v>
      </c>
      <c r="N775" s="2">
        <v>4.99</v>
      </c>
      <c r="O775" s="2">
        <v>21.98</v>
      </c>
      <c r="P775" s="2" t="s">
        <v>27</v>
      </c>
      <c r="Q775" s="2" t="s">
        <v>28</v>
      </c>
      <c r="R775" s="2" t="s">
        <v>52</v>
      </c>
      <c r="S775" s="2" t="s">
        <v>75</v>
      </c>
      <c r="T775" s="2"/>
      <c r="U775" s="2" t="str">
        <f t="shared" si="37"/>
        <v>Not Required</v>
      </c>
      <c r="V775" s="2" t="s">
        <v>2302</v>
      </c>
    </row>
    <row r="776" spans="1:22" hidden="1" x14ac:dyDescent="0.3">
      <c r="A776" s="2" t="s">
        <v>2303</v>
      </c>
      <c r="B776" s="12">
        <f t="shared" si="36"/>
        <v>46120</v>
      </c>
      <c r="C776" s="13" t="s">
        <v>142</v>
      </c>
      <c r="D776" s="2" t="s">
        <v>1368</v>
      </c>
      <c r="E776" s="2" t="str">
        <f t="shared" si="38"/>
        <v>Email Available</v>
      </c>
      <c r="F776" s="2" t="s">
        <v>1369</v>
      </c>
      <c r="G776" s="2" t="s">
        <v>226</v>
      </c>
      <c r="H776" s="2" t="s">
        <v>23</v>
      </c>
      <c r="I776" s="2" t="s">
        <v>227</v>
      </c>
      <c r="J776" s="2">
        <v>1</v>
      </c>
      <c r="K776" s="2">
        <v>17.989999999999998</v>
      </c>
      <c r="L776" s="2"/>
      <c r="M776" s="2">
        <v>0</v>
      </c>
      <c r="N776" s="2">
        <v>5.99</v>
      </c>
      <c r="O776" s="2">
        <v>23.98</v>
      </c>
      <c r="P776" s="2" t="s">
        <v>27</v>
      </c>
      <c r="Q776" s="2" t="s">
        <v>90</v>
      </c>
      <c r="R776" s="2" t="s">
        <v>42</v>
      </c>
      <c r="S776" s="2" t="s">
        <v>43</v>
      </c>
      <c r="T776" s="2"/>
      <c r="U776" s="2" t="str">
        <f t="shared" si="37"/>
        <v>Not Required</v>
      </c>
      <c r="V776" s="2" t="s">
        <v>2304</v>
      </c>
    </row>
    <row r="777" spans="1:22" hidden="1" x14ac:dyDescent="0.3">
      <c r="A777" s="2" t="s">
        <v>2305</v>
      </c>
      <c r="B777" s="12">
        <f t="shared" si="36"/>
        <v>46238.585243402777</v>
      </c>
      <c r="C777" s="13">
        <v>46238.585243402777</v>
      </c>
      <c r="D777" s="2" t="s">
        <v>2306</v>
      </c>
      <c r="E777" s="2" t="str">
        <f t="shared" si="38"/>
        <v>Email Available</v>
      </c>
      <c r="F777" s="2" t="s">
        <v>2307</v>
      </c>
      <c r="G777" s="2" t="s">
        <v>58</v>
      </c>
      <c r="H777" s="2" t="s">
        <v>23</v>
      </c>
      <c r="I777" s="2" t="s">
        <v>59</v>
      </c>
      <c r="J777" s="2">
        <v>1</v>
      </c>
      <c r="K777" s="2">
        <v>9.99</v>
      </c>
      <c r="L777" s="2" t="s">
        <v>121</v>
      </c>
      <c r="M777" s="2">
        <v>2.5</v>
      </c>
      <c r="N777" s="2">
        <v>5.99</v>
      </c>
      <c r="O777" s="2">
        <v>13.48</v>
      </c>
      <c r="P777" s="2" t="s">
        <v>51</v>
      </c>
      <c r="Q777" s="2" t="s">
        <v>28</v>
      </c>
      <c r="R777" s="2" t="s">
        <v>52</v>
      </c>
      <c r="S777" s="2" t="s">
        <v>30</v>
      </c>
      <c r="T777" s="2" t="s">
        <v>31</v>
      </c>
      <c r="U777" s="2" t="str">
        <f t="shared" si="37"/>
        <v>Valid</v>
      </c>
      <c r="V777" s="2" t="s">
        <v>2308</v>
      </c>
    </row>
    <row r="778" spans="1:22" hidden="1" x14ac:dyDescent="0.3">
      <c r="A778" s="2" t="s">
        <v>2309</v>
      </c>
      <c r="B778" s="12">
        <f t="shared" si="36"/>
        <v>46238.588302766213</v>
      </c>
      <c r="C778" s="13">
        <v>46238.588302766213</v>
      </c>
      <c r="D778" s="2" t="s">
        <v>256</v>
      </c>
      <c r="E778" s="2" t="str">
        <f t="shared" si="38"/>
        <v>Email Available</v>
      </c>
      <c r="F778" s="2" t="s">
        <v>350</v>
      </c>
      <c r="G778" s="2" t="s">
        <v>105</v>
      </c>
      <c r="H778" s="2" t="s">
        <v>106</v>
      </c>
      <c r="I778" s="2" t="s">
        <v>107</v>
      </c>
      <c r="J778" s="2">
        <v>1</v>
      </c>
      <c r="K778" s="2">
        <v>19.989999999999998</v>
      </c>
      <c r="L778" s="2"/>
      <c r="M778" s="2">
        <v>0</v>
      </c>
      <c r="N778" s="2">
        <v>7.99</v>
      </c>
      <c r="O778" s="2">
        <v>27.98</v>
      </c>
      <c r="P778" s="2" t="s">
        <v>40</v>
      </c>
      <c r="Q778" s="2" t="s">
        <v>28</v>
      </c>
      <c r="R778" s="2" t="s">
        <v>42</v>
      </c>
      <c r="S778" s="2" t="s">
        <v>30</v>
      </c>
      <c r="T778" s="2" t="s">
        <v>351</v>
      </c>
      <c r="U778" s="2" t="str">
        <f t="shared" si="37"/>
        <v>Valid</v>
      </c>
      <c r="V778" s="2" t="s">
        <v>2089</v>
      </c>
    </row>
    <row r="779" spans="1:22" hidden="1" x14ac:dyDescent="0.3">
      <c r="A779" s="2" t="s">
        <v>2310</v>
      </c>
      <c r="B779" s="12">
        <f t="shared" si="36"/>
        <v>46238.579701145827</v>
      </c>
      <c r="C779" s="13">
        <v>46238.579701145827</v>
      </c>
      <c r="D779" s="2" t="s">
        <v>388</v>
      </c>
      <c r="E779" s="2" t="str">
        <f t="shared" si="38"/>
        <v>Email Available</v>
      </c>
      <c r="F779" s="2" t="s">
        <v>389</v>
      </c>
      <c r="G779" s="2" t="s">
        <v>226</v>
      </c>
      <c r="H779" s="2" t="s">
        <v>23</v>
      </c>
      <c r="I779" s="2" t="s">
        <v>227</v>
      </c>
      <c r="J779" s="2">
        <v>2</v>
      </c>
      <c r="K779" s="2" t="s">
        <v>708</v>
      </c>
      <c r="L779" s="2" t="s">
        <v>25</v>
      </c>
      <c r="M779" s="2">
        <v>7.2</v>
      </c>
      <c r="N779" s="2">
        <v>4.99</v>
      </c>
      <c r="O779" s="2">
        <v>33.770000000000003</v>
      </c>
      <c r="P779" s="2" t="s">
        <v>74</v>
      </c>
      <c r="Q779" s="2" t="s">
        <v>28</v>
      </c>
      <c r="R779" s="2" t="s">
        <v>42</v>
      </c>
      <c r="S779" s="2" t="s">
        <v>30</v>
      </c>
      <c r="T779" s="2" t="s">
        <v>91</v>
      </c>
      <c r="U779" s="2" t="str">
        <f t="shared" si="37"/>
        <v>Valid</v>
      </c>
      <c r="V779" s="2" t="s">
        <v>2311</v>
      </c>
    </row>
    <row r="780" spans="1:22" hidden="1" x14ac:dyDescent="0.3">
      <c r="A780" s="2" t="s">
        <v>2312</v>
      </c>
      <c r="B780" s="12">
        <f t="shared" si="36"/>
        <v>46238.584951006953</v>
      </c>
      <c r="C780" s="13">
        <v>46238.584951006953</v>
      </c>
      <c r="D780" s="2" t="s">
        <v>778</v>
      </c>
      <c r="E780" s="2" t="str">
        <f t="shared" si="38"/>
        <v>Email Available</v>
      </c>
      <c r="F780" s="2" t="s">
        <v>779</v>
      </c>
      <c r="G780" s="2" t="s">
        <v>65</v>
      </c>
      <c r="H780" s="2" t="s">
        <v>49</v>
      </c>
      <c r="I780" s="2" t="s">
        <v>453</v>
      </c>
      <c r="J780" s="2">
        <v>1</v>
      </c>
      <c r="K780" s="2" t="s">
        <v>1485</v>
      </c>
      <c r="L780" s="2" t="s">
        <v>208</v>
      </c>
      <c r="M780" s="2" t="s">
        <v>2313</v>
      </c>
      <c r="N780" s="2">
        <v>5.99</v>
      </c>
      <c r="O780" s="2">
        <v>18.73</v>
      </c>
      <c r="P780" s="2" t="s">
        <v>40</v>
      </c>
      <c r="Q780" s="2" t="s">
        <v>90</v>
      </c>
      <c r="R780" s="2" t="s">
        <v>99</v>
      </c>
      <c r="S780" s="2" t="s">
        <v>108</v>
      </c>
      <c r="T780" s="2"/>
      <c r="U780" s="2" t="str">
        <f t="shared" si="37"/>
        <v>Not Required</v>
      </c>
      <c r="V780" s="2" t="s">
        <v>2314</v>
      </c>
    </row>
    <row r="781" spans="1:22" hidden="1" x14ac:dyDescent="0.3">
      <c r="A781" s="2" t="s">
        <v>2315</v>
      </c>
      <c r="B781" s="12">
        <f t="shared" si="36"/>
        <v>46238.584798668977</v>
      </c>
      <c r="C781" s="13">
        <v>46238.584798668977</v>
      </c>
      <c r="D781" s="2" t="s">
        <v>456</v>
      </c>
      <c r="E781" s="2" t="str">
        <f t="shared" si="38"/>
        <v>Email Available</v>
      </c>
      <c r="F781" s="2" t="s">
        <v>457</v>
      </c>
      <c r="G781" s="2" t="s">
        <v>226</v>
      </c>
      <c r="H781" s="2" t="s">
        <v>23</v>
      </c>
      <c r="I781" s="2" t="s">
        <v>227</v>
      </c>
      <c r="J781" s="2">
        <v>1</v>
      </c>
      <c r="K781" s="2">
        <v>17.989999999999998</v>
      </c>
      <c r="L781" s="2"/>
      <c r="M781" s="2">
        <v>0</v>
      </c>
      <c r="N781" s="2">
        <v>4.99</v>
      </c>
      <c r="O781" s="2">
        <v>22.98</v>
      </c>
      <c r="P781" s="2" t="s">
        <v>27</v>
      </c>
      <c r="Q781" s="2" t="s">
        <v>28</v>
      </c>
      <c r="R781" s="2" t="s">
        <v>99</v>
      </c>
      <c r="S781" s="2" t="s">
        <v>30</v>
      </c>
      <c r="T781" s="2" t="s">
        <v>31</v>
      </c>
      <c r="U781" s="2" t="str">
        <f t="shared" si="37"/>
        <v>Valid</v>
      </c>
      <c r="V781" s="2" t="s">
        <v>2316</v>
      </c>
    </row>
    <row r="782" spans="1:22" hidden="1" x14ac:dyDescent="0.3">
      <c r="A782" s="2" t="s">
        <v>2317</v>
      </c>
      <c r="B782" s="12">
        <f t="shared" si="36"/>
        <v>46238.583191550933</v>
      </c>
      <c r="C782" s="13">
        <v>46238.583191550933</v>
      </c>
      <c r="D782" s="2" t="s">
        <v>2318</v>
      </c>
      <c r="E782" s="2" t="str">
        <f t="shared" si="38"/>
        <v>Email Available</v>
      </c>
      <c r="F782" s="2" t="s">
        <v>2319</v>
      </c>
      <c r="G782" s="2" t="s">
        <v>127</v>
      </c>
      <c r="H782" s="2" t="s">
        <v>81</v>
      </c>
      <c r="I782" s="2" t="s">
        <v>128</v>
      </c>
      <c r="J782" s="2">
        <v>1</v>
      </c>
      <c r="K782" s="2">
        <v>13.99</v>
      </c>
      <c r="L782" s="2" t="s">
        <v>25</v>
      </c>
      <c r="M782" s="2">
        <v>2.8</v>
      </c>
      <c r="N782" s="2">
        <v>5.99</v>
      </c>
      <c r="O782" s="2">
        <v>17.18</v>
      </c>
      <c r="P782" s="2" t="s">
        <v>68</v>
      </c>
      <c r="Q782" s="2" t="s">
        <v>41</v>
      </c>
      <c r="R782" s="2" t="s">
        <v>99</v>
      </c>
      <c r="S782" s="2" t="s">
        <v>108</v>
      </c>
      <c r="T782" s="2"/>
      <c r="U782" s="2" t="str">
        <f t="shared" si="37"/>
        <v>Not Required</v>
      </c>
      <c r="V782" s="2" t="s">
        <v>2320</v>
      </c>
    </row>
    <row r="783" spans="1:22" hidden="1" x14ac:dyDescent="0.3">
      <c r="A783" s="2" t="s">
        <v>2321</v>
      </c>
      <c r="B783" s="12">
        <f t="shared" si="36"/>
        <v>46238.585636666663</v>
      </c>
      <c r="C783" s="13">
        <v>46238.585636666663</v>
      </c>
      <c r="D783" s="2" t="s">
        <v>2322</v>
      </c>
      <c r="E783" s="2" t="str">
        <f t="shared" si="38"/>
        <v>Email Available</v>
      </c>
      <c r="F783" s="2" t="s">
        <v>2323</v>
      </c>
      <c r="G783" s="2" t="s">
        <v>36</v>
      </c>
      <c r="H783" s="2" t="s">
        <v>37</v>
      </c>
      <c r="I783" s="2" t="s">
        <v>38</v>
      </c>
      <c r="J783" s="2">
        <v>1</v>
      </c>
      <c r="K783" s="2">
        <v>21.99</v>
      </c>
      <c r="L783" s="2"/>
      <c r="M783" s="2">
        <v>0</v>
      </c>
      <c r="N783" s="2">
        <v>7.99</v>
      </c>
      <c r="O783" s="2">
        <v>29.98</v>
      </c>
      <c r="P783" s="2" t="s">
        <v>40</v>
      </c>
      <c r="Q783" s="2" t="s">
        <v>114</v>
      </c>
      <c r="R783" s="2" t="s">
        <v>52</v>
      </c>
      <c r="S783" s="2" t="s">
        <v>30</v>
      </c>
      <c r="T783" s="2" t="s">
        <v>91</v>
      </c>
      <c r="U783" s="2" t="str">
        <f t="shared" si="37"/>
        <v>Valid</v>
      </c>
      <c r="V783" s="2" t="s">
        <v>2324</v>
      </c>
    </row>
    <row r="784" spans="1:22" hidden="1" x14ac:dyDescent="0.3">
      <c r="A784" s="2" t="s">
        <v>2325</v>
      </c>
      <c r="B784" s="12">
        <f t="shared" si="36"/>
        <v>46238.585729664352</v>
      </c>
      <c r="C784" s="13">
        <v>46238.585729664352</v>
      </c>
      <c r="D784" s="2" t="s">
        <v>1843</v>
      </c>
      <c r="E784" s="2" t="str">
        <f t="shared" si="38"/>
        <v>Email Available</v>
      </c>
      <c r="F784" s="2" t="s">
        <v>1844</v>
      </c>
      <c r="G784" s="2" t="s">
        <v>133</v>
      </c>
      <c r="H784" s="2" t="s">
        <v>106</v>
      </c>
      <c r="I784" s="2" t="s">
        <v>134</v>
      </c>
      <c r="J784" s="2">
        <v>1</v>
      </c>
      <c r="K784" s="2">
        <v>16.989999999999998</v>
      </c>
      <c r="L784" s="2" t="s">
        <v>121</v>
      </c>
      <c r="M784" s="2">
        <v>4.25</v>
      </c>
      <c r="N784" s="2">
        <v>5.99</v>
      </c>
      <c r="O784" s="2">
        <v>18.73</v>
      </c>
      <c r="P784" s="2" t="s">
        <v>51</v>
      </c>
      <c r="Q784" s="2" t="s">
        <v>90</v>
      </c>
      <c r="R784" s="2" t="s">
        <v>52</v>
      </c>
      <c r="S784" s="2" t="s">
        <v>30</v>
      </c>
      <c r="T784" s="2" t="s">
        <v>347</v>
      </c>
      <c r="U784" s="2" t="str">
        <f t="shared" si="37"/>
        <v>Valid</v>
      </c>
      <c r="V784" s="2" t="s">
        <v>2326</v>
      </c>
    </row>
    <row r="785" spans="1:22" hidden="1" x14ac:dyDescent="0.3">
      <c r="A785" s="2" t="s">
        <v>2327</v>
      </c>
      <c r="B785" s="12">
        <f t="shared" si="36"/>
        <v>46238.587211388891</v>
      </c>
      <c r="C785" s="13">
        <v>46238.587211388891</v>
      </c>
      <c r="D785" s="2" t="s">
        <v>94</v>
      </c>
      <c r="E785" s="2" t="str">
        <f t="shared" si="38"/>
        <v>Email Available</v>
      </c>
      <c r="F785" s="2" t="s">
        <v>95</v>
      </c>
      <c r="G785" s="2" t="s">
        <v>241</v>
      </c>
      <c r="H785" s="2" t="s">
        <v>242</v>
      </c>
      <c r="I785" s="2" t="s">
        <v>243</v>
      </c>
      <c r="J785" s="2">
        <v>4</v>
      </c>
      <c r="K785" s="2">
        <v>27.99</v>
      </c>
      <c r="L785" s="2"/>
      <c r="M785" s="2">
        <v>0</v>
      </c>
      <c r="N785" s="2">
        <v>0</v>
      </c>
      <c r="O785" s="2">
        <v>111.96</v>
      </c>
      <c r="P785" s="2" t="s">
        <v>27</v>
      </c>
      <c r="Q785" s="2" t="s">
        <v>90</v>
      </c>
      <c r="R785" s="2" t="s">
        <v>52</v>
      </c>
      <c r="S785" s="2" t="s">
        <v>43</v>
      </c>
      <c r="T785" s="2"/>
      <c r="U785" s="2" t="str">
        <f t="shared" si="37"/>
        <v>Not Required</v>
      </c>
      <c r="V785" s="2" t="s">
        <v>2328</v>
      </c>
    </row>
    <row r="786" spans="1:22" hidden="1" x14ac:dyDescent="0.3">
      <c r="A786" s="2" t="s">
        <v>2329</v>
      </c>
      <c r="B786" s="12">
        <f t="shared" si="36"/>
        <v>46238.58170516204</v>
      </c>
      <c r="C786" s="13">
        <v>46238.58170516204</v>
      </c>
      <c r="D786" s="2" t="s">
        <v>2330</v>
      </c>
      <c r="E786" s="2" t="str">
        <f t="shared" si="38"/>
        <v>Email Available</v>
      </c>
      <c r="F786" s="2" t="s">
        <v>2331</v>
      </c>
      <c r="G786" s="2" t="s">
        <v>187</v>
      </c>
      <c r="H786" s="2" t="s">
        <v>37</v>
      </c>
      <c r="I786" s="2" t="s">
        <v>188</v>
      </c>
      <c r="J786" s="2">
        <v>1</v>
      </c>
      <c r="K786" s="2">
        <v>11.99</v>
      </c>
      <c r="L786" s="2" t="s">
        <v>25</v>
      </c>
      <c r="M786" s="2">
        <v>2.4</v>
      </c>
      <c r="N786" s="2">
        <v>4.99</v>
      </c>
      <c r="O786" s="2">
        <v>14.58</v>
      </c>
      <c r="P786" s="2" t="s">
        <v>40</v>
      </c>
      <c r="Q786" s="2" t="s">
        <v>28</v>
      </c>
      <c r="R786" s="2" t="s">
        <v>52</v>
      </c>
      <c r="S786" s="2" t="s">
        <v>30</v>
      </c>
      <c r="T786" s="2" t="s">
        <v>53</v>
      </c>
      <c r="U786" s="2" t="str">
        <f t="shared" si="37"/>
        <v>Valid</v>
      </c>
      <c r="V786" s="2" t="s">
        <v>2332</v>
      </c>
    </row>
    <row r="787" spans="1:22" hidden="1" x14ac:dyDescent="0.3">
      <c r="A787" s="2" t="s">
        <v>2333</v>
      </c>
      <c r="B787" s="12">
        <f t="shared" si="36"/>
        <v>46238.583163275463</v>
      </c>
      <c r="C787" s="13">
        <v>46238.583163275463</v>
      </c>
      <c r="D787" s="2" t="s">
        <v>674</v>
      </c>
      <c r="E787" s="2" t="str">
        <f t="shared" si="38"/>
        <v>Email Available</v>
      </c>
      <c r="F787" s="2" t="s">
        <v>675</v>
      </c>
      <c r="G787" s="2" t="s">
        <v>272</v>
      </c>
      <c r="H787" s="2" t="s">
        <v>23</v>
      </c>
      <c r="I787" s="2" t="s">
        <v>273</v>
      </c>
      <c r="J787" s="2">
        <v>1</v>
      </c>
      <c r="K787" s="2">
        <v>18.989999999999998</v>
      </c>
      <c r="L787" s="2"/>
      <c r="M787" s="2">
        <v>0</v>
      </c>
      <c r="N787" s="2">
        <v>4.99</v>
      </c>
      <c r="O787" s="2">
        <v>23.98</v>
      </c>
      <c r="P787" s="2" t="s">
        <v>74</v>
      </c>
      <c r="Q787" s="2" t="s">
        <v>28</v>
      </c>
      <c r="R787" s="2" t="s">
        <v>99</v>
      </c>
      <c r="S787" s="2" t="s">
        <v>228</v>
      </c>
      <c r="T787" s="2"/>
      <c r="U787" s="2" t="str">
        <f t="shared" si="37"/>
        <v>Not Required</v>
      </c>
      <c r="V787" s="2" t="s">
        <v>2183</v>
      </c>
    </row>
    <row r="788" spans="1:22" hidden="1" x14ac:dyDescent="0.3">
      <c r="A788" s="2" t="s">
        <v>2334</v>
      </c>
      <c r="B788" s="12">
        <f t="shared" si="36"/>
        <v>46238.587049756941</v>
      </c>
      <c r="C788" s="13">
        <v>46238.587049756941</v>
      </c>
      <c r="D788" s="2" t="s">
        <v>2335</v>
      </c>
      <c r="E788" s="2" t="str">
        <f t="shared" si="38"/>
        <v>Email Available</v>
      </c>
      <c r="F788" s="2" t="s">
        <v>2336</v>
      </c>
      <c r="G788" s="2" t="s">
        <v>187</v>
      </c>
      <c r="H788" s="2" t="s">
        <v>37</v>
      </c>
      <c r="I788" s="2" t="s">
        <v>188</v>
      </c>
      <c r="J788" s="2">
        <v>1</v>
      </c>
      <c r="K788" s="2">
        <v>11.99</v>
      </c>
      <c r="L788" s="2"/>
      <c r="M788" s="2">
        <v>0</v>
      </c>
      <c r="N788" s="2">
        <v>5.99</v>
      </c>
      <c r="O788" s="2">
        <v>17.98</v>
      </c>
      <c r="P788" s="2" t="s">
        <v>74</v>
      </c>
      <c r="Q788" s="2" t="s">
        <v>41</v>
      </c>
      <c r="R788" s="2" t="s">
        <v>52</v>
      </c>
      <c r="S788" s="2" t="s">
        <v>30</v>
      </c>
      <c r="T788" s="2" t="s">
        <v>53</v>
      </c>
      <c r="U788" s="2" t="str">
        <f t="shared" si="37"/>
        <v>Valid</v>
      </c>
      <c r="V788" s="2" t="s">
        <v>2337</v>
      </c>
    </row>
    <row r="789" spans="1:22" hidden="1" x14ac:dyDescent="0.3">
      <c r="A789" s="2" t="s">
        <v>2342</v>
      </c>
      <c r="B789" s="12">
        <f t="shared" si="36"/>
        <v>46238.585550474527</v>
      </c>
      <c r="C789" s="13">
        <v>46238.585550474527</v>
      </c>
      <c r="D789" s="2" t="s">
        <v>2343</v>
      </c>
      <c r="E789" s="2" t="str">
        <f t="shared" si="38"/>
        <v>Email Available</v>
      </c>
      <c r="F789" s="2" t="s">
        <v>2344</v>
      </c>
      <c r="G789" s="2" t="s">
        <v>151</v>
      </c>
      <c r="H789" s="2" t="s">
        <v>49</v>
      </c>
      <c r="I789" s="2" t="s">
        <v>152</v>
      </c>
      <c r="J789" s="2">
        <v>1</v>
      </c>
      <c r="K789" s="2">
        <v>34.99</v>
      </c>
      <c r="L789" s="2"/>
      <c r="M789" s="2" t="s">
        <v>189</v>
      </c>
      <c r="N789" s="2">
        <v>5.99</v>
      </c>
      <c r="O789" s="2">
        <v>40.98</v>
      </c>
      <c r="P789" s="2" t="s">
        <v>51</v>
      </c>
      <c r="Q789" s="2" t="s">
        <v>41</v>
      </c>
      <c r="R789" s="2" t="s">
        <v>99</v>
      </c>
      <c r="S789" s="2" t="s">
        <v>43</v>
      </c>
      <c r="T789" s="2"/>
      <c r="U789" s="2" t="str">
        <f t="shared" si="37"/>
        <v>Not Required</v>
      </c>
      <c r="V789" s="2" t="s">
        <v>2345</v>
      </c>
    </row>
    <row r="790" spans="1:22" hidden="1" x14ac:dyDescent="0.3">
      <c r="A790" s="2" t="s">
        <v>2346</v>
      </c>
      <c r="B790" s="12">
        <f t="shared" si="36"/>
        <v>46238.581857766207</v>
      </c>
      <c r="C790" s="13">
        <v>46238.581857766207</v>
      </c>
      <c r="D790" s="2" t="s">
        <v>2347</v>
      </c>
      <c r="E790" s="2" t="str">
        <f t="shared" si="38"/>
        <v>Email Available</v>
      </c>
      <c r="F790" s="2" t="s">
        <v>611</v>
      </c>
      <c r="G790" s="2" t="s">
        <v>241</v>
      </c>
      <c r="H790" s="2" t="s">
        <v>242</v>
      </c>
      <c r="I790" s="2" t="s">
        <v>243</v>
      </c>
      <c r="J790" s="2">
        <v>1</v>
      </c>
      <c r="K790" s="2">
        <v>27.99</v>
      </c>
      <c r="L790" s="2"/>
      <c r="M790" s="2">
        <v>0</v>
      </c>
      <c r="N790" s="2">
        <v>5.99</v>
      </c>
      <c r="O790" s="2">
        <v>33.979999999999997</v>
      </c>
      <c r="P790" s="2" t="s">
        <v>40</v>
      </c>
      <c r="Q790" s="2" t="s">
        <v>28</v>
      </c>
      <c r="R790" s="2" t="s">
        <v>52</v>
      </c>
      <c r="S790" s="2" t="s">
        <v>43</v>
      </c>
      <c r="T790" s="2"/>
      <c r="U790" s="2" t="str">
        <f t="shared" si="37"/>
        <v>Not Required</v>
      </c>
      <c r="V790" s="2" t="s">
        <v>2348</v>
      </c>
    </row>
    <row r="791" spans="1:22" hidden="1" x14ac:dyDescent="0.3">
      <c r="A791" s="2" t="s">
        <v>2349</v>
      </c>
      <c r="B791" s="12">
        <f t="shared" si="36"/>
        <v>46238.587317094913</v>
      </c>
      <c r="C791" s="13">
        <v>46238.587317094913</v>
      </c>
      <c r="D791" s="2" t="s">
        <v>218</v>
      </c>
      <c r="E791" s="2" t="str">
        <f t="shared" si="38"/>
        <v>Email Available</v>
      </c>
      <c r="F791" s="2" t="s">
        <v>219</v>
      </c>
      <c r="G791" s="2" t="s">
        <v>151</v>
      </c>
      <c r="H791" s="2" t="s">
        <v>49</v>
      </c>
      <c r="I791" s="2" t="s">
        <v>152</v>
      </c>
      <c r="J791" s="2">
        <v>2</v>
      </c>
      <c r="K791" s="2">
        <v>34.99</v>
      </c>
      <c r="L791" s="2" t="s">
        <v>1139</v>
      </c>
      <c r="M791" s="2">
        <v>7</v>
      </c>
      <c r="N791" s="2">
        <v>7.99</v>
      </c>
      <c r="O791" s="2">
        <v>70.97</v>
      </c>
      <c r="P791" s="2" t="s">
        <v>40</v>
      </c>
      <c r="Q791" s="2" t="s">
        <v>28</v>
      </c>
      <c r="R791" s="2" t="s">
        <v>52</v>
      </c>
      <c r="S791" s="2" t="s">
        <v>30</v>
      </c>
      <c r="T791" s="2" t="s">
        <v>145</v>
      </c>
      <c r="U791" s="2" t="str">
        <f t="shared" si="37"/>
        <v>Valid</v>
      </c>
      <c r="V791" s="2" t="s">
        <v>2350</v>
      </c>
    </row>
    <row r="792" spans="1:22" hidden="1" x14ac:dyDescent="0.3">
      <c r="A792" s="2" t="s">
        <v>2351</v>
      </c>
      <c r="B792" s="12">
        <f t="shared" si="36"/>
        <v>46238.581523090281</v>
      </c>
      <c r="C792" s="13">
        <v>46238.581523090281</v>
      </c>
      <c r="D792" s="2" t="s">
        <v>200</v>
      </c>
      <c r="E792" s="2" t="str">
        <f t="shared" si="38"/>
        <v>Email Available</v>
      </c>
      <c r="F792" s="2" t="s">
        <v>201</v>
      </c>
      <c r="G792" s="2" t="s">
        <v>65</v>
      </c>
      <c r="H792" s="2" t="s">
        <v>49</v>
      </c>
      <c r="I792" s="2" t="s">
        <v>66</v>
      </c>
      <c r="J792" s="2">
        <v>1</v>
      </c>
      <c r="K792" s="2">
        <v>14.99</v>
      </c>
      <c r="L792" s="2" t="s">
        <v>121</v>
      </c>
      <c r="M792" s="2">
        <v>3.75</v>
      </c>
      <c r="N792" s="2">
        <v>7.99</v>
      </c>
      <c r="O792" s="2">
        <v>19.23</v>
      </c>
      <c r="P792" s="2" t="s">
        <v>40</v>
      </c>
      <c r="Q792" s="2" t="s">
        <v>28</v>
      </c>
      <c r="R792" s="2" t="s">
        <v>52</v>
      </c>
      <c r="S792" s="2" t="s">
        <v>30</v>
      </c>
      <c r="T792" s="2" t="s">
        <v>454</v>
      </c>
      <c r="U792" s="2" t="str">
        <f t="shared" si="37"/>
        <v>Valid</v>
      </c>
      <c r="V792" s="2" t="s">
        <v>2352</v>
      </c>
    </row>
    <row r="793" spans="1:22" hidden="1" x14ac:dyDescent="0.3">
      <c r="A793" s="2" t="s">
        <v>2353</v>
      </c>
      <c r="B793" s="12">
        <f t="shared" si="36"/>
        <v>46238.582989675917</v>
      </c>
      <c r="C793" s="13">
        <v>46238.582989675917</v>
      </c>
      <c r="D793" s="2" t="s">
        <v>416</v>
      </c>
      <c r="E793" s="2" t="str">
        <f t="shared" si="38"/>
        <v>Email Available</v>
      </c>
      <c r="F793" s="2" t="s">
        <v>417</v>
      </c>
      <c r="G793" s="2" t="s">
        <v>206</v>
      </c>
      <c r="H793" s="2" t="s">
        <v>196</v>
      </c>
      <c r="I793" s="2" t="s">
        <v>207</v>
      </c>
      <c r="J793" s="2">
        <v>2</v>
      </c>
      <c r="K793" s="2">
        <v>24.99</v>
      </c>
      <c r="L793" s="2" t="s">
        <v>25</v>
      </c>
      <c r="M793" s="2">
        <v>10</v>
      </c>
      <c r="N793" s="2">
        <v>7.99</v>
      </c>
      <c r="O793" s="2">
        <v>47.97</v>
      </c>
      <c r="P793" s="2" t="s">
        <v>27</v>
      </c>
      <c r="Q793" s="2" t="s">
        <v>114</v>
      </c>
      <c r="R793" s="2" t="s">
        <v>99</v>
      </c>
      <c r="S793" s="2" t="s">
        <v>43</v>
      </c>
      <c r="T793" s="2"/>
      <c r="U793" s="2" t="str">
        <f t="shared" si="37"/>
        <v>Not Required</v>
      </c>
      <c r="V793" s="2" t="s">
        <v>2354</v>
      </c>
    </row>
    <row r="794" spans="1:22" hidden="1" x14ac:dyDescent="0.3">
      <c r="A794" s="2" t="s">
        <v>2355</v>
      </c>
      <c r="B794" s="12">
        <f t="shared" si="36"/>
        <v>46238.581043854167</v>
      </c>
      <c r="C794" s="13">
        <v>46238.581043854167</v>
      </c>
      <c r="D794" s="2" t="s">
        <v>1857</v>
      </c>
      <c r="E794" s="2" t="str">
        <f t="shared" si="38"/>
        <v>Email Available</v>
      </c>
      <c r="F794" s="2" t="s">
        <v>1858</v>
      </c>
      <c r="G794" s="2" t="s">
        <v>48</v>
      </c>
      <c r="H794" s="2" t="s">
        <v>49</v>
      </c>
      <c r="I794" s="2" t="s">
        <v>50</v>
      </c>
      <c r="J794" s="2">
        <v>1</v>
      </c>
      <c r="K794" s="2">
        <v>39.99</v>
      </c>
      <c r="L794" s="2"/>
      <c r="M794" s="2">
        <v>0</v>
      </c>
      <c r="N794" s="2">
        <v>7.99</v>
      </c>
      <c r="O794" s="2">
        <v>47.98</v>
      </c>
      <c r="P794" s="2" t="s">
        <v>74</v>
      </c>
      <c r="Q794" s="2" t="s">
        <v>28</v>
      </c>
      <c r="R794" s="2" t="s">
        <v>52</v>
      </c>
      <c r="S794" s="2" t="s">
        <v>43</v>
      </c>
      <c r="T794" s="2"/>
      <c r="U794" s="2" t="str">
        <f t="shared" si="37"/>
        <v>Not Required</v>
      </c>
      <c r="V794" s="2" t="s">
        <v>2356</v>
      </c>
    </row>
    <row r="795" spans="1:22" hidden="1" x14ac:dyDescent="0.3">
      <c r="A795" s="2" t="s">
        <v>2357</v>
      </c>
      <c r="B795" s="12">
        <f t="shared" si="36"/>
        <v>46238.585512118058</v>
      </c>
      <c r="C795" s="13">
        <v>46238.585512118058</v>
      </c>
      <c r="D795" s="2" t="s">
        <v>983</v>
      </c>
      <c r="E795" s="2" t="str">
        <f t="shared" si="38"/>
        <v>Email Available</v>
      </c>
      <c r="F795" s="2" t="s">
        <v>2358</v>
      </c>
      <c r="G795" s="2" t="s">
        <v>65</v>
      </c>
      <c r="H795" s="2" t="s">
        <v>49</v>
      </c>
      <c r="I795" s="2" t="s">
        <v>453</v>
      </c>
      <c r="J795" s="2">
        <v>1</v>
      </c>
      <c r="K795" s="2">
        <v>14.99</v>
      </c>
      <c r="L795" s="2"/>
      <c r="M795" s="2">
        <v>0</v>
      </c>
      <c r="N795" s="2">
        <v>5.99</v>
      </c>
      <c r="O795" s="2" t="s">
        <v>2359</v>
      </c>
      <c r="P795" s="2" t="s">
        <v>74</v>
      </c>
      <c r="Q795" s="2" t="s">
        <v>41</v>
      </c>
      <c r="R795" s="2" t="s">
        <v>52</v>
      </c>
      <c r="S795" s="2" t="s">
        <v>108</v>
      </c>
      <c r="T795" s="2"/>
      <c r="U795" s="2" t="str">
        <f t="shared" si="37"/>
        <v>Not Required</v>
      </c>
      <c r="V795" s="2" t="s">
        <v>2360</v>
      </c>
    </row>
    <row r="796" spans="1:22" x14ac:dyDescent="0.3">
      <c r="A796" s="2" t="s">
        <v>2361</v>
      </c>
      <c r="B796" s="12">
        <f t="shared" si="36"/>
        <v>46238.588703032408</v>
      </c>
      <c r="C796" s="13">
        <v>46238.588703032408</v>
      </c>
      <c r="D796" s="2" t="s">
        <v>456</v>
      </c>
      <c r="E796" s="2" t="str">
        <f t="shared" si="38"/>
        <v>Missing Email</v>
      </c>
      <c r="F796" s="2"/>
      <c r="G796" s="2" t="s">
        <v>133</v>
      </c>
      <c r="H796" s="2" t="s">
        <v>106</v>
      </c>
      <c r="I796" s="2" t="s">
        <v>134</v>
      </c>
      <c r="J796" s="2">
        <v>3</v>
      </c>
      <c r="K796" s="2">
        <v>16.989999999999998</v>
      </c>
      <c r="L796" s="2" t="s">
        <v>67</v>
      </c>
      <c r="M796" s="2">
        <v>5.0999999999999996</v>
      </c>
      <c r="N796" s="2">
        <v>4.99</v>
      </c>
      <c r="O796" s="2">
        <v>50.86</v>
      </c>
      <c r="P796" s="2" t="s">
        <v>68</v>
      </c>
      <c r="Q796" s="2" t="s">
        <v>41</v>
      </c>
      <c r="R796" s="2" t="s">
        <v>52</v>
      </c>
      <c r="S796" s="2" t="s">
        <v>30</v>
      </c>
      <c r="T796" s="2" t="s">
        <v>31</v>
      </c>
      <c r="U796" s="2" t="str">
        <f t="shared" si="37"/>
        <v>Valid</v>
      </c>
      <c r="V796" s="2" t="s">
        <v>2362</v>
      </c>
    </row>
    <row r="797" spans="1:22" hidden="1" x14ac:dyDescent="0.3">
      <c r="A797" s="2" t="s">
        <v>2363</v>
      </c>
      <c r="B797" s="12">
        <f t="shared" si="36"/>
        <v>46238.579861550927</v>
      </c>
      <c r="C797" s="13">
        <v>46238.579861550927</v>
      </c>
      <c r="D797" s="2" t="s">
        <v>2079</v>
      </c>
      <c r="E797" s="2" t="str">
        <f t="shared" si="38"/>
        <v>Email Available</v>
      </c>
      <c r="F797" s="2" t="s">
        <v>2080</v>
      </c>
      <c r="G797" s="2" t="s">
        <v>206</v>
      </c>
      <c r="H797" s="2" t="s">
        <v>196</v>
      </c>
      <c r="I797" s="2" t="s">
        <v>207</v>
      </c>
      <c r="J797" s="2">
        <v>1</v>
      </c>
      <c r="K797" s="2">
        <v>24.99</v>
      </c>
      <c r="L797" s="2" t="s">
        <v>208</v>
      </c>
      <c r="M797" s="2">
        <v>3.75</v>
      </c>
      <c r="N797" s="2">
        <v>7.99</v>
      </c>
      <c r="O797" s="2">
        <v>29.23</v>
      </c>
      <c r="P797" s="2" t="s">
        <v>74</v>
      </c>
      <c r="Q797" s="2" t="s">
        <v>28</v>
      </c>
      <c r="R797" s="2" t="s">
        <v>42</v>
      </c>
      <c r="S797" s="2" t="s">
        <v>43</v>
      </c>
      <c r="T797" s="2"/>
      <c r="U797" s="2" t="str">
        <f t="shared" si="37"/>
        <v>Not Required</v>
      </c>
      <c r="V797" s="2" t="s">
        <v>2364</v>
      </c>
    </row>
    <row r="798" spans="1:22" hidden="1" x14ac:dyDescent="0.3">
      <c r="A798" s="2" t="s">
        <v>2365</v>
      </c>
      <c r="B798" s="12">
        <f t="shared" si="36"/>
        <v>46238.588945694442</v>
      </c>
      <c r="C798" s="13">
        <v>46238.588945694442</v>
      </c>
      <c r="D798" s="2" t="s">
        <v>200</v>
      </c>
      <c r="E798" s="2" t="str">
        <f t="shared" si="38"/>
        <v>Email Available</v>
      </c>
      <c r="F798" s="2" t="s">
        <v>201</v>
      </c>
      <c r="G798" s="2" t="s">
        <v>36</v>
      </c>
      <c r="H798" s="2" t="s">
        <v>37</v>
      </c>
      <c r="I798" s="2" t="s">
        <v>38</v>
      </c>
      <c r="J798" s="2">
        <v>1</v>
      </c>
      <c r="K798" s="2">
        <v>21.99</v>
      </c>
      <c r="L798" s="2"/>
      <c r="M798" s="2">
        <v>0</v>
      </c>
      <c r="N798" s="2">
        <v>4.99</v>
      </c>
      <c r="O798" s="2">
        <v>26.98</v>
      </c>
      <c r="P798" s="2" t="s">
        <v>74</v>
      </c>
      <c r="Q798" s="2" t="s">
        <v>41</v>
      </c>
      <c r="R798" s="2" t="s">
        <v>52</v>
      </c>
      <c r="S798" s="2" t="s">
        <v>30</v>
      </c>
      <c r="T798" s="2" t="s">
        <v>60</v>
      </c>
      <c r="U798" s="2" t="str">
        <f t="shared" si="37"/>
        <v>Valid</v>
      </c>
      <c r="V798" s="2" t="s">
        <v>2366</v>
      </c>
    </row>
    <row r="799" spans="1:22" hidden="1" x14ac:dyDescent="0.3">
      <c r="A799" s="2" t="s">
        <v>2367</v>
      </c>
      <c r="B799" s="12">
        <f>DATE(VALUE(RIGHT(C799,4)),MATCH(LEFT(C799,3),{"Jan","Feb","Mar","Apr","May","Jun","Jul","Aug","Sep","Oct","Nov","Dec"},0),VALUE(MID(C799,5,2)))</f>
        <v>46238</v>
      </c>
      <c r="C799" s="13" t="s">
        <v>176</v>
      </c>
      <c r="D799" s="2" t="s">
        <v>1378</v>
      </c>
      <c r="E799" s="2" t="str">
        <f t="shared" si="38"/>
        <v>Email Available</v>
      </c>
      <c r="F799" s="2" t="s">
        <v>1379</v>
      </c>
      <c r="G799" s="2" t="s">
        <v>206</v>
      </c>
      <c r="H799" s="2" t="s">
        <v>196</v>
      </c>
      <c r="I799" s="2" t="s">
        <v>207</v>
      </c>
      <c r="J799" s="2">
        <v>2</v>
      </c>
      <c r="K799" s="2" t="s">
        <v>1229</v>
      </c>
      <c r="L799" s="2"/>
      <c r="M799" s="2">
        <v>0</v>
      </c>
      <c r="N799" s="2">
        <v>4.99</v>
      </c>
      <c r="O799" s="2">
        <v>54.97</v>
      </c>
      <c r="P799" s="2" t="s">
        <v>68</v>
      </c>
      <c r="Q799" s="2" t="s">
        <v>28</v>
      </c>
      <c r="R799" s="2" t="s">
        <v>29</v>
      </c>
      <c r="S799" s="2" t="s">
        <v>337</v>
      </c>
      <c r="T799" s="2"/>
      <c r="U799" s="2" t="str">
        <f t="shared" si="37"/>
        <v>Not Required</v>
      </c>
      <c r="V799" s="2" t="s">
        <v>2368</v>
      </c>
    </row>
    <row r="800" spans="1:22" hidden="1" x14ac:dyDescent="0.3">
      <c r="A800" s="2" t="s">
        <v>2369</v>
      </c>
      <c r="B800" s="12">
        <f t="shared" si="36"/>
        <v>46238.58438385417</v>
      </c>
      <c r="C800" s="13">
        <v>46238.58438385417</v>
      </c>
      <c r="D800" s="2" t="s">
        <v>2370</v>
      </c>
      <c r="E800" s="2" t="str">
        <f t="shared" si="38"/>
        <v>Email Available</v>
      </c>
      <c r="F800" s="2" t="s">
        <v>219</v>
      </c>
      <c r="G800" s="2" t="s">
        <v>48</v>
      </c>
      <c r="H800" s="2" t="s">
        <v>49</v>
      </c>
      <c r="I800" s="2" t="s">
        <v>50</v>
      </c>
      <c r="J800" s="2">
        <v>1</v>
      </c>
      <c r="K800" s="2">
        <v>39.99</v>
      </c>
      <c r="L800" s="2"/>
      <c r="M800" s="2">
        <v>0</v>
      </c>
      <c r="N800" s="2">
        <v>5.99</v>
      </c>
      <c r="O800" s="2">
        <v>45.98</v>
      </c>
      <c r="P800" s="2" t="s">
        <v>27</v>
      </c>
      <c r="Q800" s="2" t="s">
        <v>114</v>
      </c>
      <c r="R800" s="2" t="s">
        <v>99</v>
      </c>
      <c r="S800" s="2" t="s">
        <v>30</v>
      </c>
      <c r="T800" s="2" t="s">
        <v>91</v>
      </c>
      <c r="U800" s="2" t="str">
        <f t="shared" si="37"/>
        <v>Valid</v>
      </c>
      <c r="V800" s="2" t="s">
        <v>2371</v>
      </c>
    </row>
    <row r="801" spans="1:22" hidden="1" x14ac:dyDescent="0.3">
      <c r="A801" s="2" t="s">
        <v>2372</v>
      </c>
      <c r="B801" s="12">
        <f t="shared" si="36"/>
        <v>46238.587791134261</v>
      </c>
      <c r="C801" s="13">
        <v>46238.587791134261</v>
      </c>
      <c r="D801" s="2" t="s">
        <v>2373</v>
      </c>
      <c r="E801" s="2" t="str">
        <f t="shared" si="38"/>
        <v>Email Available</v>
      </c>
      <c r="F801" s="2" t="s">
        <v>182</v>
      </c>
      <c r="G801" s="2" t="s">
        <v>80</v>
      </c>
      <c r="H801" s="2" t="s">
        <v>81</v>
      </c>
      <c r="I801" s="2" t="s">
        <v>82</v>
      </c>
      <c r="J801" s="2">
        <v>1</v>
      </c>
      <c r="K801" s="2">
        <v>89.99</v>
      </c>
      <c r="L801" s="2"/>
      <c r="M801" s="2">
        <v>0</v>
      </c>
      <c r="N801" s="2">
        <v>0</v>
      </c>
      <c r="O801" s="2">
        <v>89.99</v>
      </c>
      <c r="P801" s="2" t="s">
        <v>40</v>
      </c>
      <c r="Q801" s="2" t="s">
        <v>90</v>
      </c>
      <c r="R801" s="2" t="s">
        <v>29</v>
      </c>
      <c r="S801" s="2" t="s">
        <v>30</v>
      </c>
      <c r="T801" s="2" t="s">
        <v>248</v>
      </c>
      <c r="U801" s="2" t="str">
        <f t="shared" si="37"/>
        <v>Valid</v>
      </c>
      <c r="V801" s="2" t="s">
        <v>2374</v>
      </c>
    </row>
    <row r="802" spans="1:22" hidden="1" x14ac:dyDescent="0.3">
      <c r="A802" s="2" t="s">
        <v>2375</v>
      </c>
      <c r="B802" s="12">
        <f t="shared" si="36"/>
        <v>46238.580530243053</v>
      </c>
      <c r="C802" s="13">
        <v>46238.580530243053</v>
      </c>
      <c r="D802" s="2" t="s">
        <v>165</v>
      </c>
      <c r="E802" s="2" t="str">
        <f t="shared" si="38"/>
        <v>Email Available</v>
      </c>
      <c r="F802" s="2" t="s">
        <v>166</v>
      </c>
      <c r="G802" s="2" t="s">
        <v>206</v>
      </c>
      <c r="H802" s="2" t="s">
        <v>196</v>
      </c>
      <c r="I802" s="2" t="s">
        <v>207</v>
      </c>
      <c r="J802" s="2">
        <v>4</v>
      </c>
      <c r="K802" s="2">
        <v>24.99</v>
      </c>
      <c r="L802" s="2" t="s">
        <v>208</v>
      </c>
      <c r="M802" s="2">
        <v>14.99</v>
      </c>
      <c r="N802" s="2">
        <v>0</v>
      </c>
      <c r="O802" s="2">
        <v>84.97</v>
      </c>
      <c r="P802" s="2" t="s">
        <v>40</v>
      </c>
      <c r="Q802" s="2" t="s">
        <v>90</v>
      </c>
      <c r="R802" s="2" t="s">
        <v>52</v>
      </c>
      <c r="S802" s="2" t="s">
        <v>30</v>
      </c>
      <c r="T802" s="2" t="s">
        <v>60</v>
      </c>
      <c r="U802" s="2" t="str">
        <f t="shared" si="37"/>
        <v>Valid</v>
      </c>
      <c r="V802" s="2" t="s">
        <v>2376</v>
      </c>
    </row>
    <row r="803" spans="1:22" hidden="1" x14ac:dyDescent="0.3">
      <c r="A803" s="2" t="s">
        <v>2377</v>
      </c>
      <c r="B803" s="12">
        <f t="shared" si="36"/>
        <v>46238.588006701393</v>
      </c>
      <c r="C803" s="13">
        <v>46238.588006701393</v>
      </c>
      <c r="D803" s="2" t="s">
        <v>2378</v>
      </c>
      <c r="E803" s="2" t="str">
        <f t="shared" si="38"/>
        <v>Email Available</v>
      </c>
      <c r="F803" s="2" t="s">
        <v>2379</v>
      </c>
      <c r="G803" s="2" t="s">
        <v>206</v>
      </c>
      <c r="H803" s="2" t="s">
        <v>196</v>
      </c>
      <c r="I803" s="2" t="s">
        <v>207</v>
      </c>
      <c r="J803" s="2">
        <v>1</v>
      </c>
      <c r="K803" s="2">
        <v>24.99</v>
      </c>
      <c r="L803" s="2"/>
      <c r="M803" s="2">
        <v>0</v>
      </c>
      <c r="N803" s="2">
        <v>4.99</v>
      </c>
      <c r="O803" s="2">
        <v>29.98</v>
      </c>
      <c r="P803" s="2" t="s">
        <v>27</v>
      </c>
      <c r="Q803" s="2" t="s">
        <v>28</v>
      </c>
      <c r="R803" s="2" t="s">
        <v>99</v>
      </c>
      <c r="S803" s="2" t="s">
        <v>30</v>
      </c>
      <c r="T803" s="2" t="s">
        <v>347</v>
      </c>
      <c r="U803" s="2" t="str">
        <f t="shared" si="37"/>
        <v>Valid</v>
      </c>
      <c r="V803" s="2" t="s">
        <v>2380</v>
      </c>
    </row>
    <row r="804" spans="1:22" hidden="1" x14ac:dyDescent="0.3">
      <c r="A804" s="2" t="s">
        <v>2381</v>
      </c>
      <c r="B804" s="12">
        <f t="shared" si="36"/>
        <v>46238.579874930547</v>
      </c>
      <c r="C804" s="13">
        <v>46238.579874930547</v>
      </c>
      <c r="D804" s="2" t="s">
        <v>685</v>
      </c>
      <c r="E804" s="2" t="str">
        <f t="shared" si="38"/>
        <v>Email Available</v>
      </c>
      <c r="F804" s="2" t="s">
        <v>485</v>
      </c>
      <c r="G804" s="2" t="s">
        <v>241</v>
      </c>
      <c r="H804" s="2" t="s">
        <v>242</v>
      </c>
      <c r="I804" s="2" t="s">
        <v>243</v>
      </c>
      <c r="J804" s="2">
        <v>1</v>
      </c>
      <c r="K804" s="2">
        <v>27.99</v>
      </c>
      <c r="L804" s="2" t="s">
        <v>67</v>
      </c>
      <c r="M804" s="2">
        <v>2.8</v>
      </c>
      <c r="N804" s="2">
        <v>5.99</v>
      </c>
      <c r="O804" s="2">
        <v>31.18</v>
      </c>
      <c r="P804" s="2" t="s">
        <v>27</v>
      </c>
      <c r="Q804" s="2" t="s">
        <v>90</v>
      </c>
      <c r="R804" s="2" t="s">
        <v>52</v>
      </c>
      <c r="S804" s="2" t="s">
        <v>30</v>
      </c>
      <c r="T804" s="2" t="s">
        <v>91</v>
      </c>
      <c r="U804" s="2" t="str">
        <f t="shared" si="37"/>
        <v>Valid</v>
      </c>
      <c r="V804" s="2" t="s">
        <v>2382</v>
      </c>
    </row>
    <row r="805" spans="1:22" hidden="1" x14ac:dyDescent="0.3">
      <c r="A805" s="2" t="s">
        <v>2383</v>
      </c>
      <c r="B805" s="12">
        <f t="shared" si="36"/>
        <v>46238.580269652783</v>
      </c>
      <c r="C805" s="13">
        <v>46238.580269652783</v>
      </c>
      <c r="D805" s="2" t="s">
        <v>420</v>
      </c>
      <c r="E805" s="2" t="str">
        <f t="shared" si="38"/>
        <v>Email Available</v>
      </c>
      <c r="F805" s="2" t="s">
        <v>421</v>
      </c>
      <c r="G805" s="2" t="s">
        <v>195</v>
      </c>
      <c r="H805" s="2" t="s">
        <v>196</v>
      </c>
      <c r="I805" s="2" t="s">
        <v>197</v>
      </c>
      <c r="J805" s="2">
        <v>1</v>
      </c>
      <c r="K805" s="2">
        <v>13.49</v>
      </c>
      <c r="L805" s="2"/>
      <c r="M805" s="2">
        <v>0</v>
      </c>
      <c r="N805" s="2">
        <v>7.99</v>
      </c>
      <c r="O805" s="2">
        <v>21.48</v>
      </c>
      <c r="P805" s="2" t="s">
        <v>51</v>
      </c>
      <c r="Q805" s="2" t="s">
        <v>114</v>
      </c>
      <c r="R805" s="2" t="s">
        <v>29</v>
      </c>
      <c r="S805" s="2" t="s">
        <v>337</v>
      </c>
      <c r="T805" s="2"/>
      <c r="U805" s="2" t="str">
        <f t="shared" si="37"/>
        <v>Not Required</v>
      </c>
      <c r="V805" s="2" t="s">
        <v>2384</v>
      </c>
    </row>
    <row r="806" spans="1:22" hidden="1" x14ac:dyDescent="0.3">
      <c r="A806" s="2" t="s">
        <v>2385</v>
      </c>
      <c r="B806" s="12">
        <f t="shared" si="36"/>
        <v>46238.58863140046</v>
      </c>
      <c r="C806" s="13">
        <v>46238.58863140046</v>
      </c>
      <c r="D806" s="2" t="s">
        <v>633</v>
      </c>
      <c r="E806" s="2" t="str">
        <f t="shared" si="38"/>
        <v>Email Available</v>
      </c>
      <c r="F806" s="2" t="s">
        <v>634</v>
      </c>
      <c r="G806" s="2" t="s">
        <v>272</v>
      </c>
      <c r="H806" s="2" t="s">
        <v>23</v>
      </c>
      <c r="I806" s="2" t="s">
        <v>273</v>
      </c>
      <c r="J806" s="2">
        <v>1</v>
      </c>
      <c r="K806" s="2">
        <v>18.989999999999998</v>
      </c>
      <c r="L806" s="2" t="s">
        <v>39</v>
      </c>
      <c r="M806" s="2">
        <v>0</v>
      </c>
      <c r="N806" s="2">
        <v>0</v>
      </c>
      <c r="O806" s="2">
        <v>18.989999999999998</v>
      </c>
      <c r="P806" s="2" t="s">
        <v>27</v>
      </c>
      <c r="Q806" s="2" t="s">
        <v>114</v>
      </c>
      <c r="R806" s="2" t="s">
        <v>52</v>
      </c>
      <c r="S806" s="2" t="s">
        <v>30</v>
      </c>
      <c r="T806" s="2" t="s">
        <v>966</v>
      </c>
      <c r="U806" s="2" t="str">
        <f t="shared" si="37"/>
        <v>Valid</v>
      </c>
      <c r="V806" s="2" t="s">
        <v>2386</v>
      </c>
    </row>
    <row r="807" spans="1:22" hidden="1" x14ac:dyDescent="0.3">
      <c r="A807" s="2" t="s">
        <v>2387</v>
      </c>
      <c r="B807" s="12">
        <f t="shared" si="36"/>
        <v>46238.57895722222</v>
      </c>
      <c r="C807" s="13">
        <v>46238.57895722222</v>
      </c>
      <c r="D807" s="2" t="s">
        <v>825</v>
      </c>
      <c r="E807" s="2" t="str">
        <f t="shared" si="38"/>
        <v>Email Available</v>
      </c>
      <c r="F807" s="2" t="s">
        <v>826</v>
      </c>
      <c r="G807" s="2" t="s">
        <v>120</v>
      </c>
      <c r="H807" s="2" t="s">
        <v>23</v>
      </c>
      <c r="I807" s="2" t="s">
        <v>24</v>
      </c>
      <c r="J807" s="2">
        <v>1</v>
      </c>
      <c r="K807" s="2">
        <v>12.99</v>
      </c>
      <c r="L807" s="2" t="s">
        <v>25</v>
      </c>
      <c r="M807" s="2">
        <v>2.6</v>
      </c>
      <c r="N807" s="2">
        <v>5.99</v>
      </c>
      <c r="O807" s="2">
        <v>16.38</v>
      </c>
      <c r="P807" s="2" t="s">
        <v>51</v>
      </c>
      <c r="Q807" s="2" t="s">
        <v>28</v>
      </c>
      <c r="R807" s="2" t="s">
        <v>29</v>
      </c>
      <c r="S807" s="2" t="s">
        <v>75</v>
      </c>
      <c r="T807" s="2"/>
      <c r="U807" s="2" t="str">
        <f t="shared" si="37"/>
        <v>Not Required</v>
      </c>
      <c r="V807" s="2" t="s">
        <v>2388</v>
      </c>
    </row>
    <row r="808" spans="1:22" hidden="1" x14ac:dyDescent="0.3">
      <c r="A808" s="2" t="s">
        <v>2389</v>
      </c>
      <c r="B808" s="12">
        <f t="shared" si="36"/>
        <v>46238.584296678237</v>
      </c>
      <c r="C808" s="13">
        <v>46238.584296678237</v>
      </c>
      <c r="D808" s="2" t="s">
        <v>1755</v>
      </c>
      <c r="E808" s="2" t="str">
        <f t="shared" si="38"/>
        <v>Email Available</v>
      </c>
      <c r="F808" s="2" t="s">
        <v>1756</v>
      </c>
      <c r="G808" s="2" t="s">
        <v>127</v>
      </c>
      <c r="H808" s="2" t="s">
        <v>81</v>
      </c>
      <c r="I808" s="2" t="s">
        <v>128</v>
      </c>
      <c r="J808" s="2">
        <v>1</v>
      </c>
      <c r="K808" s="2">
        <v>13.99</v>
      </c>
      <c r="L808" s="2"/>
      <c r="M808" s="2">
        <v>0</v>
      </c>
      <c r="N808" s="2">
        <v>4.99</v>
      </c>
      <c r="O808" s="2">
        <v>18.98</v>
      </c>
      <c r="P808" s="2" t="s">
        <v>68</v>
      </c>
      <c r="Q808" s="2" t="s">
        <v>28</v>
      </c>
      <c r="R808" s="2" t="s">
        <v>42</v>
      </c>
      <c r="S808" s="2" t="s">
        <v>337</v>
      </c>
      <c r="T808" s="2"/>
      <c r="U808" s="2" t="str">
        <f t="shared" si="37"/>
        <v>Not Required</v>
      </c>
      <c r="V808" s="2" t="s">
        <v>2390</v>
      </c>
    </row>
    <row r="809" spans="1:22" hidden="1" x14ac:dyDescent="0.3">
      <c r="A809" s="2" t="s">
        <v>2391</v>
      </c>
      <c r="B809" s="12">
        <f t="shared" si="36"/>
        <v>46238.585965127313</v>
      </c>
      <c r="C809" s="13">
        <v>46238.585965127313</v>
      </c>
      <c r="D809" s="2" t="s">
        <v>1964</v>
      </c>
      <c r="E809" s="2" t="str">
        <f t="shared" si="38"/>
        <v>Email Available</v>
      </c>
      <c r="F809" s="2" t="s">
        <v>1965</v>
      </c>
      <c r="G809" s="2" t="s">
        <v>315</v>
      </c>
      <c r="H809" s="2" t="s">
        <v>37</v>
      </c>
      <c r="I809" s="2" t="s">
        <v>316</v>
      </c>
      <c r="J809" s="2">
        <v>1</v>
      </c>
      <c r="K809" s="2">
        <v>8.99</v>
      </c>
      <c r="L809" s="2"/>
      <c r="M809" s="2">
        <v>0</v>
      </c>
      <c r="N809" s="2">
        <v>4.99</v>
      </c>
      <c r="O809" s="2">
        <v>13.98</v>
      </c>
      <c r="P809" s="2" t="s">
        <v>51</v>
      </c>
      <c r="Q809" s="2" t="s">
        <v>28</v>
      </c>
      <c r="R809" s="2" t="s">
        <v>99</v>
      </c>
      <c r="S809" s="2" t="s">
        <v>337</v>
      </c>
      <c r="T809" s="2"/>
      <c r="U809" s="2" t="str">
        <f t="shared" si="37"/>
        <v>Not Required</v>
      </c>
      <c r="V809" s="2" t="s">
        <v>2392</v>
      </c>
    </row>
    <row r="810" spans="1:22" hidden="1" x14ac:dyDescent="0.3">
      <c r="A810" s="2" t="s">
        <v>2393</v>
      </c>
      <c r="B810" s="12">
        <f t="shared" si="36"/>
        <v>46238.581400648152</v>
      </c>
      <c r="C810" s="13">
        <v>46238.581400648152</v>
      </c>
      <c r="D810" s="2" t="s">
        <v>1294</v>
      </c>
      <c r="E810" s="2" t="str">
        <f t="shared" si="38"/>
        <v>Email Available</v>
      </c>
      <c r="F810" s="2" t="s">
        <v>1275</v>
      </c>
      <c r="G810" s="2" t="s">
        <v>151</v>
      </c>
      <c r="H810" s="2" t="s">
        <v>49</v>
      </c>
      <c r="I810" s="2" t="s">
        <v>152</v>
      </c>
      <c r="J810" s="2">
        <v>2</v>
      </c>
      <c r="K810" s="2">
        <v>34.99</v>
      </c>
      <c r="L810" s="2" t="s">
        <v>67</v>
      </c>
      <c r="M810" s="2">
        <v>7</v>
      </c>
      <c r="N810" s="2">
        <v>4.99</v>
      </c>
      <c r="O810" s="2">
        <v>67.97</v>
      </c>
      <c r="P810" s="2" t="s">
        <v>68</v>
      </c>
      <c r="Q810" s="2" t="s">
        <v>90</v>
      </c>
      <c r="R810" s="2" t="s">
        <v>42</v>
      </c>
      <c r="S810" s="2" t="s">
        <v>108</v>
      </c>
      <c r="T810" s="2"/>
      <c r="U810" s="2" t="str">
        <f t="shared" si="37"/>
        <v>Not Required</v>
      </c>
      <c r="V810" s="2" t="s">
        <v>2394</v>
      </c>
    </row>
    <row r="811" spans="1:22" hidden="1" x14ac:dyDescent="0.3">
      <c r="A811" s="2" t="s">
        <v>2395</v>
      </c>
      <c r="B811" s="12">
        <f t="shared" si="36"/>
        <v>46238.583963263889</v>
      </c>
      <c r="C811" s="13">
        <v>46238.583963263889</v>
      </c>
      <c r="D811" s="2" t="s">
        <v>2396</v>
      </c>
      <c r="E811" s="2" t="str">
        <f t="shared" si="38"/>
        <v>Email Available</v>
      </c>
      <c r="F811" s="2" t="s">
        <v>2397</v>
      </c>
      <c r="G811" s="2" t="s">
        <v>133</v>
      </c>
      <c r="H811" s="2" t="s">
        <v>106</v>
      </c>
      <c r="I811" s="2" t="s">
        <v>134</v>
      </c>
      <c r="J811" s="2">
        <v>1</v>
      </c>
      <c r="K811" s="2">
        <v>16.989999999999998</v>
      </c>
      <c r="L811" s="2" t="s">
        <v>121</v>
      </c>
      <c r="M811" s="2">
        <v>4.25</v>
      </c>
      <c r="N811" s="2">
        <v>7.99</v>
      </c>
      <c r="O811" s="2">
        <v>20.73</v>
      </c>
      <c r="P811" s="2" t="s">
        <v>27</v>
      </c>
      <c r="Q811" s="2" t="s">
        <v>41</v>
      </c>
      <c r="R811" s="2" t="s">
        <v>99</v>
      </c>
      <c r="S811" s="2" t="s">
        <v>108</v>
      </c>
      <c r="T811" s="2"/>
      <c r="U811" s="2" t="str">
        <f t="shared" si="37"/>
        <v>Not Required</v>
      </c>
      <c r="V811" s="2" t="s">
        <v>2398</v>
      </c>
    </row>
    <row r="812" spans="1:22" hidden="1" x14ac:dyDescent="0.3">
      <c r="A812" s="2" t="s">
        <v>2399</v>
      </c>
      <c r="B812" s="12">
        <f t="shared" si="36"/>
        <v>46238</v>
      </c>
      <c r="C812" s="13" t="s">
        <v>722</v>
      </c>
      <c r="D812" s="2" t="s">
        <v>1616</v>
      </c>
      <c r="E812" s="2" t="str">
        <f t="shared" si="38"/>
        <v>Email Available</v>
      </c>
      <c r="F812" s="2" t="s">
        <v>1617</v>
      </c>
      <c r="G812" s="2" t="s">
        <v>226</v>
      </c>
      <c r="H812" s="2" t="s">
        <v>23</v>
      </c>
      <c r="I812" s="2" t="s">
        <v>227</v>
      </c>
      <c r="J812" s="2">
        <v>1</v>
      </c>
      <c r="K812" s="2">
        <v>17.989999999999998</v>
      </c>
      <c r="L812" s="2" t="s">
        <v>208</v>
      </c>
      <c r="M812" s="2">
        <v>2.7</v>
      </c>
      <c r="N812" s="2">
        <v>5.99</v>
      </c>
      <c r="O812" s="2">
        <v>21.28</v>
      </c>
      <c r="P812" s="2" t="s">
        <v>68</v>
      </c>
      <c r="Q812" s="2" t="s">
        <v>28</v>
      </c>
      <c r="R812" s="2" t="s">
        <v>29</v>
      </c>
      <c r="S812" s="2" t="s">
        <v>75</v>
      </c>
      <c r="T812" s="2"/>
      <c r="U812" s="2" t="str">
        <f t="shared" si="37"/>
        <v>Not Required</v>
      </c>
      <c r="V812" s="2" t="s">
        <v>2400</v>
      </c>
    </row>
    <row r="813" spans="1:22" hidden="1" x14ac:dyDescent="0.3">
      <c r="A813" s="2" t="s">
        <v>2401</v>
      </c>
      <c r="B813" s="12">
        <f t="shared" si="36"/>
        <v>46238.581945115737</v>
      </c>
      <c r="C813" s="13">
        <v>46238.581945115737</v>
      </c>
      <c r="D813" s="2" t="s">
        <v>881</v>
      </c>
      <c r="E813" s="2" t="str">
        <f t="shared" si="38"/>
        <v>Email Available</v>
      </c>
      <c r="F813" s="2" t="s">
        <v>882</v>
      </c>
      <c r="G813" s="2" t="s">
        <v>195</v>
      </c>
      <c r="H813" s="2" t="s">
        <v>196</v>
      </c>
      <c r="I813" s="2" t="s">
        <v>197</v>
      </c>
      <c r="J813" s="2">
        <v>2</v>
      </c>
      <c r="K813" s="2">
        <v>13.49</v>
      </c>
      <c r="L813" s="2" t="s">
        <v>25</v>
      </c>
      <c r="M813" s="2" t="s">
        <v>996</v>
      </c>
      <c r="N813" s="2">
        <v>7.99</v>
      </c>
      <c r="O813" s="2">
        <v>29.57</v>
      </c>
      <c r="P813" s="2" t="s">
        <v>74</v>
      </c>
      <c r="Q813" s="2" t="s">
        <v>114</v>
      </c>
      <c r="R813" s="2" t="s">
        <v>29</v>
      </c>
      <c r="S813" s="2" t="s">
        <v>30</v>
      </c>
      <c r="T813" s="2" t="s">
        <v>69</v>
      </c>
      <c r="U813" s="2" t="str">
        <f t="shared" si="37"/>
        <v>Valid</v>
      </c>
      <c r="V813" s="2" t="s">
        <v>2402</v>
      </c>
    </row>
    <row r="814" spans="1:22" hidden="1" x14ac:dyDescent="0.3">
      <c r="A814" s="2" t="s">
        <v>2403</v>
      </c>
      <c r="B814" s="12">
        <f t="shared" si="36"/>
        <v>46238.580686574067</v>
      </c>
      <c r="C814" s="13">
        <v>46238.580686574067</v>
      </c>
      <c r="D814" s="2" t="s">
        <v>2217</v>
      </c>
      <c r="E814" s="2" t="str">
        <f t="shared" si="38"/>
        <v>Email Available</v>
      </c>
      <c r="F814" s="2" t="s">
        <v>1876</v>
      </c>
      <c r="G814" s="2" t="s">
        <v>368</v>
      </c>
      <c r="H814" s="2" t="s">
        <v>88</v>
      </c>
      <c r="I814" s="2" t="s">
        <v>369</v>
      </c>
      <c r="J814" s="2">
        <v>1</v>
      </c>
      <c r="K814" s="2">
        <v>54.99</v>
      </c>
      <c r="L814" s="2" t="s">
        <v>25</v>
      </c>
      <c r="M814" s="2">
        <v>11</v>
      </c>
      <c r="N814" s="2">
        <v>5.99</v>
      </c>
      <c r="O814" s="2">
        <v>49.98</v>
      </c>
      <c r="P814" s="2" t="s">
        <v>51</v>
      </c>
      <c r="Q814" s="2" t="s">
        <v>28</v>
      </c>
      <c r="R814" s="2" t="s">
        <v>29</v>
      </c>
      <c r="S814" s="2" t="s">
        <v>337</v>
      </c>
      <c r="T814" s="2"/>
      <c r="U814" s="2" t="str">
        <f t="shared" si="37"/>
        <v>Not Required</v>
      </c>
      <c r="V814" s="2" t="s">
        <v>2404</v>
      </c>
    </row>
    <row r="815" spans="1:22" hidden="1" x14ac:dyDescent="0.3">
      <c r="A815" s="2" t="s">
        <v>2405</v>
      </c>
      <c r="B815" s="12">
        <f t="shared" si="36"/>
        <v>46238.584208437504</v>
      </c>
      <c r="C815" s="13">
        <v>46238.584208437504</v>
      </c>
      <c r="D815" s="2" t="s">
        <v>309</v>
      </c>
      <c r="E815" s="2" t="str">
        <f t="shared" si="38"/>
        <v>Email Available</v>
      </c>
      <c r="F815" s="2" t="s">
        <v>310</v>
      </c>
      <c r="G815" s="2" t="s">
        <v>112</v>
      </c>
      <c r="H815" s="2" t="s">
        <v>81</v>
      </c>
      <c r="I815" s="2" t="s">
        <v>113</v>
      </c>
      <c r="J815" s="2">
        <v>4</v>
      </c>
      <c r="K815" s="2">
        <v>22.99</v>
      </c>
      <c r="L815" s="2" t="s">
        <v>67</v>
      </c>
      <c r="M815" s="2">
        <v>9.1999999999999993</v>
      </c>
      <c r="N815" s="2">
        <v>0</v>
      </c>
      <c r="O815" s="2" t="s">
        <v>2406</v>
      </c>
      <c r="P815" s="2" t="s">
        <v>51</v>
      </c>
      <c r="Q815" s="2" t="s">
        <v>28</v>
      </c>
      <c r="R815" s="2" t="s">
        <v>52</v>
      </c>
      <c r="S815" s="2" t="s">
        <v>30</v>
      </c>
      <c r="T815" s="2" t="s">
        <v>145</v>
      </c>
      <c r="U815" s="2" t="str">
        <f t="shared" si="37"/>
        <v>Valid</v>
      </c>
      <c r="V815" s="2" t="s">
        <v>2407</v>
      </c>
    </row>
    <row r="816" spans="1:22" hidden="1" x14ac:dyDescent="0.3">
      <c r="A816" s="2" t="s">
        <v>2408</v>
      </c>
      <c r="B816" s="12">
        <f t="shared" si="36"/>
        <v>46238.583426145837</v>
      </c>
      <c r="C816" s="13">
        <v>46238.583426145837</v>
      </c>
      <c r="D816" s="2" t="s">
        <v>1471</v>
      </c>
      <c r="E816" s="2" t="str">
        <f t="shared" si="38"/>
        <v>Email Available</v>
      </c>
      <c r="F816" s="2" t="s">
        <v>1472</v>
      </c>
      <c r="G816" s="2" t="s">
        <v>2409</v>
      </c>
      <c r="H816" s="2" t="s">
        <v>23</v>
      </c>
      <c r="I816" s="2" t="s">
        <v>273</v>
      </c>
      <c r="J816" s="2">
        <v>1</v>
      </c>
      <c r="K816" s="2">
        <v>18.989999999999998</v>
      </c>
      <c r="L816" s="2"/>
      <c r="M816" s="2">
        <v>0</v>
      </c>
      <c r="N816" s="2">
        <v>7.99</v>
      </c>
      <c r="O816" s="2">
        <v>26.98</v>
      </c>
      <c r="P816" s="2" t="s">
        <v>40</v>
      </c>
      <c r="Q816" s="2" t="s">
        <v>90</v>
      </c>
      <c r="R816" s="2" t="s">
        <v>29</v>
      </c>
      <c r="S816" s="2" t="s">
        <v>30</v>
      </c>
      <c r="T816" s="2" t="s">
        <v>347</v>
      </c>
      <c r="U816" s="2" t="str">
        <f t="shared" si="37"/>
        <v>Valid</v>
      </c>
      <c r="V816" s="2" t="s">
        <v>2410</v>
      </c>
    </row>
    <row r="817" spans="1:22" hidden="1" x14ac:dyDescent="0.3">
      <c r="A817" s="2" t="s">
        <v>2411</v>
      </c>
      <c r="B817" s="12">
        <f t="shared" si="36"/>
        <v>46238.588458692131</v>
      </c>
      <c r="C817" s="13">
        <v>46238.588458692131</v>
      </c>
      <c r="D817" s="2" t="s">
        <v>331</v>
      </c>
      <c r="E817" s="2" t="str">
        <f t="shared" si="38"/>
        <v>Email Available</v>
      </c>
      <c r="F817" s="2" t="s">
        <v>332</v>
      </c>
      <c r="G817" s="2" t="s">
        <v>206</v>
      </c>
      <c r="H817" s="2" t="s">
        <v>196</v>
      </c>
      <c r="I817" s="2" t="s">
        <v>207</v>
      </c>
      <c r="J817" s="2">
        <v>1</v>
      </c>
      <c r="K817" s="2">
        <v>24.99</v>
      </c>
      <c r="L817" s="2" t="s">
        <v>121</v>
      </c>
      <c r="M817" s="2">
        <v>6.25</v>
      </c>
      <c r="N817" s="2">
        <v>5.99</v>
      </c>
      <c r="O817" s="2">
        <v>24.73</v>
      </c>
      <c r="P817" s="2" t="s">
        <v>40</v>
      </c>
      <c r="Q817" s="2" t="s">
        <v>28</v>
      </c>
      <c r="R817" s="2" t="s">
        <v>99</v>
      </c>
      <c r="S817" s="2" t="s">
        <v>30</v>
      </c>
      <c r="T817" s="2" t="s">
        <v>115</v>
      </c>
      <c r="U817" s="2" t="str">
        <f t="shared" si="37"/>
        <v>Valid</v>
      </c>
      <c r="V817" s="2" t="s">
        <v>2412</v>
      </c>
    </row>
    <row r="818" spans="1:22" hidden="1" x14ac:dyDescent="0.3">
      <c r="A818" s="2" t="s">
        <v>2413</v>
      </c>
      <c r="B818" s="12">
        <f t="shared" si="36"/>
        <v>46238.581288159723</v>
      </c>
      <c r="C818" s="13">
        <v>46238.581288159723</v>
      </c>
      <c r="D818" s="2" t="s">
        <v>819</v>
      </c>
      <c r="E818" s="2" t="str">
        <f t="shared" si="38"/>
        <v>Email Available</v>
      </c>
      <c r="F818" s="2" t="s">
        <v>820</v>
      </c>
      <c r="G818" s="2" t="s">
        <v>171</v>
      </c>
      <c r="H818" s="2" t="s">
        <v>106</v>
      </c>
      <c r="I818" s="2" t="s">
        <v>172</v>
      </c>
      <c r="J818" s="2">
        <v>1</v>
      </c>
      <c r="K818" s="2">
        <v>32.99</v>
      </c>
      <c r="L818" s="2" t="s">
        <v>121</v>
      </c>
      <c r="M818" s="2">
        <v>8.25</v>
      </c>
      <c r="N818" s="2">
        <v>4.99</v>
      </c>
      <c r="O818" s="2">
        <v>29.73</v>
      </c>
      <c r="P818" s="2" t="s">
        <v>40</v>
      </c>
      <c r="Q818" s="2" t="s">
        <v>28</v>
      </c>
      <c r="R818" s="2" t="s">
        <v>52</v>
      </c>
      <c r="S818" s="2" t="s">
        <v>30</v>
      </c>
      <c r="T818" s="2" t="s">
        <v>145</v>
      </c>
      <c r="U818" s="2" t="str">
        <f t="shared" si="37"/>
        <v>Valid</v>
      </c>
      <c r="V818" s="2" t="s">
        <v>2414</v>
      </c>
    </row>
    <row r="819" spans="1:22" hidden="1" x14ac:dyDescent="0.3">
      <c r="A819" s="2" t="s">
        <v>2415</v>
      </c>
      <c r="B819" s="12">
        <f t="shared" si="36"/>
        <v>46238.579195196762</v>
      </c>
      <c r="C819" s="13">
        <v>46238.579195196762</v>
      </c>
      <c r="D819" s="2" t="s">
        <v>511</v>
      </c>
      <c r="E819" s="2" t="str">
        <f t="shared" si="38"/>
        <v>Email Available</v>
      </c>
      <c r="F819" s="2" t="s">
        <v>512</v>
      </c>
      <c r="G819" s="2" t="s">
        <v>272</v>
      </c>
      <c r="H819" s="2" t="s">
        <v>23</v>
      </c>
      <c r="I819" s="2" t="s">
        <v>273</v>
      </c>
      <c r="J819" s="2">
        <v>2</v>
      </c>
      <c r="K819" s="2" t="s">
        <v>639</v>
      </c>
      <c r="L819" s="2"/>
      <c r="M819" s="2">
        <v>0</v>
      </c>
      <c r="N819" s="2">
        <v>5.99</v>
      </c>
      <c r="O819" s="2">
        <v>43.97</v>
      </c>
      <c r="P819" s="2" t="s">
        <v>40</v>
      </c>
      <c r="Q819" s="2" t="s">
        <v>28</v>
      </c>
      <c r="R819" s="2" t="s">
        <v>52</v>
      </c>
      <c r="S819" s="2" t="s">
        <v>30</v>
      </c>
      <c r="T819" s="2" t="s">
        <v>145</v>
      </c>
      <c r="U819" s="2" t="str">
        <f t="shared" si="37"/>
        <v>Valid</v>
      </c>
      <c r="V819" s="2" t="s">
        <v>2416</v>
      </c>
    </row>
    <row r="820" spans="1:22" hidden="1" x14ac:dyDescent="0.3">
      <c r="A820" s="2" t="s">
        <v>2417</v>
      </c>
      <c r="B820" s="12">
        <f t="shared" si="36"/>
        <v>46238.579190081022</v>
      </c>
      <c r="C820" s="13">
        <v>46238.579190081022</v>
      </c>
      <c r="D820" s="2" t="s">
        <v>345</v>
      </c>
      <c r="E820" s="2" t="str">
        <f t="shared" si="38"/>
        <v>Email Available</v>
      </c>
      <c r="F820" s="2" t="s">
        <v>452</v>
      </c>
      <c r="G820" s="2" t="s">
        <v>112</v>
      </c>
      <c r="H820" s="2" t="s">
        <v>81</v>
      </c>
      <c r="I820" s="2" t="s">
        <v>113</v>
      </c>
      <c r="J820" s="2">
        <v>1</v>
      </c>
      <c r="K820" s="2">
        <v>22.99</v>
      </c>
      <c r="L820" s="2"/>
      <c r="M820" s="2">
        <v>0</v>
      </c>
      <c r="N820" s="2">
        <v>4.99</v>
      </c>
      <c r="O820" s="2">
        <v>27.98</v>
      </c>
      <c r="P820" s="2" t="s">
        <v>51</v>
      </c>
      <c r="Q820" s="2" t="s">
        <v>90</v>
      </c>
      <c r="R820" s="2" t="s">
        <v>52</v>
      </c>
      <c r="S820" s="2" t="s">
        <v>30</v>
      </c>
      <c r="T820" s="2" t="s">
        <v>454</v>
      </c>
      <c r="U820" s="2" t="str">
        <f t="shared" si="37"/>
        <v>Valid</v>
      </c>
      <c r="V820" s="2" t="s">
        <v>2418</v>
      </c>
    </row>
    <row r="821" spans="1:22" hidden="1" x14ac:dyDescent="0.3">
      <c r="A821" s="2" t="s">
        <v>2419</v>
      </c>
      <c r="B821" s="12">
        <f t="shared" si="36"/>
        <v>46238.589064861109</v>
      </c>
      <c r="C821" s="13">
        <v>46238.589064861109</v>
      </c>
      <c r="D821" s="2" t="s">
        <v>1007</v>
      </c>
      <c r="E821" s="2" t="str">
        <f t="shared" si="38"/>
        <v>Email Available</v>
      </c>
      <c r="F821" s="2" t="s">
        <v>1008</v>
      </c>
      <c r="G821" s="2" t="s">
        <v>157</v>
      </c>
      <c r="H821" s="2" t="s">
        <v>37</v>
      </c>
      <c r="I821" s="2" t="s">
        <v>158</v>
      </c>
      <c r="J821" s="2">
        <v>2</v>
      </c>
      <c r="K821" s="2" t="s">
        <v>618</v>
      </c>
      <c r="L821" s="2" t="s">
        <v>208</v>
      </c>
      <c r="M821" s="2">
        <v>9</v>
      </c>
      <c r="N821" s="2">
        <v>4.99</v>
      </c>
      <c r="O821" s="2">
        <v>55.97</v>
      </c>
      <c r="P821" s="2" t="s">
        <v>40</v>
      </c>
      <c r="Q821" s="2" t="s">
        <v>90</v>
      </c>
      <c r="R821" s="2" t="s">
        <v>52</v>
      </c>
      <c r="S821" s="2" t="s">
        <v>43</v>
      </c>
      <c r="T821" s="2"/>
      <c r="U821" s="2" t="str">
        <f t="shared" si="37"/>
        <v>Not Required</v>
      </c>
      <c r="V821" s="2" t="s">
        <v>2420</v>
      </c>
    </row>
    <row r="822" spans="1:22" hidden="1" x14ac:dyDescent="0.3">
      <c r="A822" s="2" t="s">
        <v>2421</v>
      </c>
      <c r="B822" s="12">
        <f t="shared" si="36"/>
        <v>46238.589138761577</v>
      </c>
      <c r="C822" s="13">
        <v>46238.589138761577</v>
      </c>
      <c r="D822" s="2" t="s">
        <v>2422</v>
      </c>
      <c r="E822" s="2" t="str">
        <f t="shared" si="38"/>
        <v>Email Available</v>
      </c>
      <c r="F822" s="2" t="s">
        <v>2423</v>
      </c>
      <c r="G822" s="2" t="s">
        <v>157</v>
      </c>
      <c r="H822" s="2" t="s">
        <v>37</v>
      </c>
      <c r="I822" s="2" t="s">
        <v>158</v>
      </c>
      <c r="J822" s="2">
        <v>2</v>
      </c>
      <c r="K822" s="2" t="s">
        <v>618</v>
      </c>
      <c r="L822" s="2" t="s">
        <v>25</v>
      </c>
      <c r="M822" s="2">
        <v>12</v>
      </c>
      <c r="N822" s="2">
        <v>4.99</v>
      </c>
      <c r="O822" s="2">
        <v>52.97</v>
      </c>
      <c r="P822" s="2" t="s">
        <v>40</v>
      </c>
      <c r="Q822" s="2" t="s">
        <v>28</v>
      </c>
      <c r="R822" s="2" t="s">
        <v>99</v>
      </c>
      <c r="S822" s="2" t="s">
        <v>228</v>
      </c>
      <c r="T822" s="2"/>
      <c r="U822" s="2" t="str">
        <f t="shared" si="37"/>
        <v>Not Required</v>
      </c>
      <c r="V822" s="2" t="s">
        <v>2424</v>
      </c>
    </row>
    <row r="823" spans="1:22" hidden="1" x14ac:dyDescent="0.3">
      <c r="A823" s="2" t="s">
        <v>2425</v>
      </c>
      <c r="B823" s="12">
        <f t="shared" si="36"/>
        <v>46120</v>
      </c>
      <c r="C823" s="13" t="s">
        <v>142</v>
      </c>
      <c r="D823" s="2" t="s">
        <v>952</v>
      </c>
      <c r="E823" s="2" t="str">
        <f t="shared" si="38"/>
        <v>Email Available</v>
      </c>
      <c r="F823" s="2" t="s">
        <v>953</v>
      </c>
      <c r="G823" s="2" t="s">
        <v>80</v>
      </c>
      <c r="H823" s="2" t="s">
        <v>81</v>
      </c>
      <c r="I823" s="2" t="s">
        <v>82</v>
      </c>
      <c r="J823" s="2">
        <v>1</v>
      </c>
      <c r="K823" s="2">
        <v>89.99</v>
      </c>
      <c r="L823" s="2"/>
      <c r="M823" s="2">
        <v>0</v>
      </c>
      <c r="N823" s="2">
        <v>0</v>
      </c>
      <c r="O823" s="2">
        <v>89.99</v>
      </c>
      <c r="P823" s="2" t="s">
        <v>27</v>
      </c>
      <c r="Q823" s="2" t="s">
        <v>41</v>
      </c>
      <c r="R823" s="2" t="s">
        <v>42</v>
      </c>
      <c r="S823" s="2" t="s">
        <v>30</v>
      </c>
      <c r="T823" s="2" t="s">
        <v>60</v>
      </c>
      <c r="U823" s="2" t="str">
        <f t="shared" si="37"/>
        <v>Valid</v>
      </c>
      <c r="V823" s="2" t="s">
        <v>2279</v>
      </c>
    </row>
    <row r="824" spans="1:22" hidden="1" x14ac:dyDescent="0.3">
      <c r="A824" s="2" t="s">
        <v>2426</v>
      </c>
      <c r="B824" s="12">
        <f t="shared" si="36"/>
        <v>46120</v>
      </c>
      <c r="C824" s="13" t="s">
        <v>142</v>
      </c>
      <c r="D824" s="2" t="s">
        <v>2174</v>
      </c>
      <c r="E824" s="2" t="str">
        <f t="shared" si="38"/>
        <v>Email Available</v>
      </c>
      <c r="F824" s="2" t="s">
        <v>2427</v>
      </c>
      <c r="G824" s="2" t="s">
        <v>226</v>
      </c>
      <c r="H824" s="2" t="s">
        <v>23</v>
      </c>
      <c r="I824" s="2" t="s">
        <v>227</v>
      </c>
      <c r="J824" s="2">
        <v>1</v>
      </c>
      <c r="K824" s="2">
        <v>17.989999999999998</v>
      </c>
      <c r="L824" s="2" t="s">
        <v>25</v>
      </c>
      <c r="M824" s="2" t="s">
        <v>715</v>
      </c>
      <c r="N824" s="2">
        <v>7.99</v>
      </c>
      <c r="O824" s="2">
        <v>22.38</v>
      </c>
      <c r="P824" s="2" t="s">
        <v>74</v>
      </c>
      <c r="Q824" s="2" t="s">
        <v>90</v>
      </c>
      <c r="R824" s="2" t="s">
        <v>52</v>
      </c>
      <c r="S824" s="2" t="s">
        <v>30</v>
      </c>
      <c r="T824" s="2" t="s">
        <v>60</v>
      </c>
      <c r="U824" s="2" t="str">
        <f t="shared" si="37"/>
        <v>Valid</v>
      </c>
      <c r="V824" s="2" t="s">
        <v>2428</v>
      </c>
    </row>
    <row r="825" spans="1:22" hidden="1" x14ac:dyDescent="0.3">
      <c r="A825" s="2" t="s">
        <v>2429</v>
      </c>
      <c r="B825" s="12">
        <f t="shared" si="36"/>
        <v>46238.584749895832</v>
      </c>
      <c r="C825" s="13">
        <v>46238.584749895832</v>
      </c>
      <c r="D825" s="2" t="s">
        <v>1459</v>
      </c>
      <c r="E825" s="2" t="str">
        <f t="shared" si="38"/>
        <v>Email Available</v>
      </c>
      <c r="F825" s="2" t="s">
        <v>1460</v>
      </c>
      <c r="G825" s="2" t="s">
        <v>226</v>
      </c>
      <c r="H825" s="2" t="s">
        <v>23</v>
      </c>
      <c r="I825" s="2" t="s">
        <v>227</v>
      </c>
      <c r="J825" s="2">
        <v>2</v>
      </c>
      <c r="K825" s="2">
        <v>17.989999999999998</v>
      </c>
      <c r="L825" s="2" t="s">
        <v>39</v>
      </c>
      <c r="M825" s="2">
        <v>0</v>
      </c>
      <c r="N825" s="2">
        <v>0</v>
      </c>
      <c r="O825" s="2">
        <v>35.979999999999997</v>
      </c>
      <c r="P825" s="2" t="s">
        <v>27</v>
      </c>
      <c r="Q825" s="2" t="s">
        <v>28</v>
      </c>
      <c r="R825" s="2" t="s">
        <v>52</v>
      </c>
      <c r="S825" s="2" t="s">
        <v>30</v>
      </c>
      <c r="T825" s="2" t="s">
        <v>75</v>
      </c>
      <c r="U825" s="2" t="str">
        <f t="shared" si="37"/>
        <v>Valid</v>
      </c>
      <c r="V825" s="2" t="s">
        <v>2430</v>
      </c>
    </row>
    <row r="826" spans="1:22" hidden="1" x14ac:dyDescent="0.3">
      <c r="A826" s="2" t="s">
        <v>2431</v>
      </c>
      <c r="B826" s="12">
        <f t="shared" si="36"/>
        <v>46238.585623634259</v>
      </c>
      <c r="C826" s="13">
        <v>46238.585623634259</v>
      </c>
      <c r="D826" s="2" t="s">
        <v>988</v>
      </c>
      <c r="E826" s="2" t="str">
        <f t="shared" si="38"/>
        <v>Email Available</v>
      </c>
      <c r="F826" s="2" t="s">
        <v>989</v>
      </c>
      <c r="G826" s="2" t="s">
        <v>36</v>
      </c>
      <c r="H826" s="2" t="s">
        <v>37</v>
      </c>
      <c r="I826" s="2" t="s">
        <v>38</v>
      </c>
      <c r="J826" s="2">
        <v>1</v>
      </c>
      <c r="K826" s="2">
        <v>21.99</v>
      </c>
      <c r="L826" s="2" t="s">
        <v>121</v>
      </c>
      <c r="M826" s="2">
        <v>5.5</v>
      </c>
      <c r="N826" s="2">
        <v>5.99</v>
      </c>
      <c r="O826" s="2">
        <v>22.48</v>
      </c>
      <c r="P826" s="2" t="s">
        <v>68</v>
      </c>
      <c r="Q826" s="2" t="s">
        <v>90</v>
      </c>
      <c r="R826" s="2" t="s">
        <v>52</v>
      </c>
      <c r="S826" s="2" t="s">
        <v>337</v>
      </c>
      <c r="T826" s="2"/>
      <c r="U826" s="2" t="str">
        <f t="shared" si="37"/>
        <v>Not Required</v>
      </c>
      <c r="V826" s="2" t="s">
        <v>2432</v>
      </c>
    </row>
    <row r="827" spans="1:22" hidden="1" x14ac:dyDescent="0.3">
      <c r="A827" s="2" t="s">
        <v>2433</v>
      </c>
      <c r="B827" s="12">
        <f t="shared" si="36"/>
        <v>46238</v>
      </c>
      <c r="C827" s="13" t="s">
        <v>148</v>
      </c>
      <c r="D827" s="2" t="s">
        <v>1495</v>
      </c>
      <c r="E827" s="2" t="str">
        <f t="shared" si="38"/>
        <v>Email Available</v>
      </c>
      <c r="F827" s="2" t="s">
        <v>1496</v>
      </c>
      <c r="G827" s="2" t="s">
        <v>58</v>
      </c>
      <c r="H827" s="2" t="s">
        <v>23</v>
      </c>
      <c r="I827" s="2" t="s">
        <v>59</v>
      </c>
      <c r="J827" s="2">
        <v>1</v>
      </c>
      <c r="K827" s="2">
        <v>9.99</v>
      </c>
      <c r="L827" s="2" t="s">
        <v>208</v>
      </c>
      <c r="M827" s="2">
        <v>1.5</v>
      </c>
      <c r="N827" s="2">
        <v>4.99</v>
      </c>
      <c r="O827" s="2">
        <v>13.48</v>
      </c>
      <c r="P827" s="2" t="s">
        <v>51</v>
      </c>
      <c r="Q827" s="2" t="s">
        <v>114</v>
      </c>
      <c r="R827" s="2" t="s">
        <v>42</v>
      </c>
      <c r="S827" s="2" t="s">
        <v>43</v>
      </c>
      <c r="T827" s="2"/>
      <c r="U827" s="2" t="str">
        <f t="shared" si="37"/>
        <v>Not Required</v>
      </c>
      <c r="V827" s="2" t="s">
        <v>2434</v>
      </c>
    </row>
    <row r="828" spans="1:22" hidden="1" x14ac:dyDescent="0.3">
      <c r="A828" s="2" t="s">
        <v>2435</v>
      </c>
      <c r="B828" s="12">
        <f t="shared" si="36"/>
        <v>46238.585280567131</v>
      </c>
      <c r="C828" s="13">
        <v>46238.585280567131</v>
      </c>
      <c r="D828" s="2" t="s">
        <v>492</v>
      </c>
      <c r="E828" s="2" t="str">
        <f t="shared" si="38"/>
        <v>Email Available</v>
      </c>
      <c r="F828" s="2" t="s">
        <v>493</v>
      </c>
      <c r="G828" s="2" t="s">
        <v>315</v>
      </c>
      <c r="H828" s="2" t="s">
        <v>37</v>
      </c>
      <c r="I828" s="2" t="s">
        <v>316</v>
      </c>
      <c r="J828" s="2">
        <v>1</v>
      </c>
      <c r="K828" s="2">
        <v>8.99</v>
      </c>
      <c r="L828" s="2" t="s">
        <v>39</v>
      </c>
      <c r="M828" s="2" t="s">
        <v>189</v>
      </c>
      <c r="N828" s="2">
        <v>0</v>
      </c>
      <c r="O828" s="2">
        <v>8.99</v>
      </c>
      <c r="P828" s="2" t="s">
        <v>51</v>
      </c>
      <c r="Q828" s="2" t="s">
        <v>28</v>
      </c>
      <c r="R828" s="2" t="s">
        <v>52</v>
      </c>
      <c r="S828" s="2" t="s">
        <v>75</v>
      </c>
      <c r="T828" s="2"/>
      <c r="U828" s="2" t="str">
        <f t="shared" si="37"/>
        <v>Not Required</v>
      </c>
      <c r="V828" s="2" t="s">
        <v>2436</v>
      </c>
    </row>
    <row r="829" spans="1:22" hidden="1" x14ac:dyDescent="0.3">
      <c r="A829" s="2" t="s">
        <v>2437</v>
      </c>
      <c r="B829" s="12">
        <f t="shared" ref="B829:B892" si="39">IF(ISNUMBER(C829),C829,DATEVALUE(SUBSTITUTE(TRIM(C829),CHAR(160)," ")))</f>
        <v>46238.581387604157</v>
      </c>
      <c r="C829" s="13">
        <v>46238.581387604157</v>
      </c>
      <c r="D829" s="2" t="s">
        <v>1007</v>
      </c>
      <c r="E829" s="2" t="str">
        <f t="shared" si="38"/>
        <v>Email Available</v>
      </c>
      <c r="F829" s="2" t="s">
        <v>1008</v>
      </c>
      <c r="G829" s="2" t="s">
        <v>36</v>
      </c>
      <c r="H829" s="2" t="s">
        <v>37</v>
      </c>
      <c r="I829" s="2" t="s">
        <v>38</v>
      </c>
      <c r="J829" s="2">
        <v>1</v>
      </c>
      <c r="K829" s="2">
        <v>21.99</v>
      </c>
      <c r="L829" s="2" t="s">
        <v>25</v>
      </c>
      <c r="M829" s="2">
        <v>4.4000000000000004</v>
      </c>
      <c r="N829" s="2">
        <v>7.99</v>
      </c>
      <c r="O829" s="2">
        <v>25.58</v>
      </c>
      <c r="P829" s="2" t="s">
        <v>74</v>
      </c>
      <c r="Q829" s="2" t="s">
        <v>41</v>
      </c>
      <c r="R829" s="2" t="s">
        <v>42</v>
      </c>
      <c r="S829" s="2" t="s">
        <v>43</v>
      </c>
      <c r="T829" s="2"/>
      <c r="U829" s="2" t="str">
        <f t="shared" ref="U829:U892" si="40">IF(AND(S829="United States",T829=""),"Missing state",IF(T829="","Not Required","Valid"))</f>
        <v>Not Required</v>
      </c>
      <c r="V829" s="2" t="s">
        <v>2438</v>
      </c>
    </row>
    <row r="830" spans="1:22" hidden="1" x14ac:dyDescent="0.3">
      <c r="A830" s="2" t="s">
        <v>2439</v>
      </c>
      <c r="B830" s="12">
        <f t="shared" si="39"/>
        <v>46238.588382083333</v>
      </c>
      <c r="C830" s="13">
        <v>46238.588382083333</v>
      </c>
      <c r="D830" s="2" t="s">
        <v>614</v>
      </c>
      <c r="E830" s="2" t="str">
        <f t="shared" si="38"/>
        <v>Email Available</v>
      </c>
      <c r="F830" s="2" t="s">
        <v>615</v>
      </c>
      <c r="G830" s="2" t="s">
        <v>65</v>
      </c>
      <c r="H830" s="2" t="s">
        <v>49</v>
      </c>
      <c r="I830" s="2" t="s">
        <v>453</v>
      </c>
      <c r="J830" s="2">
        <v>1</v>
      </c>
      <c r="K830" s="2">
        <v>14.99</v>
      </c>
      <c r="L830" s="2"/>
      <c r="M830" s="2">
        <v>0</v>
      </c>
      <c r="N830" s="2">
        <v>5.99</v>
      </c>
      <c r="O830" s="2">
        <v>20.98</v>
      </c>
      <c r="P830" s="2" t="s">
        <v>51</v>
      </c>
      <c r="Q830" s="2" t="s">
        <v>28</v>
      </c>
      <c r="R830" s="2" t="s">
        <v>52</v>
      </c>
      <c r="S830" s="2" t="s">
        <v>43</v>
      </c>
      <c r="T830" s="2"/>
      <c r="U830" s="2" t="str">
        <f t="shared" si="40"/>
        <v>Not Required</v>
      </c>
      <c r="V830" s="2" t="s">
        <v>2440</v>
      </c>
    </row>
    <row r="831" spans="1:22" hidden="1" x14ac:dyDescent="0.3">
      <c r="A831" s="2" t="s">
        <v>2441</v>
      </c>
      <c r="B831" s="12">
        <f t="shared" si="39"/>
        <v>46238.580983032407</v>
      </c>
      <c r="C831" s="13">
        <v>46238.580983032407</v>
      </c>
      <c r="D831" s="2" t="s">
        <v>428</v>
      </c>
      <c r="E831" s="2" t="str">
        <f t="shared" si="38"/>
        <v>Email Available</v>
      </c>
      <c r="F831" s="2" t="s">
        <v>429</v>
      </c>
      <c r="G831" s="2" t="s">
        <v>284</v>
      </c>
      <c r="H831" s="2" t="s">
        <v>23</v>
      </c>
      <c r="I831" s="2" t="s">
        <v>285</v>
      </c>
      <c r="J831" s="2">
        <v>1</v>
      </c>
      <c r="K831" s="2">
        <v>24.99</v>
      </c>
      <c r="L831" s="2" t="s">
        <v>25</v>
      </c>
      <c r="M831" s="2">
        <v>5</v>
      </c>
      <c r="N831" s="2">
        <v>4.99</v>
      </c>
      <c r="O831" s="2">
        <v>24.98</v>
      </c>
      <c r="P831" s="2" t="s">
        <v>68</v>
      </c>
      <c r="Q831" s="2" t="s">
        <v>28</v>
      </c>
      <c r="R831" s="2" t="s">
        <v>99</v>
      </c>
      <c r="S831" s="2" t="s">
        <v>30</v>
      </c>
      <c r="T831" s="2" t="s">
        <v>347</v>
      </c>
      <c r="U831" s="2" t="str">
        <f t="shared" si="40"/>
        <v>Valid</v>
      </c>
      <c r="V831" s="2" t="s">
        <v>2442</v>
      </c>
    </row>
    <row r="832" spans="1:22" hidden="1" x14ac:dyDescent="0.3">
      <c r="A832" s="2" t="s">
        <v>2443</v>
      </c>
      <c r="B832" s="12">
        <f t="shared" si="39"/>
        <v>46238.580705300927</v>
      </c>
      <c r="C832" s="13">
        <v>46238.580705300927</v>
      </c>
      <c r="D832" s="2"/>
      <c r="E832" s="2" t="str">
        <f t="shared" si="38"/>
        <v>Email Available</v>
      </c>
      <c r="F832" s="2" t="s">
        <v>471</v>
      </c>
      <c r="G832" s="2" t="s">
        <v>206</v>
      </c>
      <c r="H832" s="2" t="s">
        <v>196</v>
      </c>
      <c r="I832" s="2" t="s">
        <v>207</v>
      </c>
      <c r="J832" s="2">
        <v>2</v>
      </c>
      <c r="K832" s="2">
        <v>24.99</v>
      </c>
      <c r="L832" s="2" t="s">
        <v>67</v>
      </c>
      <c r="M832" s="2">
        <v>5</v>
      </c>
      <c r="N832" s="2">
        <v>7.99</v>
      </c>
      <c r="O832" s="2">
        <v>52.97</v>
      </c>
      <c r="P832" s="2" t="s">
        <v>51</v>
      </c>
      <c r="Q832" s="2" t="s">
        <v>28</v>
      </c>
      <c r="R832" s="2" t="s">
        <v>29</v>
      </c>
      <c r="S832" s="2" t="s">
        <v>43</v>
      </c>
      <c r="T832" s="2"/>
      <c r="U832" s="2" t="str">
        <f t="shared" si="40"/>
        <v>Not Required</v>
      </c>
      <c r="V832" s="2" t="s">
        <v>2444</v>
      </c>
    </row>
    <row r="833" spans="1:22" x14ac:dyDescent="0.3">
      <c r="A833" s="2" t="s">
        <v>2445</v>
      </c>
      <c r="B833" s="12">
        <f t="shared" si="39"/>
        <v>46238.585874571763</v>
      </c>
      <c r="C833" s="13">
        <v>46238.585874571763</v>
      </c>
      <c r="D833" s="2" t="s">
        <v>797</v>
      </c>
      <c r="E833" s="2" t="str">
        <f t="shared" si="38"/>
        <v>Missing Email</v>
      </c>
      <c r="F833" s="2"/>
      <c r="G833" s="2" t="s">
        <v>58</v>
      </c>
      <c r="H833" s="2" t="s">
        <v>23</v>
      </c>
      <c r="I833" s="2" t="s">
        <v>59</v>
      </c>
      <c r="J833" s="2">
        <v>1</v>
      </c>
      <c r="K833" s="2">
        <v>9.99</v>
      </c>
      <c r="L833" s="2"/>
      <c r="M833" s="2">
        <v>0</v>
      </c>
      <c r="N833" s="2">
        <v>4.99</v>
      </c>
      <c r="O833" s="2">
        <v>14.98</v>
      </c>
      <c r="P833" s="2" t="s">
        <v>27</v>
      </c>
      <c r="Q833" s="2" t="s">
        <v>28</v>
      </c>
      <c r="R833" s="2" t="s">
        <v>52</v>
      </c>
      <c r="S833" s="2" t="s">
        <v>337</v>
      </c>
      <c r="T833" s="2"/>
      <c r="U833" s="2" t="str">
        <f t="shared" si="40"/>
        <v>Not Required</v>
      </c>
      <c r="V833" s="2" t="s">
        <v>2446</v>
      </c>
    </row>
    <row r="834" spans="1:22" hidden="1" x14ac:dyDescent="0.3">
      <c r="A834" s="2" t="s">
        <v>2447</v>
      </c>
      <c r="B834" s="12">
        <f t="shared" si="39"/>
        <v>46238.579875914351</v>
      </c>
      <c r="C834" s="13">
        <v>46238.579875914351</v>
      </c>
      <c r="D834" s="2" t="s">
        <v>2448</v>
      </c>
      <c r="E834" s="2" t="str">
        <f t="shared" si="38"/>
        <v>Email Available</v>
      </c>
      <c r="F834" s="2" t="s">
        <v>2449</v>
      </c>
      <c r="G834" s="2" t="s">
        <v>58</v>
      </c>
      <c r="H834" s="2" t="s">
        <v>23</v>
      </c>
      <c r="I834" s="2" t="s">
        <v>59</v>
      </c>
      <c r="J834" s="2">
        <v>1</v>
      </c>
      <c r="K834" s="2">
        <v>9.99</v>
      </c>
      <c r="L834" s="2" t="s">
        <v>208</v>
      </c>
      <c r="M834" s="2">
        <v>1.5</v>
      </c>
      <c r="N834" s="2">
        <v>5.99</v>
      </c>
      <c r="O834" s="2">
        <v>14.48</v>
      </c>
      <c r="P834" s="2" t="s">
        <v>68</v>
      </c>
      <c r="Q834" s="2" t="s">
        <v>41</v>
      </c>
      <c r="R834" s="2" t="s">
        <v>52</v>
      </c>
      <c r="S834" s="2" t="s">
        <v>30</v>
      </c>
      <c r="T834" s="2" t="s">
        <v>115</v>
      </c>
      <c r="U834" s="2" t="str">
        <f t="shared" si="40"/>
        <v>Valid</v>
      </c>
      <c r="V834" s="2" t="s">
        <v>2450</v>
      </c>
    </row>
    <row r="835" spans="1:22" hidden="1" x14ac:dyDescent="0.3">
      <c r="A835" s="2" t="s">
        <v>2451</v>
      </c>
      <c r="B835" s="12">
        <f t="shared" si="39"/>
        <v>46238.586170532413</v>
      </c>
      <c r="C835" s="13">
        <v>46238.586170532413</v>
      </c>
      <c r="D835" s="2" t="s">
        <v>420</v>
      </c>
      <c r="E835" s="2" t="str">
        <f t="shared" ref="E835:E898" si="41">IF(TRIM(F835)="","Missing Email","Email Available")</f>
        <v>Email Available</v>
      </c>
      <c r="F835" s="2" t="s">
        <v>421</v>
      </c>
      <c r="G835" s="2" t="s">
        <v>368</v>
      </c>
      <c r="H835" s="2" t="s">
        <v>88</v>
      </c>
      <c r="I835" s="2" t="s">
        <v>369</v>
      </c>
      <c r="J835" s="2">
        <v>2</v>
      </c>
      <c r="K835" s="2" t="s">
        <v>370</v>
      </c>
      <c r="L835" s="2" t="s">
        <v>25</v>
      </c>
      <c r="M835" s="2">
        <v>22</v>
      </c>
      <c r="N835" s="2">
        <v>0</v>
      </c>
      <c r="O835" s="2">
        <v>87.98</v>
      </c>
      <c r="P835" s="2" t="s">
        <v>68</v>
      </c>
      <c r="Q835" s="2" t="s">
        <v>114</v>
      </c>
      <c r="R835" s="2" t="s">
        <v>99</v>
      </c>
      <c r="S835" s="2" t="s">
        <v>337</v>
      </c>
      <c r="T835" s="2"/>
      <c r="U835" s="2" t="str">
        <f t="shared" si="40"/>
        <v>Not Required</v>
      </c>
      <c r="V835" s="2" t="s">
        <v>2452</v>
      </c>
    </row>
    <row r="836" spans="1:22" hidden="1" x14ac:dyDescent="0.3">
      <c r="A836" s="2" t="s">
        <v>2453</v>
      </c>
      <c r="B836" s="12">
        <f t="shared" si="39"/>
        <v>46238.580450914349</v>
      </c>
      <c r="C836" s="13">
        <v>46238.580450914349</v>
      </c>
      <c r="D836" s="2" t="s">
        <v>424</v>
      </c>
      <c r="E836" s="2" t="str">
        <f t="shared" si="41"/>
        <v>Email Available</v>
      </c>
      <c r="F836" s="2" t="s">
        <v>425</v>
      </c>
      <c r="G836" s="2" t="s">
        <v>2454</v>
      </c>
      <c r="H836" s="2" t="s">
        <v>37</v>
      </c>
      <c r="I836" s="2" t="s">
        <v>188</v>
      </c>
      <c r="J836" s="2">
        <v>1</v>
      </c>
      <c r="K836" s="2">
        <v>11.99</v>
      </c>
      <c r="L836" s="2"/>
      <c r="M836" s="2">
        <v>0</v>
      </c>
      <c r="N836" s="2">
        <v>5.99</v>
      </c>
      <c r="O836" s="2">
        <v>17.98</v>
      </c>
      <c r="P836" s="2" t="s">
        <v>40</v>
      </c>
      <c r="Q836" s="2" t="s">
        <v>28</v>
      </c>
      <c r="R836" s="2" t="s">
        <v>52</v>
      </c>
      <c r="S836" s="2" t="s">
        <v>30</v>
      </c>
      <c r="T836" s="2" t="s">
        <v>347</v>
      </c>
      <c r="U836" s="2" t="str">
        <f t="shared" si="40"/>
        <v>Valid</v>
      </c>
      <c r="V836" s="2" t="s">
        <v>2455</v>
      </c>
    </row>
    <row r="837" spans="1:22" hidden="1" x14ac:dyDescent="0.3">
      <c r="A837" s="2" t="s">
        <v>2456</v>
      </c>
      <c r="B837" s="12">
        <f t="shared" si="39"/>
        <v>46238.589045567132</v>
      </c>
      <c r="C837" s="13">
        <v>46238.589045567132</v>
      </c>
      <c r="D837" s="2" t="s">
        <v>424</v>
      </c>
      <c r="E837" s="2" t="str">
        <f t="shared" si="41"/>
        <v>Email Available</v>
      </c>
      <c r="F837" s="2" t="s">
        <v>425</v>
      </c>
      <c r="G837" s="2" t="s">
        <v>36</v>
      </c>
      <c r="H837" s="2" t="s">
        <v>37</v>
      </c>
      <c r="I837" s="2" t="s">
        <v>38</v>
      </c>
      <c r="J837" s="2">
        <v>1</v>
      </c>
      <c r="K837" s="2">
        <v>21.99</v>
      </c>
      <c r="L837" s="2"/>
      <c r="M837" s="2">
        <v>0</v>
      </c>
      <c r="N837" s="2">
        <v>4.99</v>
      </c>
      <c r="O837" s="2" t="s">
        <v>591</v>
      </c>
      <c r="P837" s="2" t="s">
        <v>40</v>
      </c>
      <c r="Q837" s="2" t="s">
        <v>28</v>
      </c>
      <c r="R837" s="2" t="s">
        <v>52</v>
      </c>
      <c r="S837" s="2" t="s">
        <v>30</v>
      </c>
      <c r="T837" s="2" t="s">
        <v>69</v>
      </c>
      <c r="U837" s="2" t="str">
        <f t="shared" si="40"/>
        <v>Valid</v>
      </c>
      <c r="V837" s="2" t="s">
        <v>2457</v>
      </c>
    </row>
    <row r="838" spans="1:22" hidden="1" x14ac:dyDescent="0.3">
      <c r="A838" s="2" t="s">
        <v>2458</v>
      </c>
      <c r="B838" s="12">
        <f t="shared" si="39"/>
        <v>46238.584890069447</v>
      </c>
      <c r="C838" s="13">
        <v>46238.584890069447</v>
      </c>
      <c r="D838" s="2" t="s">
        <v>748</v>
      </c>
      <c r="E838" s="2" t="str">
        <f t="shared" si="41"/>
        <v>Email Available</v>
      </c>
      <c r="F838" s="2" t="s">
        <v>749</v>
      </c>
      <c r="G838" s="2" t="s">
        <v>87</v>
      </c>
      <c r="H838" s="2" t="s">
        <v>88</v>
      </c>
      <c r="I838" s="2" t="s">
        <v>89</v>
      </c>
      <c r="J838" s="2">
        <v>1</v>
      </c>
      <c r="K838" s="2">
        <v>54.99</v>
      </c>
      <c r="L838" s="2" t="s">
        <v>208</v>
      </c>
      <c r="M838" s="2">
        <v>8.25</v>
      </c>
      <c r="N838" s="2">
        <v>7.99</v>
      </c>
      <c r="O838" s="2">
        <v>54.73</v>
      </c>
      <c r="P838" s="2" t="s">
        <v>68</v>
      </c>
      <c r="Q838" s="2" t="s">
        <v>28</v>
      </c>
      <c r="R838" s="2" t="s">
        <v>52</v>
      </c>
      <c r="S838" s="2" t="s">
        <v>108</v>
      </c>
      <c r="T838" s="2"/>
      <c r="U838" s="2" t="str">
        <f t="shared" si="40"/>
        <v>Not Required</v>
      </c>
      <c r="V838" s="2" t="s">
        <v>2459</v>
      </c>
    </row>
    <row r="839" spans="1:22" hidden="1" x14ac:dyDescent="0.3">
      <c r="A839" s="2" t="s">
        <v>2460</v>
      </c>
      <c r="B839" s="12">
        <f t="shared" si="39"/>
        <v>46238.589070416667</v>
      </c>
      <c r="C839" s="13">
        <v>46238.589070416667</v>
      </c>
      <c r="D839" s="2" t="s">
        <v>2461</v>
      </c>
      <c r="E839" s="2" t="str">
        <f t="shared" si="41"/>
        <v>Email Available</v>
      </c>
      <c r="F839" s="2" t="s">
        <v>2462</v>
      </c>
      <c r="G839" s="2" t="s">
        <v>924</v>
      </c>
      <c r="H839" s="2" t="s">
        <v>88</v>
      </c>
      <c r="I839" s="2" t="s">
        <v>89</v>
      </c>
      <c r="J839" s="2">
        <v>1</v>
      </c>
      <c r="K839" s="2">
        <v>54.99</v>
      </c>
      <c r="L839" s="2" t="s">
        <v>208</v>
      </c>
      <c r="M839" s="2">
        <v>8.25</v>
      </c>
      <c r="N839" s="2">
        <v>4.99</v>
      </c>
      <c r="O839" s="2">
        <v>51.73</v>
      </c>
      <c r="P839" s="2" t="s">
        <v>27</v>
      </c>
      <c r="Q839" s="2" t="s">
        <v>114</v>
      </c>
      <c r="R839" s="2" t="s">
        <v>99</v>
      </c>
      <c r="S839" s="2" t="s">
        <v>43</v>
      </c>
      <c r="T839" s="2"/>
      <c r="U839" s="2" t="str">
        <f t="shared" si="40"/>
        <v>Not Required</v>
      </c>
      <c r="V839" s="2" t="s">
        <v>2463</v>
      </c>
    </row>
    <row r="840" spans="1:22" hidden="1" x14ac:dyDescent="0.3">
      <c r="A840" s="2" t="s">
        <v>2464</v>
      </c>
      <c r="B840" s="12">
        <f t="shared" si="39"/>
        <v>46238.587921851853</v>
      </c>
      <c r="C840" s="13">
        <v>46238.587921851853</v>
      </c>
      <c r="D840" s="2" t="s">
        <v>1587</v>
      </c>
      <c r="E840" s="2" t="str">
        <f t="shared" si="41"/>
        <v>Email Available</v>
      </c>
      <c r="F840" s="2" t="s">
        <v>1588</v>
      </c>
      <c r="G840" s="2" t="s">
        <v>105</v>
      </c>
      <c r="H840" s="2" t="s">
        <v>106</v>
      </c>
      <c r="I840" s="2" t="s">
        <v>107</v>
      </c>
      <c r="J840" s="2">
        <v>1</v>
      </c>
      <c r="K840" s="2">
        <v>19.989999999999998</v>
      </c>
      <c r="L840" s="2"/>
      <c r="M840" s="2">
        <v>0</v>
      </c>
      <c r="N840" s="2">
        <v>5.99</v>
      </c>
      <c r="O840" s="2" t="s">
        <v>2465</v>
      </c>
      <c r="P840" s="2" t="s">
        <v>74</v>
      </c>
      <c r="Q840" s="2" t="s">
        <v>28</v>
      </c>
      <c r="R840" s="2" t="s">
        <v>42</v>
      </c>
      <c r="S840" s="2" t="s">
        <v>30</v>
      </c>
      <c r="T840" s="2" t="s">
        <v>69</v>
      </c>
      <c r="U840" s="2" t="str">
        <f t="shared" si="40"/>
        <v>Valid</v>
      </c>
      <c r="V840" s="2" t="s">
        <v>2466</v>
      </c>
    </row>
    <row r="841" spans="1:22" hidden="1" x14ac:dyDescent="0.3">
      <c r="A841" s="2" t="s">
        <v>2467</v>
      </c>
      <c r="B841" s="12">
        <f t="shared" si="39"/>
        <v>46238.582122326392</v>
      </c>
      <c r="C841" s="13">
        <v>46238.582122326392</v>
      </c>
      <c r="D841" s="2" t="s">
        <v>149</v>
      </c>
      <c r="E841" s="2" t="str">
        <f t="shared" si="41"/>
        <v>Email Available</v>
      </c>
      <c r="F841" s="2" t="s">
        <v>150</v>
      </c>
      <c r="G841" s="2" t="s">
        <v>157</v>
      </c>
      <c r="H841" s="2" t="s">
        <v>37</v>
      </c>
      <c r="I841" s="2" t="s">
        <v>158</v>
      </c>
      <c r="J841" s="2">
        <v>1</v>
      </c>
      <c r="K841" s="2">
        <v>29.99</v>
      </c>
      <c r="L841" s="2" t="s">
        <v>25</v>
      </c>
      <c r="M841" s="2">
        <v>6</v>
      </c>
      <c r="N841" s="2">
        <v>7.99</v>
      </c>
      <c r="O841" s="2">
        <v>31.98</v>
      </c>
      <c r="P841" s="2" t="s">
        <v>74</v>
      </c>
      <c r="Q841" s="2" t="s">
        <v>28</v>
      </c>
      <c r="R841" s="2" t="s">
        <v>52</v>
      </c>
      <c r="S841" s="2" t="s">
        <v>108</v>
      </c>
      <c r="T841" s="2"/>
      <c r="U841" s="2" t="str">
        <f t="shared" si="40"/>
        <v>Not Required</v>
      </c>
      <c r="V841" s="2" t="s">
        <v>2468</v>
      </c>
    </row>
    <row r="842" spans="1:22" hidden="1" x14ac:dyDescent="0.3">
      <c r="A842" s="2" t="s">
        <v>2469</v>
      </c>
      <c r="B842" s="12">
        <f t="shared" si="39"/>
        <v>46238.587694594913</v>
      </c>
      <c r="C842" s="13">
        <v>46238.587694594913</v>
      </c>
      <c r="D842" s="2" t="s">
        <v>2097</v>
      </c>
      <c r="E842" s="2" t="str">
        <f t="shared" si="41"/>
        <v>Email Available</v>
      </c>
      <c r="F842" s="2" t="s">
        <v>2470</v>
      </c>
      <c r="G842" s="2" t="s">
        <v>195</v>
      </c>
      <c r="H842" s="2" t="s">
        <v>196</v>
      </c>
      <c r="I842" s="2" t="s">
        <v>197</v>
      </c>
      <c r="J842" s="2">
        <v>1</v>
      </c>
      <c r="K842" s="2">
        <v>13.49</v>
      </c>
      <c r="L842" s="2" t="s">
        <v>25</v>
      </c>
      <c r="M842" s="2" t="s">
        <v>2471</v>
      </c>
      <c r="N842" s="2">
        <v>4.99</v>
      </c>
      <c r="O842" s="2">
        <v>15.78</v>
      </c>
      <c r="P842" s="2" t="s">
        <v>27</v>
      </c>
      <c r="Q842" s="2" t="s">
        <v>28</v>
      </c>
      <c r="R842" s="2" t="s">
        <v>52</v>
      </c>
      <c r="S842" s="2" t="s">
        <v>75</v>
      </c>
      <c r="T842" s="2"/>
      <c r="U842" s="2" t="str">
        <f t="shared" si="40"/>
        <v>Not Required</v>
      </c>
      <c r="V842" s="2" t="s">
        <v>2472</v>
      </c>
    </row>
    <row r="843" spans="1:22" hidden="1" x14ac:dyDescent="0.3">
      <c r="A843" s="2" t="s">
        <v>2473</v>
      </c>
      <c r="B843" s="12">
        <f t="shared" si="39"/>
        <v>46238.579875405092</v>
      </c>
      <c r="C843" s="13">
        <v>46238.579875405092</v>
      </c>
      <c r="D843" s="2" t="s">
        <v>1368</v>
      </c>
      <c r="E843" s="2" t="str">
        <f t="shared" si="41"/>
        <v>Email Available</v>
      </c>
      <c r="F843" s="2" t="s">
        <v>1369</v>
      </c>
      <c r="G843" s="2" t="s">
        <v>206</v>
      </c>
      <c r="H843" s="2" t="s">
        <v>196</v>
      </c>
      <c r="I843" s="2" t="s">
        <v>207</v>
      </c>
      <c r="J843" s="2">
        <v>1</v>
      </c>
      <c r="K843" s="2">
        <v>24.99</v>
      </c>
      <c r="L843" s="2" t="s">
        <v>121</v>
      </c>
      <c r="M843" s="2">
        <v>6.25</v>
      </c>
      <c r="N843" s="2">
        <v>5.99</v>
      </c>
      <c r="O843" s="2">
        <v>24.73</v>
      </c>
      <c r="P843" s="2" t="s">
        <v>74</v>
      </c>
      <c r="Q843" s="2" t="s">
        <v>41</v>
      </c>
      <c r="R843" s="2" t="s">
        <v>99</v>
      </c>
      <c r="S843" s="2" t="s">
        <v>43</v>
      </c>
      <c r="T843" s="2"/>
      <c r="U843" s="2" t="str">
        <f t="shared" si="40"/>
        <v>Not Required</v>
      </c>
      <c r="V843" s="2" t="s">
        <v>2474</v>
      </c>
    </row>
    <row r="844" spans="1:22" x14ac:dyDescent="0.3">
      <c r="A844" s="2" t="s">
        <v>2475</v>
      </c>
      <c r="B844" s="12">
        <f t="shared" si="39"/>
        <v>46238.587756388893</v>
      </c>
      <c r="C844" s="13">
        <v>46238.587756388893</v>
      </c>
      <c r="D844" s="2" t="s">
        <v>1510</v>
      </c>
      <c r="E844" s="2" t="str">
        <f t="shared" si="41"/>
        <v>Missing Email</v>
      </c>
      <c r="F844" s="2"/>
      <c r="G844" s="2" t="s">
        <v>284</v>
      </c>
      <c r="H844" s="2" t="s">
        <v>23</v>
      </c>
      <c r="I844" s="2" t="s">
        <v>285</v>
      </c>
      <c r="J844" s="2">
        <v>4</v>
      </c>
      <c r="K844" s="2">
        <v>24.99</v>
      </c>
      <c r="L844" s="2" t="s">
        <v>67</v>
      </c>
      <c r="M844" s="2">
        <v>10</v>
      </c>
      <c r="N844" s="2">
        <v>0</v>
      </c>
      <c r="O844" s="2">
        <v>89.96</v>
      </c>
      <c r="P844" s="2" t="s">
        <v>68</v>
      </c>
      <c r="Q844" s="2" t="s">
        <v>28</v>
      </c>
      <c r="R844" s="2" t="s">
        <v>52</v>
      </c>
      <c r="S844" s="2" t="s">
        <v>43</v>
      </c>
      <c r="T844" s="2"/>
      <c r="U844" s="2" t="str">
        <f t="shared" si="40"/>
        <v>Not Required</v>
      </c>
      <c r="V844" s="2" t="s">
        <v>2476</v>
      </c>
    </row>
    <row r="845" spans="1:22" hidden="1" x14ac:dyDescent="0.3">
      <c r="A845" s="2" t="s">
        <v>2477</v>
      </c>
      <c r="B845" s="12">
        <f t="shared" si="39"/>
        <v>46238.580390960647</v>
      </c>
      <c r="C845" s="13">
        <v>46238.580390960647</v>
      </c>
      <c r="D845" s="2" t="s">
        <v>2478</v>
      </c>
      <c r="E845" s="2" t="str">
        <f t="shared" si="41"/>
        <v>Email Available</v>
      </c>
      <c r="F845" s="2" t="s">
        <v>2479</v>
      </c>
      <c r="G845" s="2" t="s">
        <v>157</v>
      </c>
      <c r="H845" s="2" t="s">
        <v>37</v>
      </c>
      <c r="I845" s="2" t="s">
        <v>158</v>
      </c>
      <c r="J845" s="2">
        <v>1</v>
      </c>
      <c r="K845" s="2">
        <v>29.99</v>
      </c>
      <c r="L845" s="2"/>
      <c r="M845" s="2">
        <v>0</v>
      </c>
      <c r="N845" s="2">
        <v>7.99</v>
      </c>
      <c r="O845" s="2">
        <v>37.979999999999997</v>
      </c>
      <c r="P845" s="2" t="s">
        <v>27</v>
      </c>
      <c r="Q845" s="2" t="s">
        <v>28</v>
      </c>
      <c r="R845" s="2" t="s">
        <v>52</v>
      </c>
      <c r="S845" s="2" t="s">
        <v>108</v>
      </c>
      <c r="T845" s="2"/>
      <c r="U845" s="2" t="str">
        <f t="shared" si="40"/>
        <v>Not Required</v>
      </c>
      <c r="V845" s="2" t="s">
        <v>2480</v>
      </c>
    </row>
    <row r="846" spans="1:22" hidden="1" x14ac:dyDescent="0.3">
      <c r="A846" s="2" t="s">
        <v>2481</v>
      </c>
      <c r="B846" s="12">
        <f t="shared" si="39"/>
        <v>46238.58619130787</v>
      </c>
      <c r="C846" s="13">
        <v>46238.58619130787</v>
      </c>
      <c r="D846" s="2" t="s">
        <v>1570</v>
      </c>
      <c r="E846" s="2" t="str">
        <f t="shared" si="41"/>
        <v>Email Available</v>
      </c>
      <c r="F846" s="2" t="s">
        <v>1571</v>
      </c>
      <c r="G846" s="2" t="s">
        <v>48</v>
      </c>
      <c r="H846" s="2" t="s">
        <v>49</v>
      </c>
      <c r="I846" s="2" t="s">
        <v>50</v>
      </c>
      <c r="J846" s="2">
        <v>1</v>
      </c>
      <c r="K846" s="2">
        <v>39.99</v>
      </c>
      <c r="L846" s="2" t="s">
        <v>121</v>
      </c>
      <c r="M846" s="2">
        <v>10</v>
      </c>
      <c r="N846" s="2">
        <v>7.99</v>
      </c>
      <c r="O846" s="2">
        <v>37.979999999999997</v>
      </c>
      <c r="P846" s="2" t="s">
        <v>74</v>
      </c>
      <c r="Q846" s="2" t="s">
        <v>41</v>
      </c>
      <c r="R846" s="2" t="s">
        <v>29</v>
      </c>
      <c r="S846" s="2" t="s">
        <v>43</v>
      </c>
      <c r="T846" s="2"/>
      <c r="U846" s="2" t="str">
        <f t="shared" si="40"/>
        <v>Not Required</v>
      </c>
      <c r="V846" s="2" t="s">
        <v>2482</v>
      </c>
    </row>
    <row r="847" spans="1:22" hidden="1" x14ac:dyDescent="0.3">
      <c r="A847" s="2" t="s">
        <v>2483</v>
      </c>
      <c r="B847" s="12">
        <f t="shared" si="39"/>
        <v>46238.581074155103</v>
      </c>
      <c r="C847" s="13">
        <v>46238.581074155103</v>
      </c>
      <c r="D847" s="2" t="s">
        <v>1302</v>
      </c>
      <c r="E847" s="2" t="str">
        <f t="shared" si="41"/>
        <v>Email Available</v>
      </c>
      <c r="F847" s="2" t="s">
        <v>1303</v>
      </c>
      <c r="G847" s="2" t="s">
        <v>368</v>
      </c>
      <c r="H847" s="2" t="s">
        <v>88</v>
      </c>
      <c r="I847" s="2" t="s">
        <v>369</v>
      </c>
      <c r="J847" s="2">
        <v>2</v>
      </c>
      <c r="K847" s="2">
        <v>54.99</v>
      </c>
      <c r="L847" s="2" t="s">
        <v>25</v>
      </c>
      <c r="M847" s="2">
        <v>22</v>
      </c>
      <c r="N847" s="2">
        <v>0</v>
      </c>
      <c r="O847" s="2">
        <v>87.98</v>
      </c>
      <c r="P847" s="2" t="s">
        <v>68</v>
      </c>
      <c r="Q847" s="2" t="s">
        <v>90</v>
      </c>
      <c r="R847" s="2" t="s">
        <v>52</v>
      </c>
      <c r="S847" s="2" t="s">
        <v>43</v>
      </c>
      <c r="T847" s="2"/>
      <c r="U847" s="2" t="str">
        <f t="shared" si="40"/>
        <v>Not Required</v>
      </c>
      <c r="V847" s="2" t="s">
        <v>2484</v>
      </c>
    </row>
    <row r="848" spans="1:22" hidden="1" x14ac:dyDescent="0.3">
      <c r="A848" s="2" t="s">
        <v>2485</v>
      </c>
      <c r="B848" s="12">
        <f t="shared" si="39"/>
        <v>46238.582906296288</v>
      </c>
      <c r="C848" s="13">
        <v>46238.582906296288</v>
      </c>
      <c r="D848" s="2" t="s">
        <v>1388</v>
      </c>
      <c r="E848" s="2" t="str">
        <f t="shared" si="41"/>
        <v>Email Available</v>
      </c>
      <c r="F848" s="2" t="s">
        <v>1389</v>
      </c>
      <c r="G848" s="2" t="s">
        <v>87</v>
      </c>
      <c r="H848" s="2" t="s">
        <v>88</v>
      </c>
      <c r="I848" s="2" t="s">
        <v>89</v>
      </c>
      <c r="J848" s="2">
        <v>1</v>
      </c>
      <c r="K848" s="2">
        <v>54.99</v>
      </c>
      <c r="L848" s="2"/>
      <c r="M848" s="2">
        <v>0</v>
      </c>
      <c r="N848" s="2">
        <v>5.99</v>
      </c>
      <c r="O848" s="2">
        <v>60.98</v>
      </c>
      <c r="P848" s="2" t="s">
        <v>68</v>
      </c>
      <c r="Q848" s="2" t="s">
        <v>28</v>
      </c>
      <c r="R848" s="2" t="s">
        <v>29</v>
      </c>
      <c r="S848" s="2" t="s">
        <v>75</v>
      </c>
      <c r="T848" s="2"/>
      <c r="U848" s="2" t="str">
        <f t="shared" si="40"/>
        <v>Not Required</v>
      </c>
      <c r="V848" s="2" t="s">
        <v>2486</v>
      </c>
    </row>
    <row r="849" spans="1:22" hidden="1" x14ac:dyDescent="0.3">
      <c r="A849" s="2" t="s">
        <v>2487</v>
      </c>
      <c r="B849" s="12">
        <f t="shared" si="39"/>
        <v>46238.584817488423</v>
      </c>
      <c r="C849" s="13">
        <v>46238.584817488423</v>
      </c>
      <c r="D849" s="2" t="s">
        <v>1543</v>
      </c>
      <c r="E849" s="2" t="str">
        <f t="shared" si="41"/>
        <v>Email Available</v>
      </c>
      <c r="F849" s="2" t="s">
        <v>1544</v>
      </c>
      <c r="G849" s="2" t="s">
        <v>65</v>
      </c>
      <c r="H849" s="2" t="s">
        <v>49</v>
      </c>
      <c r="I849" s="2" t="s">
        <v>453</v>
      </c>
      <c r="J849" s="2">
        <v>2</v>
      </c>
      <c r="K849" s="2">
        <v>14.99</v>
      </c>
      <c r="L849" s="2"/>
      <c r="M849" s="2">
        <v>0</v>
      </c>
      <c r="N849" s="2">
        <v>5.99</v>
      </c>
      <c r="O849" s="2">
        <v>35.97</v>
      </c>
      <c r="P849" s="2" t="s">
        <v>68</v>
      </c>
      <c r="Q849" s="2" t="s">
        <v>90</v>
      </c>
      <c r="R849" s="2" t="s">
        <v>99</v>
      </c>
      <c r="S849" s="2" t="s">
        <v>30</v>
      </c>
      <c r="T849" s="2" t="s">
        <v>248</v>
      </c>
      <c r="U849" s="2" t="str">
        <f t="shared" si="40"/>
        <v>Valid</v>
      </c>
      <c r="V849" s="2" t="s">
        <v>2488</v>
      </c>
    </row>
    <row r="850" spans="1:22" hidden="1" x14ac:dyDescent="0.3">
      <c r="A850" s="2" t="s">
        <v>2491</v>
      </c>
      <c r="B850" s="12">
        <f t="shared" si="39"/>
        <v>46238.582641122688</v>
      </c>
      <c r="C850" s="13">
        <v>46238.582641122688</v>
      </c>
      <c r="D850" s="2" t="s">
        <v>1113</v>
      </c>
      <c r="E850" s="2" t="str">
        <f t="shared" si="41"/>
        <v>Email Available</v>
      </c>
      <c r="F850" s="2" t="s">
        <v>1114</v>
      </c>
      <c r="G850" s="2" t="s">
        <v>368</v>
      </c>
      <c r="H850" s="2" t="s">
        <v>88</v>
      </c>
      <c r="I850" s="2" t="s">
        <v>369</v>
      </c>
      <c r="J850" s="2">
        <v>1</v>
      </c>
      <c r="K850" s="2">
        <v>54.99</v>
      </c>
      <c r="L850" s="2"/>
      <c r="M850" s="2">
        <v>0</v>
      </c>
      <c r="N850" s="2">
        <v>4.99</v>
      </c>
      <c r="O850" s="2">
        <v>59.98</v>
      </c>
      <c r="P850" s="2" t="s">
        <v>74</v>
      </c>
      <c r="Q850" s="2" t="s">
        <v>41</v>
      </c>
      <c r="R850" s="2" t="s">
        <v>52</v>
      </c>
      <c r="S850" s="2" t="s">
        <v>30</v>
      </c>
      <c r="T850" s="2" t="s">
        <v>115</v>
      </c>
      <c r="U850" s="2" t="str">
        <f t="shared" si="40"/>
        <v>Valid</v>
      </c>
      <c r="V850" s="2" t="s">
        <v>2492</v>
      </c>
    </row>
    <row r="851" spans="1:22" hidden="1" x14ac:dyDescent="0.3">
      <c r="A851" s="2" t="s">
        <v>2493</v>
      </c>
      <c r="B851" s="12">
        <f t="shared" si="39"/>
        <v>46238.582345590279</v>
      </c>
      <c r="C851" s="13">
        <v>46238.582345590279</v>
      </c>
      <c r="D851" s="2" t="s">
        <v>1131</v>
      </c>
      <c r="E851" s="2" t="str">
        <f t="shared" si="41"/>
        <v>Email Available</v>
      </c>
      <c r="F851" s="2" t="s">
        <v>1132</v>
      </c>
      <c r="G851" s="2" t="s">
        <v>36</v>
      </c>
      <c r="H851" s="2" t="s">
        <v>37</v>
      </c>
      <c r="I851" s="2" t="s">
        <v>38</v>
      </c>
      <c r="J851" s="2">
        <v>1</v>
      </c>
      <c r="K851" s="2">
        <v>21.99</v>
      </c>
      <c r="L851" s="2"/>
      <c r="M851" s="2">
        <v>0</v>
      </c>
      <c r="N851" s="2">
        <v>7.99</v>
      </c>
      <c r="O851" s="2">
        <v>29.98</v>
      </c>
      <c r="P851" s="2" t="s">
        <v>68</v>
      </c>
      <c r="Q851" s="2" t="s">
        <v>28</v>
      </c>
      <c r="R851" s="2" t="s">
        <v>52</v>
      </c>
      <c r="S851" s="2" t="s">
        <v>337</v>
      </c>
      <c r="T851" s="2"/>
      <c r="U851" s="2" t="str">
        <f t="shared" si="40"/>
        <v>Not Required</v>
      </c>
      <c r="V851" s="2" t="s">
        <v>864</v>
      </c>
    </row>
    <row r="852" spans="1:22" hidden="1" x14ac:dyDescent="0.3">
      <c r="A852" s="2" t="s">
        <v>2494</v>
      </c>
      <c r="B852" s="12">
        <f t="shared" si="39"/>
        <v>46238</v>
      </c>
      <c r="C852" s="13" t="s">
        <v>1245</v>
      </c>
      <c r="D852" s="2" t="s">
        <v>2495</v>
      </c>
      <c r="E852" s="2" t="str">
        <f t="shared" si="41"/>
        <v>Email Available</v>
      </c>
      <c r="F852" s="2" t="s">
        <v>86</v>
      </c>
      <c r="G852" s="2" t="s">
        <v>133</v>
      </c>
      <c r="H852" s="2" t="s">
        <v>106</v>
      </c>
      <c r="I852" s="2" t="s">
        <v>134</v>
      </c>
      <c r="J852" s="2">
        <v>2</v>
      </c>
      <c r="K852" s="2">
        <v>16.989999999999998</v>
      </c>
      <c r="L852" s="2"/>
      <c r="M852" s="2">
        <v>0</v>
      </c>
      <c r="N852" s="2">
        <v>7.99</v>
      </c>
      <c r="O852" s="2">
        <v>41.97</v>
      </c>
      <c r="P852" s="2" t="s">
        <v>51</v>
      </c>
      <c r="Q852" s="2" t="s">
        <v>28</v>
      </c>
      <c r="R852" s="2" t="s">
        <v>29</v>
      </c>
      <c r="S852" s="2" t="s">
        <v>30</v>
      </c>
      <c r="T852" s="2" t="s">
        <v>248</v>
      </c>
      <c r="U852" s="2" t="str">
        <f t="shared" si="40"/>
        <v>Valid</v>
      </c>
      <c r="V852" s="2" t="s">
        <v>2496</v>
      </c>
    </row>
    <row r="853" spans="1:22" hidden="1" x14ac:dyDescent="0.3">
      <c r="A853" s="2" t="s">
        <v>2497</v>
      </c>
      <c r="B853" s="12">
        <f t="shared" si="39"/>
        <v>46238.57929065972</v>
      </c>
      <c r="C853" s="13">
        <v>46238.57929065972</v>
      </c>
      <c r="D853" s="2" t="s">
        <v>2498</v>
      </c>
      <c r="E853" s="2" t="str">
        <f t="shared" si="41"/>
        <v>Email Available</v>
      </c>
      <c r="F853" s="2" t="s">
        <v>1531</v>
      </c>
      <c r="G853" s="2" t="s">
        <v>157</v>
      </c>
      <c r="H853" s="2" t="s">
        <v>37</v>
      </c>
      <c r="I853" s="2" t="s">
        <v>158</v>
      </c>
      <c r="J853" s="2">
        <v>1</v>
      </c>
      <c r="K853" s="2">
        <v>29.99</v>
      </c>
      <c r="L853" s="2" t="s">
        <v>208</v>
      </c>
      <c r="M853" s="2">
        <v>4.5</v>
      </c>
      <c r="N853" s="2">
        <v>4.99</v>
      </c>
      <c r="O853" s="2">
        <v>1524</v>
      </c>
      <c r="P853" s="2" t="s">
        <v>40</v>
      </c>
      <c r="Q853" s="2" t="s">
        <v>41</v>
      </c>
      <c r="R853" s="2" t="s">
        <v>52</v>
      </c>
      <c r="S853" s="2" t="s">
        <v>43</v>
      </c>
      <c r="T853" s="2"/>
      <c r="U853" s="2" t="str">
        <f t="shared" si="40"/>
        <v>Not Required</v>
      </c>
      <c r="V853" s="2" t="s">
        <v>2499</v>
      </c>
    </row>
    <row r="854" spans="1:22" hidden="1" x14ac:dyDescent="0.3">
      <c r="A854" s="2" t="s">
        <v>2500</v>
      </c>
      <c r="B854" s="12">
        <f t="shared" si="39"/>
        <v>46238.580645196758</v>
      </c>
      <c r="C854" s="13">
        <v>46238.580645196758</v>
      </c>
      <c r="D854" s="2" t="s">
        <v>231</v>
      </c>
      <c r="E854" s="2" t="str">
        <f t="shared" si="41"/>
        <v>Email Available</v>
      </c>
      <c r="F854" s="2" t="s">
        <v>232</v>
      </c>
      <c r="G854" s="2" t="s">
        <v>120</v>
      </c>
      <c r="H854" s="2" t="s">
        <v>23</v>
      </c>
      <c r="I854" s="2" t="s">
        <v>24</v>
      </c>
      <c r="J854" s="2">
        <v>1</v>
      </c>
      <c r="K854" s="2">
        <v>12.99</v>
      </c>
      <c r="L854" s="2" t="s">
        <v>25</v>
      </c>
      <c r="M854" s="2" t="s">
        <v>26</v>
      </c>
      <c r="N854" s="2">
        <v>5.99</v>
      </c>
      <c r="O854" s="2">
        <v>16.38</v>
      </c>
      <c r="P854" s="2" t="s">
        <v>51</v>
      </c>
      <c r="Q854" s="2" t="s">
        <v>28</v>
      </c>
      <c r="R854" s="2" t="s">
        <v>52</v>
      </c>
      <c r="S854" s="2" t="s">
        <v>30</v>
      </c>
      <c r="T854" s="2" t="s">
        <v>91</v>
      </c>
      <c r="U854" s="2" t="str">
        <f t="shared" si="40"/>
        <v>Valid</v>
      </c>
      <c r="V854" s="2" t="s">
        <v>2501</v>
      </c>
    </row>
    <row r="855" spans="1:22" hidden="1" x14ac:dyDescent="0.3">
      <c r="A855" s="2" t="s">
        <v>2502</v>
      </c>
      <c r="B855" s="12">
        <f t="shared" si="39"/>
        <v>46238.58843427083</v>
      </c>
      <c r="C855" s="13">
        <v>46238.58843427083</v>
      </c>
      <c r="D855" s="2" t="s">
        <v>204</v>
      </c>
      <c r="E855" s="2" t="str">
        <f t="shared" si="41"/>
        <v>Email Available</v>
      </c>
      <c r="F855" s="2" t="s">
        <v>205</v>
      </c>
      <c r="G855" s="2" t="s">
        <v>105</v>
      </c>
      <c r="H855" s="2" t="s">
        <v>106</v>
      </c>
      <c r="I855" s="2" t="s">
        <v>107</v>
      </c>
      <c r="J855" s="2">
        <v>1</v>
      </c>
      <c r="K855" s="2">
        <v>19.989999999999998</v>
      </c>
      <c r="L855" s="2"/>
      <c r="M855" s="2">
        <v>0</v>
      </c>
      <c r="N855" s="2">
        <v>4.99</v>
      </c>
      <c r="O855" s="2">
        <v>24.98</v>
      </c>
      <c r="P855" s="2" t="s">
        <v>40</v>
      </c>
      <c r="Q855" s="2" t="s">
        <v>28</v>
      </c>
      <c r="R855" s="2" t="s">
        <v>52</v>
      </c>
      <c r="S855" s="2" t="s">
        <v>75</v>
      </c>
      <c r="T855" s="2"/>
      <c r="U855" s="2" t="str">
        <f t="shared" si="40"/>
        <v>Not Required</v>
      </c>
      <c r="V855" s="2" t="s">
        <v>2503</v>
      </c>
    </row>
    <row r="856" spans="1:22" hidden="1" x14ac:dyDescent="0.3">
      <c r="A856" s="2" t="s">
        <v>2504</v>
      </c>
      <c r="B856" s="12">
        <f t="shared" si="39"/>
        <v>46238.587894976852</v>
      </c>
      <c r="C856" s="13">
        <v>46238.587894976852</v>
      </c>
      <c r="D856" s="2" t="s">
        <v>181</v>
      </c>
      <c r="E856" s="2" t="str">
        <f t="shared" si="41"/>
        <v>Email Available</v>
      </c>
      <c r="F856" s="2" t="s">
        <v>182</v>
      </c>
      <c r="G856" s="2" t="s">
        <v>65</v>
      </c>
      <c r="H856" s="2" t="s">
        <v>49</v>
      </c>
      <c r="I856" s="2" t="s">
        <v>66</v>
      </c>
      <c r="J856" s="2">
        <v>1</v>
      </c>
      <c r="K856" s="2">
        <v>14.99</v>
      </c>
      <c r="L856" s="2"/>
      <c r="M856" s="2">
        <v>0</v>
      </c>
      <c r="N856" s="2">
        <v>4.99</v>
      </c>
      <c r="O856" s="2">
        <v>19.98</v>
      </c>
      <c r="P856" s="2" t="s">
        <v>51</v>
      </c>
      <c r="Q856" s="2" t="s">
        <v>90</v>
      </c>
      <c r="R856" s="2" t="s">
        <v>99</v>
      </c>
      <c r="S856" s="2" t="s">
        <v>30</v>
      </c>
      <c r="T856" s="2" t="s">
        <v>454</v>
      </c>
      <c r="U856" s="2" t="str">
        <f t="shared" si="40"/>
        <v>Valid</v>
      </c>
      <c r="V856" s="2" t="s">
        <v>2505</v>
      </c>
    </row>
    <row r="857" spans="1:22" hidden="1" x14ac:dyDescent="0.3">
      <c r="A857" s="2" t="s">
        <v>2506</v>
      </c>
      <c r="B857" s="12">
        <f t="shared" si="39"/>
        <v>46238.584671909717</v>
      </c>
      <c r="C857" s="13">
        <v>46238.584671909717</v>
      </c>
      <c r="D857" s="2" t="s">
        <v>416</v>
      </c>
      <c r="E857" s="2" t="str">
        <f t="shared" si="41"/>
        <v>Email Available</v>
      </c>
      <c r="F857" s="2" t="s">
        <v>417</v>
      </c>
      <c r="G857" s="2" t="s">
        <v>284</v>
      </c>
      <c r="H857" s="2" t="s">
        <v>23</v>
      </c>
      <c r="I857" s="2" t="s">
        <v>285</v>
      </c>
      <c r="J857" s="2">
        <v>1</v>
      </c>
      <c r="K857" s="2">
        <v>24.99</v>
      </c>
      <c r="L857" s="2" t="s">
        <v>121</v>
      </c>
      <c r="M857" s="2">
        <v>6.25</v>
      </c>
      <c r="N857" s="2">
        <v>7.99</v>
      </c>
      <c r="O857" s="2">
        <v>26.73</v>
      </c>
      <c r="P857" s="2" t="s">
        <v>51</v>
      </c>
      <c r="Q857" s="2" t="s">
        <v>28</v>
      </c>
      <c r="R857" s="2" t="s">
        <v>52</v>
      </c>
      <c r="S857" s="2" t="s">
        <v>43</v>
      </c>
      <c r="T857" s="2"/>
      <c r="U857" s="2" t="str">
        <f t="shared" si="40"/>
        <v>Not Required</v>
      </c>
      <c r="V857" s="2" t="s">
        <v>2507</v>
      </c>
    </row>
    <row r="858" spans="1:22" hidden="1" x14ac:dyDescent="0.3">
      <c r="A858" s="2" t="s">
        <v>2508</v>
      </c>
      <c r="B858" s="12">
        <f t="shared" si="39"/>
        <v>46238.583793738428</v>
      </c>
      <c r="C858" s="13">
        <v>46238.583793738428</v>
      </c>
      <c r="D858" s="2" t="s">
        <v>614</v>
      </c>
      <c r="E858" s="2" t="str">
        <f t="shared" si="41"/>
        <v>Email Available</v>
      </c>
      <c r="F858" s="2" t="s">
        <v>615</v>
      </c>
      <c r="G858" s="2" t="s">
        <v>284</v>
      </c>
      <c r="H858" s="2" t="s">
        <v>23</v>
      </c>
      <c r="I858" s="2" t="s">
        <v>285</v>
      </c>
      <c r="J858" s="2">
        <v>1</v>
      </c>
      <c r="K858" s="2">
        <v>24.99</v>
      </c>
      <c r="L858" s="2" t="s">
        <v>25</v>
      </c>
      <c r="M858" s="2">
        <v>5</v>
      </c>
      <c r="N858" s="2">
        <v>4.99</v>
      </c>
      <c r="O858" s="2">
        <v>24.98</v>
      </c>
      <c r="P858" s="2" t="s">
        <v>68</v>
      </c>
      <c r="Q858" s="2" t="s">
        <v>114</v>
      </c>
      <c r="R858" s="2" t="s">
        <v>52</v>
      </c>
      <c r="S858" s="2" t="s">
        <v>43</v>
      </c>
      <c r="T858" s="2"/>
      <c r="U858" s="2" t="str">
        <f t="shared" si="40"/>
        <v>Not Required</v>
      </c>
      <c r="V858" s="2" t="s">
        <v>2509</v>
      </c>
    </row>
    <row r="859" spans="1:22" hidden="1" x14ac:dyDescent="0.3">
      <c r="A859" s="2" t="s">
        <v>2510</v>
      </c>
      <c r="B859" s="12">
        <f t="shared" si="39"/>
        <v>46238.582046493058</v>
      </c>
      <c r="C859" s="13">
        <v>46238.582046493058</v>
      </c>
      <c r="D859" s="2" t="s">
        <v>2511</v>
      </c>
      <c r="E859" s="2" t="str">
        <f t="shared" si="41"/>
        <v>Email Available</v>
      </c>
      <c r="F859" s="2" t="s">
        <v>2512</v>
      </c>
      <c r="G859" s="2" t="s">
        <v>315</v>
      </c>
      <c r="H859" s="2" t="s">
        <v>37</v>
      </c>
      <c r="I859" s="2" t="s">
        <v>316</v>
      </c>
      <c r="J859" s="2">
        <v>1</v>
      </c>
      <c r="K859" s="2">
        <v>8.99</v>
      </c>
      <c r="L859" s="2" t="s">
        <v>208</v>
      </c>
      <c r="M859" s="2">
        <v>1.35</v>
      </c>
      <c r="N859" s="2">
        <v>4.99</v>
      </c>
      <c r="O859" s="2">
        <v>12.63</v>
      </c>
      <c r="P859" s="2" t="s">
        <v>51</v>
      </c>
      <c r="Q859" s="2" t="s">
        <v>41</v>
      </c>
      <c r="R859" s="2" t="s">
        <v>99</v>
      </c>
      <c r="S859" s="2" t="s">
        <v>30</v>
      </c>
      <c r="T859" s="2" t="s">
        <v>53</v>
      </c>
      <c r="U859" s="2" t="str">
        <f t="shared" si="40"/>
        <v>Valid</v>
      </c>
      <c r="V859" s="2" t="s">
        <v>2513</v>
      </c>
    </row>
    <row r="860" spans="1:22" hidden="1" x14ac:dyDescent="0.3">
      <c r="A860" s="2" t="s">
        <v>2514</v>
      </c>
      <c r="B860" s="12">
        <f t="shared" si="39"/>
        <v>46120</v>
      </c>
      <c r="C860" s="13" t="s">
        <v>142</v>
      </c>
      <c r="D860" s="2" t="s">
        <v>993</v>
      </c>
      <c r="E860" s="2" t="str">
        <f t="shared" si="41"/>
        <v>Email Available</v>
      </c>
      <c r="F860" s="2" t="s">
        <v>678</v>
      </c>
      <c r="G860" s="2" t="s">
        <v>127</v>
      </c>
      <c r="H860" s="2" t="s">
        <v>81</v>
      </c>
      <c r="I860" s="2" t="s">
        <v>128</v>
      </c>
      <c r="J860" s="2">
        <v>1</v>
      </c>
      <c r="K860" s="2">
        <v>13.99</v>
      </c>
      <c r="L860" s="2" t="s">
        <v>121</v>
      </c>
      <c r="M860" s="2">
        <v>3.5</v>
      </c>
      <c r="N860" s="2">
        <v>7.99</v>
      </c>
      <c r="O860" s="2">
        <v>18.48</v>
      </c>
      <c r="P860" s="2" t="s">
        <v>51</v>
      </c>
      <c r="Q860" s="2" t="s">
        <v>28</v>
      </c>
      <c r="R860" s="2" t="s">
        <v>52</v>
      </c>
      <c r="S860" s="2" t="s">
        <v>30</v>
      </c>
      <c r="T860" s="2" t="s">
        <v>347</v>
      </c>
      <c r="U860" s="2" t="str">
        <f t="shared" si="40"/>
        <v>Valid</v>
      </c>
      <c r="V860" s="2" t="s">
        <v>2515</v>
      </c>
    </row>
    <row r="861" spans="1:22" hidden="1" x14ac:dyDescent="0.3">
      <c r="A861" s="2" t="s">
        <v>2516</v>
      </c>
      <c r="B861" s="12">
        <f t="shared" si="39"/>
        <v>46238</v>
      </c>
      <c r="C861" s="13" t="s">
        <v>148</v>
      </c>
      <c r="D861" s="2" t="s">
        <v>1676</v>
      </c>
      <c r="E861" s="2" t="str">
        <f t="shared" si="41"/>
        <v>Email Available</v>
      </c>
      <c r="F861" s="2" t="s">
        <v>1677</v>
      </c>
      <c r="G861" s="2" t="s">
        <v>65</v>
      </c>
      <c r="H861" s="2" t="s">
        <v>49</v>
      </c>
      <c r="I861" s="2" t="s">
        <v>453</v>
      </c>
      <c r="J861" s="2">
        <v>2</v>
      </c>
      <c r="K861" s="2" t="s">
        <v>1485</v>
      </c>
      <c r="L861" s="2"/>
      <c r="M861" s="2">
        <v>0</v>
      </c>
      <c r="N861" s="2">
        <v>5.99</v>
      </c>
      <c r="O861" s="2">
        <v>35.97</v>
      </c>
      <c r="P861" s="2" t="s">
        <v>27</v>
      </c>
      <c r="Q861" s="2" t="s">
        <v>90</v>
      </c>
      <c r="R861" s="2" t="s">
        <v>52</v>
      </c>
      <c r="S861" s="2" t="s">
        <v>30</v>
      </c>
      <c r="T861" s="2" t="s">
        <v>91</v>
      </c>
      <c r="U861" s="2" t="str">
        <f t="shared" si="40"/>
        <v>Valid</v>
      </c>
      <c r="V861" s="2" t="s">
        <v>2517</v>
      </c>
    </row>
    <row r="862" spans="1:22" hidden="1" x14ac:dyDescent="0.3">
      <c r="A862" s="2" t="s">
        <v>2518</v>
      </c>
      <c r="B862" s="12">
        <f t="shared" si="39"/>
        <v>46238.588926736113</v>
      </c>
      <c r="C862" s="13">
        <v>46238.588926736113</v>
      </c>
      <c r="D862" s="2" t="s">
        <v>2519</v>
      </c>
      <c r="E862" s="2" t="str">
        <f t="shared" si="41"/>
        <v>Email Available</v>
      </c>
      <c r="F862" s="2" t="s">
        <v>166</v>
      </c>
      <c r="G862" s="2" t="s">
        <v>58</v>
      </c>
      <c r="H862" s="2" t="s">
        <v>23</v>
      </c>
      <c r="I862" s="2" t="s">
        <v>59</v>
      </c>
      <c r="J862" s="2">
        <v>2</v>
      </c>
      <c r="K862" s="2" t="s">
        <v>213</v>
      </c>
      <c r="L862" s="2" t="s">
        <v>39</v>
      </c>
      <c r="M862" s="2">
        <v>0</v>
      </c>
      <c r="N862" s="2">
        <v>0</v>
      </c>
      <c r="O862" s="2">
        <v>19.98</v>
      </c>
      <c r="P862" s="2" t="s">
        <v>51</v>
      </c>
      <c r="Q862" s="2" t="s">
        <v>28</v>
      </c>
      <c r="R862" s="2" t="s">
        <v>52</v>
      </c>
      <c r="S862" s="2" t="s">
        <v>30</v>
      </c>
      <c r="T862" s="2" t="s">
        <v>347</v>
      </c>
      <c r="U862" s="2" t="str">
        <f t="shared" si="40"/>
        <v>Valid</v>
      </c>
      <c r="V862" s="2" t="s">
        <v>2520</v>
      </c>
    </row>
    <row r="863" spans="1:22" hidden="1" x14ac:dyDescent="0.3">
      <c r="A863" s="2" t="s">
        <v>2521</v>
      </c>
      <c r="B863" s="12">
        <f t="shared" si="39"/>
        <v>46238.586899571761</v>
      </c>
      <c r="C863" s="13">
        <v>46238.586899571761</v>
      </c>
      <c r="D863" s="2" t="s">
        <v>1368</v>
      </c>
      <c r="E863" s="2" t="str">
        <f t="shared" si="41"/>
        <v>Email Available</v>
      </c>
      <c r="F863" s="2" t="s">
        <v>1369</v>
      </c>
      <c r="G863" s="2" t="s">
        <v>80</v>
      </c>
      <c r="H863" s="2" t="s">
        <v>81</v>
      </c>
      <c r="I863" s="2" t="s">
        <v>82</v>
      </c>
      <c r="J863" s="2">
        <v>1</v>
      </c>
      <c r="K863" s="2">
        <v>89.99</v>
      </c>
      <c r="L863" s="2" t="s">
        <v>97</v>
      </c>
      <c r="M863" s="2">
        <v>18</v>
      </c>
      <c r="N863" s="2">
        <v>0</v>
      </c>
      <c r="O863" s="2">
        <v>71.989999999999995</v>
      </c>
      <c r="P863" s="2" t="s">
        <v>40</v>
      </c>
      <c r="Q863" s="2" t="s">
        <v>28</v>
      </c>
      <c r="R863" s="2" t="s">
        <v>29</v>
      </c>
      <c r="S863" s="2" t="s">
        <v>43</v>
      </c>
      <c r="T863" s="2"/>
      <c r="U863" s="2" t="str">
        <f t="shared" si="40"/>
        <v>Not Required</v>
      </c>
      <c r="V863" s="2" t="s">
        <v>2522</v>
      </c>
    </row>
    <row r="864" spans="1:22" hidden="1" x14ac:dyDescent="0.3">
      <c r="A864" s="2" t="s">
        <v>2523</v>
      </c>
      <c r="B864" s="12">
        <f t="shared" si="39"/>
        <v>46238.584517395837</v>
      </c>
      <c r="C864" s="13">
        <v>46238.584517395837</v>
      </c>
      <c r="D864" s="2" t="s">
        <v>488</v>
      </c>
      <c r="E864" s="2" t="str">
        <f t="shared" si="41"/>
        <v>Email Available</v>
      </c>
      <c r="F864" s="2" t="s">
        <v>489</v>
      </c>
      <c r="G864" s="2" t="s">
        <v>120</v>
      </c>
      <c r="H864" s="2" t="s">
        <v>23</v>
      </c>
      <c r="I864" s="2" t="s">
        <v>24</v>
      </c>
      <c r="J864" s="2">
        <v>1</v>
      </c>
      <c r="K864" s="2">
        <v>12.99</v>
      </c>
      <c r="L864" s="2"/>
      <c r="M864" s="2">
        <v>0</v>
      </c>
      <c r="N864" s="2">
        <v>5.99</v>
      </c>
      <c r="O864" s="2">
        <v>18.98</v>
      </c>
      <c r="P864" s="2" t="s">
        <v>40</v>
      </c>
      <c r="Q864" s="2" t="s">
        <v>28</v>
      </c>
      <c r="R864" s="2" t="s">
        <v>52</v>
      </c>
      <c r="S864" s="2" t="s">
        <v>30</v>
      </c>
      <c r="T864" s="2" t="s">
        <v>60</v>
      </c>
      <c r="U864" s="2" t="str">
        <f t="shared" si="40"/>
        <v>Valid</v>
      </c>
      <c r="V864" s="2" t="s">
        <v>2524</v>
      </c>
    </row>
    <row r="865" spans="1:22" hidden="1" x14ac:dyDescent="0.3">
      <c r="A865" s="2" t="s">
        <v>2525</v>
      </c>
      <c r="B865" s="12">
        <f t="shared" si="39"/>
        <v>46238.580124745371</v>
      </c>
      <c r="C865" s="13">
        <v>46238.580124745371</v>
      </c>
      <c r="D865" s="2" t="s">
        <v>1045</v>
      </c>
      <c r="E865" s="2" t="str">
        <f t="shared" si="41"/>
        <v>Email Available</v>
      </c>
      <c r="F865" s="2" t="s">
        <v>1046</v>
      </c>
      <c r="G865" s="2" t="s">
        <v>87</v>
      </c>
      <c r="H865" s="2" t="s">
        <v>88</v>
      </c>
      <c r="I865" s="2" t="s">
        <v>89</v>
      </c>
      <c r="J865" s="2">
        <v>2</v>
      </c>
      <c r="K865" s="2">
        <v>54.99</v>
      </c>
      <c r="L865" s="2" t="s">
        <v>67</v>
      </c>
      <c r="M865" s="2">
        <v>11</v>
      </c>
      <c r="N865" s="2">
        <v>0</v>
      </c>
      <c r="O865" s="2">
        <v>98.98</v>
      </c>
      <c r="P865" s="2" t="s">
        <v>51</v>
      </c>
      <c r="Q865" s="2" t="s">
        <v>41</v>
      </c>
      <c r="R865" s="2" t="s">
        <v>52</v>
      </c>
      <c r="S865" s="2" t="s">
        <v>30</v>
      </c>
      <c r="T865" s="2" t="s">
        <v>499</v>
      </c>
      <c r="U865" s="2" t="str">
        <f t="shared" si="40"/>
        <v>Valid</v>
      </c>
      <c r="V865" s="2" t="s">
        <v>2526</v>
      </c>
    </row>
    <row r="866" spans="1:22" x14ac:dyDescent="0.3">
      <c r="A866" s="2" t="s">
        <v>2529</v>
      </c>
      <c r="B866" s="12">
        <f t="shared" si="39"/>
        <v>46120</v>
      </c>
      <c r="C866" s="13" t="s">
        <v>142</v>
      </c>
      <c r="D866" s="2" t="s">
        <v>1907</v>
      </c>
      <c r="E866" s="2" t="str">
        <f t="shared" si="41"/>
        <v>Missing Email</v>
      </c>
      <c r="F866" s="2"/>
      <c r="G866" s="2" t="s">
        <v>206</v>
      </c>
      <c r="H866" s="2" t="s">
        <v>196</v>
      </c>
      <c r="I866" s="2" t="s">
        <v>207</v>
      </c>
      <c r="J866" s="2">
        <v>1</v>
      </c>
      <c r="K866" s="2">
        <v>24.99</v>
      </c>
      <c r="L866" s="2" t="s">
        <v>39</v>
      </c>
      <c r="M866" s="2" t="s">
        <v>189</v>
      </c>
      <c r="N866" s="2">
        <v>0</v>
      </c>
      <c r="O866" s="2">
        <v>24.99</v>
      </c>
      <c r="P866" s="2" t="s">
        <v>40</v>
      </c>
      <c r="Q866" s="2" t="s">
        <v>28</v>
      </c>
      <c r="R866" s="2" t="s">
        <v>52</v>
      </c>
      <c r="S866" s="2" t="s">
        <v>228</v>
      </c>
      <c r="T866" s="2"/>
      <c r="U866" s="2" t="str">
        <f t="shared" si="40"/>
        <v>Not Required</v>
      </c>
      <c r="V866" s="2" t="s">
        <v>2530</v>
      </c>
    </row>
    <row r="867" spans="1:22" hidden="1" x14ac:dyDescent="0.3">
      <c r="A867" s="2" t="s">
        <v>2531</v>
      </c>
      <c r="B867" s="12">
        <f t="shared" si="39"/>
        <v>46238.580421631937</v>
      </c>
      <c r="C867" s="13">
        <v>46238.580421631937</v>
      </c>
      <c r="D867" s="2" t="s">
        <v>1510</v>
      </c>
      <c r="E867" s="2" t="str">
        <f t="shared" si="41"/>
        <v>Email Available</v>
      </c>
      <c r="F867" s="2" t="s">
        <v>2532</v>
      </c>
      <c r="G867" s="2" t="s">
        <v>65</v>
      </c>
      <c r="H867" s="2" t="s">
        <v>49</v>
      </c>
      <c r="I867" s="2" t="s">
        <v>66</v>
      </c>
      <c r="J867" s="2">
        <v>1</v>
      </c>
      <c r="K867" s="2">
        <v>14.99</v>
      </c>
      <c r="L867" s="2"/>
      <c r="M867" s="2">
        <v>0</v>
      </c>
      <c r="N867" s="2">
        <v>5.99</v>
      </c>
      <c r="O867" s="2">
        <v>20.98</v>
      </c>
      <c r="P867" s="2" t="s">
        <v>40</v>
      </c>
      <c r="Q867" s="2" t="s">
        <v>90</v>
      </c>
      <c r="R867" s="2" t="s">
        <v>29</v>
      </c>
      <c r="S867" s="2" t="s">
        <v>228</v>
      </c>
      <c r="T867" s="2"/>
      <c r="U867" s="2" t="str">
        <f t="shared" si="40"/>
        <v>Not Required</v>
      </c>
      <c r="V867" s="2" t="s">
        <v>1498</v>
      </c>
    </row>
    <row r="868" spans="1:22" hidden="1" x14ac:dyDescent="0.3">
      <c r="A868" s="2" t="s">
        <v>2533</v>
      </c>
      <c r="B868" s="12">
        <f t="shared" si="39"/>
        <v>46238.586252499997</v>
      </c>
      <c r="C868" s="13">
        <v>46238.586252499997</v>
      </c>
      <c r="D868" s="2" t="s">
        <v>2306</v>
      </c>
      <c r="E868" s="2" t="str">
        <f t="shared" si="41"/>
        <v>Email Available</v>
      </c>
      <c r="F868" s="2" t="s">
        <v>2307</v>
      </c>
      <c r="G868" s="2" t="s">
        <v>187</v>
      </c>
      <c r="H868" s="2" t="s">
        <v>37</v>
      </c>
      <c r="I868" s="2" t="s">
        <v>188</v>
      </c>
      <c r="J868" s="2">
        <v>1</v>
      </c>
      <c r="K868" s="2">
        <v>11.99</v>
      </c>
      <c r="L868" s="2"/>
      <c r="M868" s="2">
        <v>0</v>
      </c>
      <c r="N868" s="2">
        <v>4.99</v>
      </c>
      <c r="O868" s="2">
        <v>16.98</v>
      </c>
      <c r="P868" s="2" t="s">
        <v>68</v>
      </c>
      <c r="Q868" s="2" t="s">
        <v>41</v>
      </c>
      <c r="R868" s="2" t="s">
        <v>52</v>
      </c>
      <c r="S868" s="2" t="s">
        <v>30</v>
      </c>
      <c r="T868" s="2" t="s">
        <v>248</v>
      </c>
      <c r="U868" s="2" t="str">
        <f t="shared" si="40"/>
        <v>Valid</v>
      </c>
      <c r="V868" s="2" t="s">
        <v>2534</v>
      </c>
    </row>
    <row r="869" spans="1:22" hidden="1" x14ac:dyDescent="0.3">
      <c r="A869" s="2" t="s">
        <v>2535</v>
      </c>
      <c r="B869" s="12">
        <f t="shared" si="39"/>
        <v>46238.579067627317</v>
      </c>
      <c r="C869" s="13">
        <v>46238.579067627317</v>
      </c>
      <c r="D869" s="2" t="s">
        <v>2536</v>
      </c>
      <c r="E869" s="2" t="str">
        <f t="shared" si="41"/>
        <v>Email Available</v>
      </c>
      <c r="F869" s="2" t="s">
        <v>2537</v>
      </c>
      <c r="G869" s="2" t="s">
        <v>284</v>
      </c>
      <c r="H869" s="2" t="s">
        <v>23</v>
      </c>
      <c r="I869" s="2" t="s">
        <v>285</v>
      </c>
      <c r="J869" s="2">
        <v>1</v>
      </c>
      <c r="K869" s="2">
        <v>24.99</v>
      </c>
      <c r="L869" s="2" t="s">
        <v>208</v>
      </c>
      <c r="M869" s="2">
        <v>3.75</v>
      </c>
      <c r="N869" s="2">
        <v>4.99</v>
      </c>
      <c r="O869" s="2">
        <v>26.23</v>
      </c>
      <c r="P869" s="2" t="s">
        <v>74</v>
      </c>
      <c r="Q869" s="2" t="s">
        <v>90</v>
      </c>
      <c r="R869" s="2" t="s">
        <v>52</v>
      </c>
      <c r="S869" s="2" t="s">
        <v>43</v>
      </c>
      <c r="T869" s="2"/>
      <c r="U869" s="2" t="str">
        <f t="shared" si="40"/>
        <v>Not Required</v>
      </c>
      <c r="V869" s="2" t="s">
        <v>2538</v>
      </c>
    </row>
    <row r="870" spans="1:22" hidden="1" x14ac:dyDescent="0.3">
      <c r="A870" s="2" t="s">
        <v>2539</v>
      </c>
      <c r="B870" s="12">
        <f t="shared" si="39"/>
        <v>46238.579990474544</v>
      </c>
      <c r="C870" s="13">
        <v>46238.579990474544</v>
      </c>
      <c r="D870" s="2" t="s">
        <v>470</v>
      </c>
      <c r="E870" s="2" t="str">
        <f t="shared" si="41"/>
        <v>Email Available</v>
      </c>
      <c r="F870" s="2" t="s">
        <v>471</v>
      </c>
      <c r="G870" s="2" t="s">
        <v>48</v>
      </c>
      <c r="H870" s="2" t="s">
        <v>49</v>
      </c>
      <c r="I870" s="2" t="s">
        <v>50</v>
      </c>
      <c r="J870" s="2">
        <v>1</v>
      </c>
      <c r="K870" s="2">
        <v>39.99</v>
      </c>
      <c r="L870" s="2"/>
      <c r="M870" s="2">
        <v>0</v>
      </c>
      <c r="N870" s="2">
        <v>7.99</v>
      </c>
      <c r="O870" s="2">
        <v>47.98</v>
      </c>
      <c r="P870" s="2" t="s">
        <v>51</v>
      </c>
      <c r="Q870" s="2" t="s">
        <v>41</v>
      </c>
      <c r="R870" s="2" t="s">
        <v>29</v>
      </c>
      <c r="S870" s="2" t="s">
        <v>43</v>
      </c>
      <c r="T870" s="2"/>
      <c r="U870" s="2" t="str">
        <f t="shared" si="40"/>
        <v>Not Required</v>
      </c>
      <c r="V870" s="2" t="s">
        <v>2540</v>
      </c>
    </row>
    <row r="871" spans="1:22" hidden="1" x14ac:dyDescent="0.3">
      <c r="A871" s="2" t="s">
        <v>2541</v>
      </c>
      <c r="B871" s="12">
        <f t="shared" si="39"/>
        <v>46238.586777569442</v>
      </c>
      <c r="C871" s="13">
        <v>46238.586777569442</v>
      </c>
      <c r="D871" s="2" t="s">
        <v>1321</v>
      </c>
      <c r="E871" s="2" t="str">
        <f t="shared" si="41"/>
        <v>Email Available</v>
      </c>
      <c r="F871" s="2" t="s">
        <v>1322</v>
      </c>
      <c r="G871" s="2" t="s">
        <v>157</v>
      </c>
      <c r="H871" s="2" t="s">
        <v>37</v>
      </c>
      <c r="I871" s="2" t="s">
        <v>158</v>
      </c>
      <c r="J871" s="2">
        <v>1</v>
      </c>
      <c r="K871" s="2">
        <v>29.99</v>
      </c>
      <c r="L871" s="2"/>
      <c r="M871" s="2">
        <v>0</v>
      </c>
      <c r="N871" s="2">
        <v>7.99</v>
      </c>
      <c r="O871" s="2">
        <v>37.979999999999997</v>
      </c>
      <c r="P871" s="2" t="s">
        <v>68</v>
      </c>
      <c r="Q871" s="2" t="s">
        <v>41</v>
      </c>
      <c r="R871" s="2" t="s">
        <v>42</v>
      </c>
      <c r="S871" s="2" t="s">
        <v>30</v>
      </c>
      <c r="T871" s="2" t="s">
        <v>145</v>
      </c>
      <c r="U871" s="2" t="str">
        <f t="shared" si="40"/>
        <v>Valid</v>
      </c>
      <c r="V871" s="2" t="s">
        <v>2542</v>
      </c>
    </row>
    <row r="872" spans="1:22" hidden="1" x14ac:dyDescent="0.3">
      <c r="A872" s="2" t="s">
        <v>2543</v>
      </c>
      <c r="B872" s="12">
        <f t="shared" si="39"/>
        <v>46238.579745381947</v>
      </c>
      <c r="C872" s="13">
        <v>46238.579745381947</v>
      </c>
      <c r="D872" s="2" t="s">
        <v>2544</v>
      </c>
      <c r="E872" s="2" t="str">
        <f t="shared" si="41"/>
        <v>Email Available</v>
      </c>
      <c r="F872" s="2" t="s">
        <v>2545</v>
      </c>
      <c r="G872" s="2" t="s">
        <v>187</v>
      </c>
      <c r="H872" s="2" t="s">
        <v>37</v>
      </c>
      <c r="I872" s="2" t="s">
        <v>188</v>
      </c>
      <c r="J872" s="2">
        <v>2</v>
      </c>
      <c r="K872" s="2">
        <v>11.99</v>
      </c>
      <c r="L872" s="2"/>
      <c r="M872" s="2">
        <v>0</v>
      </c>
      <c r="N872" s="2">
        <v>7.99</v>
      </c>
      <c r="O872" s="2" t="s">
        <v>2546</v>
      </c>
      <c r="P872" s="2" t="s">
        <v>51</v>
      </c>
      <c r="Q872" s="2" t="s">
        <v>90</v>
      </c>
      <c r="R872" s="2" t="s">
        <v>29</v>
      </c>
      <c r="S872" s="2" t="s">
        <v>108</v>
      </c>
      <c r="T872" s="2"/>
      <c r="U872" s="2" t="str">
        <f t="shared" si="40"/>
        <v>Not Required</v>
      </c>
      <c r="V872" s="2" t="s">
        <v>2547</v>
      </c>
    </row>
    <row r="873" spans="1:22" hidden="1" x14ac:dyDescent="0.3">
      <c r="A873" s="2" t="s">
        <v>2548</v>
      </c>
      <c r="B873" s="12">
        <f t="shared" si="39"/>
        <v>46238.587843634261</v>
      </c>
      <c r="C873" s="13">
        <v>46238.587843634261</v>
      </c>
      <c r="D873" s="2" t="s">
        <v>246</v>
      </c>
      <c r="E873" s="2" t="str">
        <f t="shared" si="41"/>
        <v>Email Available</v>
      </c>
      <c r="F873" s="2" t="s">
        <v>247</v>
      </c>
      <c r="G873" s="2" t="s">
        <v>315</v>
      </c>
      <c r="H873" s="2" t="s">
        <v>37</v>
      </c>
      <c r="I873" s="2" t="s">
        <v>316</v>
      </c>
      <c r="J873" s="2">
        <v>1</v>
      </c>
      <c r="K873" s="2">
        <v>8.99</v>
      </c>
      <c r="L873" s="2"/>
      <c r="M873" s="2">
        <v>0</v>
      </c>
      <c r="N873" s="2">
        <v>4.99</v>
      </c>
      <c r="O873" s="2">
        <v>13.98</v>
      </c>
      <c r="P873" s="2" t="s">
        <v>40</v>
      </c>
      <c r="Q873" s="2" t="s">
        <v>28</v>
      </c>
      <c r="R873" s="2" t="s">
        <v>99</v>
      </c>
      <c r="S873" s="2" t="s">
        <v>30</v>
      </c>
      <c r="T873" s="2" t="s">
        <v>75</v>
      </c>
      <c r="U873" s="2" t="str">
        <f t="shared" si="40"/>
        <v>Valid</v>
      </c>
      <c r="V873" s="2" t="s">
        <v>2549</v>
      </c>
    </row>
    <row r="874" spans="1:22" hidden="1" x14ac:dyDescent="0.3">
      <c r="A874" s="2" t="s">
        <v>2550</v>
      </c>
      <c r="B874" s="12">
        <f t="shared" si="39"/>
        <v>46238.57951541667</v>
      </c>
      <c r="C874" s="13">
        <v>46238.57951541667</v>
      </c>
      <c r="D874" s="2" t="s">
        <v>496</v>
      </c>
      <c r="E874" s="2" t="str">
        <f t="shared" si="41"/>
        <v>Email Available</v>
      </c>
      <c r="F874" s="2" t="s">
        <v>497</v>
      </c>
      <c r="G874" s="2" t="s">
        <v>151</v>
      </c>
      <c r="H874" s="2" t="s">
        <v>49</v>
      </c>
      <c r="I874" s="2" t="s">
        <v>152</v>
      </c>
      <c r="J874" s="2">
        <v>1</v>
      </c>
      <c r="K874" s="2">
        <v>34.99</v>
      </c>
      <c r="L874" s="2" t="s">
        <v>208</v>
      </c>
      <c r="M874" s="2" t="s">
        <v>809</v>
      </c>
      <c r="N874" s="2">
        <v>4.99</v>
      </c>
      <c r="O874" s="2">
        <v>34.729999999999997</v>
      </c>
      <c r="P874" s="2" t="s">
        <v>51</v>
      </c>
      <c r="Q874" s="2" t="s">
        <v>28</v>
      </c>
      <c r="R874" s="2" t="s">
        <v>52</v>
      </c>
      <c r="S874" s="2" t="s">
        <v>30</v>
      </c>
      <c r="T874" s="2" t="s">
        <v>115</v>
      </c>
      <c r="U874" s="2" t="str">
        <f t="shared" si="40"/>
        <v>Valid</v>
      </c>
      <c r="V874" s="2" t="s">
        <v>2551</v>
      </c>
    </row>
    <row r="875" spans="1:22" hidden="1" x14ac:dyDescent="0.3">
      <c r="A875" s="2" t="s">
        <v>2552</v>
      </c>
      <c r="B875" s="12">
        <f t="shared" si="39"/>
        <v>46238.583478055552</v>
      </c>
      <c r="C875" s="13">
        <v>46238.583478055552</v>
      </c>
      <c r="D875" s="2" t="s">
        <v>2553</v>
      </c>
      <c r="E875" s="2" t="str">
        <f t="shared" si="41"/>
        <v>Email Available</v>
      </c>
      <c r="F875" s="2" t="s">
        <v>1671</v>
      </c>
      <c r="G875" s="2" t="s">
        <v>58</v>
      </c>
      <c r="H875" s="2" t="s">
        <v>23</v>
      </c>
      <c r="I875" s="2" t="s">
        <v>59</v>
      </c>
      <c r="J875" s="2">
        <v>1</v>
      </c>
      <c r="K875" s="2">
        <v>9.99</v>
      </c>
      <c r="L875" s="2"/>
      <c r="M875" s="2">
        <v>0</v>
      </c>
      <c r="N875" s="2">
        <v>5.99</v>
      </c>
      <c r="O875" s="2">
        <v>15.98</v>
      </c>
      <c r="P875" s="2" t="s">
        <v>51</v>
      </c>
      <c r="Q875" s="2" t="s">
        <v>41</v>
      </c>
      <c r="R875" s="2" t="s">
        <v>52</v>
      </c>
      <c r="S875" s="2" t="s">
        <v>30</v>
      </c>
      <c r="T875" s="2" t="s">
        <v>91</v>
      </c>
      <c r="U875" s="2" t="str">
        <f t="shared" si="40"/>
        <v>Valid</v>
      </c>
      <c r="V875" s="2" t="s">
        <v>2554</v>
      </c>
    </row>
    <row r="876" spans="1:22" hidden="1" x14ac:dyDescent="0.3">
      <c r="A876" s="2" t="s">
        <v>2555</v>
      </c>
      <c r="B876" s="12">
        <f t="shared" si="39"/>
        <v>46120</v>
      </c>
      <c r="C876" s="13" t="s">
        <v>142</v>
      </c>
      <c r="D876" s="2" t="s">
        <v>1564</v>
      </c>
      <c r="E876" s="2" t="str">
        <f t="shared" si="41"/>
        <v>Email Available</v>
      </c>
      <c r="F876" s="2" t="s">
        <v>1565</v>
      </c>
      <c r="G876" s="2" t="s">
        <v>226</v>
      </c>
      <c r="H876" s="2" t="s">
        <v>23</v>
      </c>
      <c r="I876" s="2" t="s">
        <v>227</v>
      </c>
      <c r="J876" s="2">
        <v>1</v>
      </c>
      <c r="K876" s="2" t="s">
        <v>708</v>
      </c>
      <c r="L876" s="2"/>
      <c r="M876" s="2">
        <v>0</v>
      </c>
      <c r="N876" s="2">
        <v>5.99</v>
      </c>
      <c r="O876" s="2">
        <v>23.98</v>
      </c>
      <c r="P876" s="2" t="s">
        <v>74</v>
      </c>
      <c r="Q876" s="2" t="s">
        <v>28</v>
      </c>
      <c r="R876" s="2" t="s">
        <v>52</v>
      </c>
      <c r="S876" s="2" t="s">
        <v>30</v>
      </c>
      <c r="T876" s="2" t="s">
        <v>91</v>
      </c>
      <c r="U876" s="2" t="str">
        <f t="shared" si="40"/>
        <v>Valid</v>
      </c>
      <c r="V876" s="2" t="s">
        <v>2556</v>
      </c>
    </row>
    <row r="877" spans="1:22" hidden="1" x14ac:dyDescent="0.3">
      <c r="A877" s="2" t="s">
        <v>2557</v>
      </c>
      <c r="B877" s="12">
        <f t="shared" si="39"/>
        <v>46238.582646354167</v>
      </c>
      <c r="C877" s="13">
        <v>46238.582646354167</v>
      </c>
      <c r="D877" s="2" t="s">
        <v>614</v>
      </c>
      <c r="E877" s="2" t="str">
        <f t="shared" si="41"/>
        <v>Email Available</v>
      </c>
      <c r="F877" s="2" t="s">
        <v>615</v>
      </c>
      <c r="G877" s="2" t="s">
        <v>272</v>
      </c>
      <c r="H877" s="2" t="s">
        <v>23</v>
      </c>
      <c r="I877" s="2" t="s">
        <v>273</v>
      </c>
      <c r="J877" s="2">
        <v>1</v>
      </c>
      <c r="K877" s="2">
        <v>18.989999999999998</v>
      </c>
      <c r="L877" s="2" t="s">
        <v>39</v>
      </c>
      <c r="M877" s="2">
        <v>0</v>
      </c>
      <c r="N877" s="2">
        <v>0</v>
      </c>
      <c r="O877" s="2">
        <v>18.989999999999998</v>
      </c>
      <c r="P877" s="2" t="s">
        <v>27</v>
      </c>
      <c r="Q877" s="2" t="s">
        <v>28</v>
      </c>
      <c r="R877" s="2" t="s">
        <v>52</v>
      </c>
      <c r="S877" s="2" t="s">
        <v>43</v>
      </c>
      <c r="T877" s="2"/>
      <c r="U877" s="2" t="str">
        <f t="shared" si="40"/>
        <v>Not Required</v>
      </c>
      <c r="V877" s="2" t="s">
        <v>2558</v>
      </c>
    </row>
    <row r="878" spans="1:22" hidden="1" x14ac:dyDescent="0.3">
      <c r="A878" s="2" t="s">
        <v>2559</v>
      </c>
      <c r="B878" s="12">
        <f t="shared" si="39"/>
        <v>46238.583684861107</v>
      </c>
      <c r="C878" s="13">
        <v>46238.583684861107</v>
      </c>
      <c r="D878" s="2" t="s">
        <v>1045</v>
      </c>
      <c r="E878" s="2" t="str">
        <f t="shared" si="41"/>
        <v>Email Available</v>
      </c>
      <c r="F878" s="2" t="s">
        <v>1046</v>
      </c>
      <c r="G878" s="2" t="s">
        <v>65</v>
      </c>
      <c r="H878" s="2" t="s">
        <v>49</v>
      </c>
      <c r="I878" s="2" t="s">
        <v>66</v>
      </c>
      <c r="J878" s="2">
        <v>2</v>
      </c>
      <c r="K878" s="2">
        <v>14.99</v>
      </c>
      <c r="L878" s="2" t="s">
        <v>39</v>
      </c>
      <c r="M878" s="2">
        <v>0</v>
      </c>
      <c r="N878" s="2">
        <v>0</v>
      </c>
      <c r="O878" s="2">
        <v>29.98</v>
      </c>
      <c r="P878" s="2" t="s">
        <v>40</v>
      </c>
      <c r="Q878" s="2" t="s">
        <v>28</v>
      </c>
      <c r="R878" s="2" t="s">
        <v>99</v>
      </c>
      <c r="S878" s="2" t="s">
        <v>30</v>
      </c>
      <c r="T878" s="2" t="s">
        <v>53</v>
      </c>
      <c r="U878" s="2" t="str">
        <f t="shared" si="40"/>
        <v>Valid</v>
      </c>
      <c r="V878" s="2" t="s">
        <v>2560</v>
      </c>
    </row>
    <row r="879" spans="1:22" hidden="1" x14ac:dyDescent="0.3">
      <c r="A879" s="2" t="s">
        <v>2561</v>
      </c>
      <c r="B879" s="12">
        <f t="shared" si="39"/>
        <v>46238.579101319447</v>
      </c>
      <c r="C879" s="13">
        <v>46238.579101319447</v>
      </c>
      <c r="D879" s="2" t="s">
        <v>169</v>
      </c>
      <c r="E879" s="2" t="str">
        <f t="shared" si="41"/>
        <v>Email Available</v>
      </c>
      <c r="F879" s="2" t="s">
        <v>170</v>
      </c>
      <c r="G879" s="2" t="s">
        <v>133</v>
      </c>
      <c r="H879" s="2" t="s">
        <v>106</v>
      </c>
      <c r="I879" s="2" t="s">
        <v>134</v>
      </c>
      <c r="J879" s="2">
        <v>1</v>
      </c>
      <c r="K879" s="2">
        <v>16.989999999999998</v>
      </c>
      <c r="L879" s="2" t="s">
        <v>25</v>
      </c>
      <c r="M879" s="2">
        <v>3.4</v>
      </c>
      <c r="N879" s="2">
        <v>5.99</v>
      </c>
      <c r="O879" s="2">
        <v>19.579999999999998</v>
      </c>
      <c r="P879" s="2" t="s">
        <v>51</v>
      </c>
      <c r="Q879" s="2" t="s">
        <v>28</v>
      </c>
      <c r="R879" s="2" t="s">
        <v>52</v>
      </c>
      <c r="S879" s="2" t="s">
        <v>108</v>
      </c>
      <c r="T879" s="2"/>
      <c r="U879" s="2" t="str">
        <f t="shared" si="40"/>
        <v>Not Required</v>
      </c>
      <c r="V879" s="2" t="s">
        <v>2562</v>
      </c>
    </row>
    <row r="880" spans="1:22" hidden="1" x14ac:dyDescent="0.3">
      <c r="A880" s="2" t="s">
        <v>2563</v>
      </c>
      <c r="B880" s="12">
        <f t="shared" si="39"/>
        <v>46238.587265034723</v>
      </c>
      <c r="C880" s="13">
        <v>46238.587265034723</v>
      </c>
      <c r="D880" s="2" t="s">
        <v>165</v>
      </c>
      <c r="E880" s="2" t="str">
        <f t="shared" si="41"/>
        <v>Email Available</v>
      </c>
      <c r="F880" s="2" t="s">
        <v>166</v>
      </c>
      <c r="G880" s="2" t="s">
        <v>120</v>
      </c>
      <c r="H880" s="2" t="s">
        <v>23</v>
      </c>
      <c r="I880" s="2" t="s">
        <v>24</v>
      </c>
      <c r="J880" s="2">
        <v>1</v>
      </c>
      <c r="K880" s="2">
        <v>12.99</v>
      </c>
      <c r="L880" s="2"/>
      <c r="M880" s="2">
        <v>0</v>
      </c>
      <c r="N880" s="2">
        <v>5.99</v>
      </c>
      <c r="O880" s="2">
        <v>18.98</v>
      </c>
      <c r="P880" s="2" t="s">
        <v>40</v>
      </c>
      <c r="Q880" s="2" t="s">
        <v>114</v>
      </c>
      <c r="R880" s="2" t="s">
        <v>29</v>
      </c>
      <c r="S880" s="2" t="s">
        <v>30</v>
      </c>
      <c r="T880" s="2" t="s">
        <v>347</v>
      </c>
      <c r="U880" s="2" t="str">
        <f t="shared" si="40"/>
        <v>Valid</v>
      </c>
      <c r="V880" s="2" t="s">
        <v>2564</v>
      </c>
    </row>
    <row r="881" spans="1:22" hidden="1" x14ac:dyDescent="0.3">
      <c r="A881" s="2" t="s">
        <v>2565</v>
      </c>
      <c r="B881" s="12">
        <f t="shared" si="39"/>
        <v>46238.58152886574</v>
      </c>
      <c r="C881" s="13">
        <v>46238.58152886574</v>
      </c>
      <c r="D881" s="2" t="s">
        <v>1007</v>
      </c>
      <c r="E881" s="2" t="str">
        <f t="shared" si="41"/>
        <v>Email Available</v>
      </c>
      <c r="F881" s="2" t="s">
        <v>1008</v>
      </c>
      <c r="G881" s="2" t="s">
        <v>48</v>
      </c>
      <c r="H881" s="2" t="s">
        <v>49</v>
      </c>
      <c r="I881" s="2" t="s">
        <v>50</v>
      </c>
      <c r="J881" s="2">
        <v>1</v>
      </c>
      <c r="K881" s="2">
        <v>39.99</v>
      </c>
      <c r="L881" s="2" t="s">
        <v>121</v>
      </c>
      <c r="M881" s="2">
        <v>10</v>
      </c>
      <c r="N881" s="2">
        <v>7.99</v>
      </c>
      <c r="O881" s="2">
        <v>37.979999999999997</v>
      </c>
      <c r="P881" s="2" t="s">
        <v>27</v>
      </c>
      <c r="Q881" s="2" t="s">
        <v>90</v>
      </c>
      <c r="R881" s="2" t="s">
        <v>42</v>
      </c>
      <c r="S881" s="2" t="s">
        <v>43</v>
      </c>
      <c r="T881" s="2"/>
      <c r="U881" s="2" t="str">
        <f t="shared" si="40"/>
        <v>Not Required</v>
      </c>
      <c r="V881" s="2" t="s">
        <v>2566</v>
      </c>
    </row>
    <row r="882" spans="1:22" hidden="1" x14ac:dyDescent="0.3">
      <c r="A882" s="2" t="s">
        <v>2567</v>
      </c>
      <c r="B882" s="12">
        <f t="shared" si="39"/>
        <v>46238.578867905089</v>
      </c>
      <c r="C882" s="13">
        <v>46238.578867905089</v>
      </c>
      <c r="D882" s="2" t="s">
        <v>666</v>
      </c>
      <c r="E882" s="2" t="str">
        <f t="shared" si="41"/>
        <v>Email Available</v>
      </c>
      <c r="F882" s="2" t="s">
        <v>667</v>
      </c>
      <c r="G882" s="2" t="s">
        <v>65</v>
      </c>
      <c r="H882" s="2" t="s">
        <v>49</v>
      </c>
      <c r="I882" s="2" t="s">
        <v>453</v>
      </c>
      <c r="J882" s="2">
        <v>2</v>
      </c>
      <c r="K882" s="2">
        <v>14.99</v>
      </c>
      <c r="L882" s="2" t="s">
        <v>67</v>
      </c>
      <c r="M882" s="2">
        <v>3</v>
      </c>
      <c r="N882" s="2">
        <v>5.99</v>
      </c>
      <c r="O882" s="2">
        <v>32.97</v>
      </c>
      <c r="P882" s="2" t="s">
        <v>27</v>
      </c>
      <c r="Q882" s="2" t="s">
        <v>28</v>
      </c>
      <c r="R882" s="2" t="s">
        <v>99</v>
      </c>
      <c r="S882" s="2" t="s">
        <v>75</v>
      </c>
      <c r="T882" s="2"/>
      <c r="U882" s="2" t="str">
        <f t="shared" si="40"/>
        <v>Not Required</v>
      </c>
      <c r="V882" s="2" t="s">
        <v>2568</v>
      </c>
    </row>
    <row r="883" spans="1:22" hidden="1" x14ac:dyDescent="0.3">
      <c r="A883" s="2" t="s">
        <v>2569</v>
      </c>
      <c r="B883" s="12">
        <f t="shared" si="39"/>
        <v>46238.582904270843</v>
      </c>
      <c r="C883" s="13">
        <v>46238.582904270843</v>
      </c>
      <c r="D883" s="2" t="s">
        <v>993</v>
      </c>
      <c r="E883" s="2" t="str">
        <f t="shared" si="41"/>
        <v>Email Available</v>
      </c>
      <c r="F883" s="2" t="s">
        <v>678</v>
      </c>
      <c r="G883" s="2" t="s">
        <v>58</v>
      </c>
      <c r="H883" s="2" t="s">
        <v>23</v>
      </c>
      <c r="I883" s="2" t="s">
        <v>59</v>
      </c>
      <c r="J883" s="2">
        <v>1</v>
      </c>
      <c r="K883" s="2">
        <v>9.99</v>
      </c>
      <c r="L883" s="2" t="s">
        <v>121</v>
      </c>
      <c r="M883" s="2">
        <v>2.5</v>
      </c>
      <c r="N883" s="2">
        <v>4.99</v>
      </c>
      <c r="O883" s="2">
        <v>12.48</v>
      </c>
      <c r="P883" s="2" t="s">
        <v>68</v>
      </c>
      <c r="Q883" s="2" t="s">
        <v>90</v>
      </c>
      <c r="R883" s="2" t="s">
        <v>52</v>
      </c>
      <c r="S883" s="2" t="s">
        <v>30</v>
      </c>
      <c r="T883" s="2" t="s">
        <v>454</v>
      </c>
      <c r="U883" s="2" t="str">
        <f t="shared" si="40"/>
        <v>Valid</v>
      </c>
      <c r="V883" s="2" t="s">
        <v>2570</v>
      </c>
    </row>
    <row r="884" spans="1:22" hidden="1" x14ac:dyDescent="0.3">
      <c r="A884" s="2" t="s">
        <v>2571</v>
      </c>
      <c r="B884" s="12">
        <f t="shared" si="39"/>
        <v>46238.581792777783</v>
      </c>
      <c r="C884" s="13">
        <v>46238.581792777783</v>
      </c>
      <c r="D884" s="2" t="s">
        <v>2572</v>
      </c>
      <c r="E884" s="2" t="str">
        <f t="shared" si="41"/>
        <v>Email Available</v>
      </c>
      <c r="F884" s="2" t="s">
        <v>2573</v>
      </c>
      <c r="G884" s="2" t="s">
        <v>266</v>
      </c>
      <c r="H884" s="2" t="s">
        <v>37</v>
      </c>
      <c r="I884" s="2" t="s">
        <v>267</v>
      </c>
      <c r="J884" s="2">
        <v>1</v>
      </c>
      <c r="K884" s="2">
        <v>15.49</v>
      </c>
      <c r="L884" s="2" t="s">
        <v>39</v>
      </c>
      <c r="M884" s="2">
        <v>0</v>
      </c>
      <c r="N884" s="2">
        <v>0</v>
      </c>
      <c r="O884" s="2">
        <v>15.49</v>
      </c>
      <c r="P884" s="2" t="s">
        <v>27</v>
      </c>
      <c r="Q884" s="2" t="s">
        <v>114</v>
      </c>
      <c r="R884" s="2" t="s">
        <v>42</v>
      </c>
      <c r="S884" s="2" t="s">
        <v>337</v>
      </c>
      <c r="T884" s="2"/>
      <c r="U884" s="2" t="str">
        <f t="shared" si="40"/>
        <v>Not Required</v>
      </c>
      <c r="V884" s="2" t="s">
        <v>1849</v>
      </c>
    </row>
    <row r="885" spans="1:22" hidden="1" x14ac:dyDescent="0.3">
      <c r="A885" s="2" t="s">
        <v>2577</v>
      </c>
      <c r="B885" s="12">
        <f t="shared" si="39"/>
        <v>46238.588866516213</v>
      </c>
      <c r="C885" s="13">
        <v>46238.588866516213</v>
      </c>
      <c r="D885" s="2" t="s">
        <v>2578</v>
      </c>
      <c r="E885" s="2" t="str">
        <f t="shared" si="41"/>
        <v>Email Available</v>
      </c>
      <c r="F885" s="2" t="s">
        <v>2579</v>
      </c>
      <c r="G885" s="2" t="s">
        <v>187</v>
      </c>
      <c r="H885" s="2" t="s">
        <v>37</v>
      </c>
      <c r="I885" s="2" t="s">
        <v>188</v>
      </c>
      <c r="J885" s="2">
        <v>1</v>
      </c>
      <c r="K885" s="2">
        <v>11.99</v>
      </c>
      <c r="L885" s="2" t="s">
        <v>25</v>
      </c>
      <c r="M885" s="2">
        <v>2.4</v>
      </c>
      <c r="N885" s="2">
        <v>4.99</v>
      </c>
      <c r="O885" s="2">
        <v>14.58</v>
      </c>
      <c r="P885" s="2" t="s">
        <v>40</v>
      </c>
      <c r="Q885" s="2" t="s">
        <v>28</v>
      </c>
      <c r="R885" s="2" t="s">
        <v>52</v>
      </c>
      <c r="S885" s="2" t="s">
        <v>43</v>
      </c>
      <c r="T885" s="2"/>
      <c r="U885" s="2" t="str">
        <f t="shared" si="40"/>
        <v>Not Required</v>
      </c>
      <c r="V885" s="2" t="s">
        <v>2580</v>
      </c>
    </row>
    <row r="886" spans="1:22" hidden="1" x14ac:dyDescent="0.3">
      <c r="A886" s="2" t="s">
        <v>2581</v>
      </c>
      <c r="B886" s="12">
        <f>DATE(VALUE(RIGHT(C886,4)),MATCH(LEFT(C886,3),{"Jan","Feb","Mar","Apr","May","Jun","Jul","Aug","Sep","Oct","Nov","Dec"},0),VALUE(MID(C886,5,2)))</f>
        <v>46238</v>
      </c>
      <c r="C886" s="13" t="s">
        <v>176</v>
      </c>
      <c r="D886" s="2" t="s">
        <v>2582</v>
      </c>
      <c r="E886" s="2" t="str">
        <f t="shared" si="41"/>
        <v>Email Available</v>
      </c>
      <c r="F886" s="2" t="s">
        <v>2583</v>
      </c>
      <c r="G886" s="2" t="s">
        <v>127</v>
      </c>
      <c r="H886" s="2" t="s">
        <v>81</v>
      </c>
      <c r="I886" s="2" t="s">
        <v>128</v>
      </c>
      <c r="J886" s="2">
        <v>1</v>
      </c>
      <c r="K886" s="2">
        <v>13.99</v>
      </c>
      <c r="L886" s="2" t="s">
        <v>67</v>
      </c>
      <c r="M886" s="2" t="s">
        <v>1655</v>
      </c>
      <c r="N886" s="2">
        <v>7.99</v>
      </c>
      <c r="O886" s="2" t="s">
        <v>2584</v>
      </c>
      <c r="P886" s="2" t="s">
        <v>68</v>
      </c>
      <c r="Q886" s="2" t="s">
        <v>28</v>
      </c>
      <c r="R886" s="2" t="s">
        <v>52</v>
      </c>
      <c r="S886" s="2" t="s">
        <v>30</v>
      </c>
      <c r="T886" s="2" t="s">
        <v>53</v>
      </c>
      <c r="U886" s="2" t="str">
        <f t="shared" si="40"/>
        <v>Valid</v>
      </c>
      <c r="V886" s="2" t="s">
        <v>2585</v>
      </c>
    </row>
    <row r="887" spans="1:22" hidden="1" x14ac:dyDescent="0.3">
      <c r="A887" s="2" t="s">
        <v>2586</v>
      </c>
      <c r="B887" s="12">
        <f t="shared" si="39"/>
        <v>46238.580922013891</v>
      </c>
      <c r="C887" s="13">
        <v>46238.580922013891</v>
      </c>
      <c r="D887" s="2" t="s">
        <v>2578</v>
      </c>
      <c r="E887" s="2" t="str">
        <f t="shared" si="41"/>
        <v>Email Available</v>
      </c>
      <c r="F887" s="2" t="s">
        <v>2579</v>
      </c>
      <c r="G887" s="2" t="s">
        <v>171</v>
      </c>
      <c r="H887" s="2" t="s">
        <v>106</v>
      </c>
      <c r="I887" s="2" t="s">
        <v>172</v>
      </c>
      <c r="J887" s="2">
        <v>1</v>
      </c>
      <c r="K887" s="2">
        <v>32.99</v>
      </c>
      <c r="L887" s="2"/>
      <c r="M887" s="2">
        <v>0</v>
      </c>
      <c r="N887" s="2">
        <v>7.99</v>
      </c>
      <c r="O887" s="2">
        <v>40.98</v>
      </c>
      <c r="P887" s="2" t="s">
        <v>51</v>
      </c>
      <c r="Q887" s="2" t="s">
        <v>90</v>
      </c>
      <c r="R887" s="2" t="s">
        <v>52</v>
      </c>
      <c r="S887" s="2" t="s">
        <v>43</v>
      </c>
      <c r="T887" s="2"/>
      <c r="U887" s="2" t="str">
        <f t="shared" si="40"/>
        <v>Not Required</v>
      </c>
      <c r="V887" s="2" t="s">
        <v>2587</v>
      </c>
    </row>
    <row r="888" spans="1:22" hidden="1" x14ac:dyDescent="0.3">
      <c r="A888" s="2" t="s">
        <v>2588</v>
      </c>
      <c r="B888" s="12">
        <f t="shared" si="39"/>
        <v>46238.582618912027</v>
      </c>
      <c r="C888" s="13">
        <v>46238.582618912027</v>
      </c>
      <c r="D888" s="2" t="s">
        <v>1475</v>
      </c>
      <c r="E888" s="2" t="str">
        <f t="shared" si="41"/>
        <v>Email Available</v>
      </c>
      <c r="F888" s="2" t="s">
        <v>1298</v>
      </c>
      <c r="G888" s="2" t="s">
        <v>315</v>
      </c>
      <c r="H888" s="2" t="s">
        <v>37</v>
      </c>
      <c r="I888" s="2" t="s">
        <v>316</v>
      </c>
      <c r="J888" s="2">
        <v>2</v>
      </c>
      <c r="K888" s="2">
        <v>8.99</v>
      </c>
      <c r="L888" s="2" t="s">
        <v>39</v>
      </c>
      <c r="M888" s="2" t="s">
        <v>189</v>
      </c>
      <c r="N888" s="2">
        <v>0</v>
      </c>
      <c r="O888" s="2">
        <v>17.98</v>
      </c>
      <c r="P888" s="2" t="s">
        <v>40</v>
      </c>
      <c r="Q888" s="2" t="s">
        <v>114</v>
      </c>
      <c r="R888" s="2" t="s">
        <v>29</v>
      </c>
      <c r="S888" s="2" t="s">
        <v>30</v>
      </c>
      <c r="T888" s="2" t="s">
        <v>60</v>
      </c>
      <c r="U888" s="2" t="str">
        <f t="shared" si="40"/>
        <v>Valid</v>
      </c>
      <c r="V888" s="2" t="s">
        <v>2589</v>
      </c>
    </row>
    <row r="889" spans="1:22" hidden="1" x14ac:dyDescent="0.3">
      <c r="A889" s="2" t="s">
        <v>2590</v>
      </c>
      <c r="B889" s="12">
        <f t="shared" si="39"/>
        <v>46120</v>
      </c>
      <c r="C889" s="13" t="s">
        <v>142</v>
      </c>
      <c r="D889" s="2" t="s">
        <v>396</v>
      </c>
      <c r="E889" s="2" t="str">
        <f t="shared" si="41"/>
        <v>Email Available</v>
      </c>
      <c r="F889" s="2" t="s">
        <v>397</v>
      </c>
      <c r="G889" s="2" t="s">
        <v>284</v>
      </c>
      <c r="H889" s="2" t="s">
        <v>23</v>
      </c>
      <c r="I889" s="2" t="s">
        <v>285</v>
      </c>
      <c r="J889" s="2">
        <v>2</v>
      </c>
      <c r="K889" s="2">
        <v>24.99</v>
      </c>
      <c r="L889" s="2"/>
      <c r="M889" s="2">
        <v>0</v>
      </c>
      <c r="N889" s="2">
        <v>4.99</v>
      </c>
      <c r="O889" s="2">
        <v>54.97</v>
      </c>
      <c r="P889" s="2" t="s">
        <v>74</v>
      </c>
      <c r="Q889" s="2" t="s">
        <v>90</v>
      </c>
      <c r="R889" s="2" t="s">
        <v>52</v>
      </c>
      <c r="S889" s="2" t="s">
        <v>337</v>
      </c>
      <c r="T889" s="2"/>
      <c r="U889" s="2" t="str">
        <f t="shared" si="40"/>
        <v>Not Required</v>
      </c>
      <c r="V889" s="2" t="s">
        <v>1780</v>
      </c>
    </row>
    <row r="890" spans="1:22" hidden="1" x14ac:dyDescent="0.3">
      <c r="A890" s="2" t="s">
        <v>2591</v>
      </c>
      <c r="B890" s="12">
        <f t="shared" si="39"/>
        <v>46238.586885300923</v>
      </c>
      <c r="C890" s="13">
        <v>46238.586885300923</v>
      </c>
      <c r="D890" s="2" t="s">
        <v>536</v>
      </c>
      <c r="E890" s="2" t="str">
        <f t="shared" si="41"/>
        <v>Email Available</v>
      </c>
      <c r="F890" s="2" t="s">
        <v>537</v>
      </c>
      <c r="G890" s="2" t="s">
        <v>272</v>
      </c>
      <c r="H890" s="2" t="s">
        <v>23</v>
      </c>
      <c r="I890" s="2" t="s">
        <v>273</v>
      </c>
      <c r="J890" s="2">
        <v>2</v>
      </c>
      <c r="K890" s="2">
        <v>18.989999999999998</v>
      </c>
      <c r="L890" s="2"/>
      <c r="M890" s="2">
        <v>0</v>
      </c>
      <c r="N890" s="2">
        <v>5.99</v>
      </c>
      <c r="O890" s="2">
        <v>43.97</v>
      </c>
      <c r="P890" s="2" t="s">
        <v>51</v>
      </c>
      <c r="Q890" s="2" t="s">
        <v>41</v>
      </c>
      <c r="R890" s="2" t="s">
        <v>52</v>
      </c>
      <c r="S890" s="2" t="s">
        <v>30</v>
      </c>
      <c r="T890" s="2" t="s">
        <v>248</v>
      </c>
      <c r="U890" s="2" t="str">
        <f t="shared" si="40"/>
        <v>Valid</v>
      </c>
      <c r="V890" s="2" t="s">
        <v>2592</v>
      </c>
    </row>
    <row r="891" spans="1:22" hidden="1" x14ac:dyDescent="0.3">
      <c r="A891" s="2" t="s">
        <v>2593</v>
      </c>
      <c r="B891" s="12">
        <f t="shared" si="39"/>
        <v>46238.583921458332</v>
      </c>
      <c r="C891" s="13">
        <v>46238.583921458332</v>
      </c>
      <c r="D891" s="2" t="s">
        <v>466</v>
      </c>
      <c r="E891" s="2" t="str">
        <f t="shared" si="41"/>
        <v>Email Available</v>
      </c>
      <c r="F891" s="2" t="s">
        <v>467</v>
      </c>
      <c r="G891" s="2" t="s">
        <v>206</v>
      </c>
      <c r="H891" s="2" t="s">
        <v>196</v>
      </c>
      <c r="I891" s="2" t="s">
        <v>207</v>
      </c>
      <c r="J891" s="2">
        <v>2</v>
      </c>
      <c r="K891" s="2">
        <v>24.99</v>
      </c>
      <c r="L891" s="2" t="s">
        <v>39</v>
      </c>
      <c r="M891" s="2">
        <v>0</v>
      </c>
      <c r="N891" s="2">
        <v>0</v>
      </c>
      <c r="O891" s="2">
        <v>49.98</v>
      </c>
      <c r="P891" s="2" t="s">
        <v>68</v>
      </c>
      <c r="Q891" s="2" t="s">
        <v>28</v>
      </c>
      <c r="R891" s="2" t="s">
        <v>52</v>
      </c>
      <c r="S891" s="2" t="s">
        <v>228</v>
      </c>
      <c r="T891" s="2"/>
      <c r="U891" s="2" t="str">
        <f t="shared" si="40"/>
        <v>Not Required</v>
      </c>
      <c r="V891" s="2" t="s">
        <v>2594</v>
      </c>
    </row>
    <row r="892" spans="1:22" hidden="1" x14ac:dyDescent="0.3">
      <c r="A892" s="2" t="s">
        <v>2595</v>
      </c>
      <c r="B892" s="12">
        <f t="shared" si="39"/>
        <v>46238.583525127317</v>
      </c>
      <c r="C892" s="13">
        <v>46238.583525127317</v>
      </c>
      <c r="D892" s="2" t="s">
        <v>1215</v>
      </c>
      <c r="E892" s="2" t="str">
        <f t="shared" si="41"/>
        <v>Email Available</v>
      </c>
      <c r="F892" s="2" t="s">
        <v>1216</v>
      </c>
      <c r="G892" s="2" t="s">
        <v>226</v>
      </c>
      <c r="H892" s="2" t="s">
        <v>23</v>
      </c>
      <c r="I892" s="2" t="s">
        <v>227</v>
      </c>
      <c r="J892" s="2">
        <v>1</v>
      </c>
      <c r="K892" s="2">
        <v>17.989999999999998</v>
      </c>
      <c r="L892" s="2"/>
      <c r="M892" s="2">
        <v>0</v>
      </c>
      <c r="N892" s="2">
        <v>4.99</v>
      </c>
      <c r="O892" s="2">
        <v>22.98</v>
      </c>
      <c r="P892" s="2" t="s">
        <v>74</v>
      </c>
      <c r="Q892" s="2" t="s">
        <v>114</v>
      </c>
      <c r="R892" s="2" t="s">
        <v>52</v>
      </c>
      <c r="S892" s="2" t="s">
        <v>30</v>
      </c>
      <c r="T892" s="2" t="s">
        <v>115</v>
      </c>
      <c r="U892" s="2" t="str">
        <f t="shared" si="40"/>
        <v>Valid</v>
      </c>
      <c r="V892" s="2" t="s">
        <v>2596</v>
      </c>
    </row>
    <row r="893" spans="1:22" hidden="1" x14ac:dyDescent="0.3">
      <c r="A893" s="2" t="s">
        <v>2597</v>
      </c>
      <c r="B893" s="12">
        <f t="shared" ref="B893:B956" si="42">IF(ISNUMBER(C893),C893,DATEVALUE(SUBSTITUTE(TRIM(C893),CHAR(160)," ")))</f>
        <v>46238.585391365741</v>
      </c>
      <c r="C893" s="13">
        <v>46238.585391365741</v>
      </c>
      <c r="D893" s="2" t="s">
        <v>2598</v>
      </c>
      <c r="E893" s="2" t="str">
        <f t="shared" si="41"/>
        <v>Email Available</v>
      </c>
      <c r="F893" s="2" t="s">
        <v>2599</v>
      </c>
      <c r="G893" s="2" t="s">
        <v>65</v>
      </c>
      <c r="H893" s="2" t="s">
        <v>49</v>
      </c>
      <c r="I893" s="2" t="s">
        <v>66</v>
      </c>
      <c r="J893" s="2">
        <v>1</v>
      </c>
      <c r="K893" s="2">
        <v>14.99</v>
      </c>
      <c r="L893" s="2" t="s">
        <v>121</v>
      </c>
      <c r="M893" s="2">
        <v>3.75</v>
      </c>
      <c r="N893" s="2">
        <v>7.99</v>
      </c>
      <c r="O893" s="2" t="s">
        <v>2600</v>
      </c>
      <c r="P893" s="2" t="s">
        <v>51</v>
      </c>
      <c r="Q893" s="2" t="s">
        <v>28</v>
      </c>
      <c r="R893" s="2" t="s">
        <v>42</v>
      </c>
      <c r="S893" s="2" t="s">
        <v>75</v>
      </c>
      <c r="T893" s="2"/>
      <c r="U893" s="2" t="str">
        <f t="shared" ref="U893:U956" si="43">IF(AND(S893="United States",T893=""),"Missing state",IF(T893="","Not Required","Valid"))</f>
        <v>Not Required</v>
      </c>
      <c r="V893" s="2" t="s">
        <v>2601</v>
      </c>
    </row>
    <row r="894" spans="1:22" hidden="1" x14ac:dyDescent="0.3">
      <c r="A894" s="2" t="s">
        <v>2602</v>
      </c>
      <c r="B894" s="12">
        <f t="shared" si="42"/>
        <v>46238</v>
      </c>
      <c r="C894" s="13" t="s">
        <v>1245</v>
      </c>
      <c r="D894" s="2" t="s">
        <v>713</v>
      </c>
      <c r="E894" s="2" t="str">
        <f t="shared" si="41"/>
        <v>Email Available</v>
      </c>
      <c r="F894" s="2" t="s">
        <v>714</v>
      </c>
      <c r="G894" s="2" t="s">
        <v>65</v>
      </c>
      <c r="H894" s="2" t="s">
        <v>49</v>
      </c>
      <c r="I894" s="2" t="s">
        <v>453</v>
      </c>
      <c r="J894" s="2">
        <v>1</v>
      </c>
      <c r="K894" s="2">
        <v>14.99</v>
      </c>
      <c r="L894" s="2"/>
      <c r="M894" s="2">
        <v>0</v>
      </c>
      <c r="N894" s="2">
        <v>5.99</v>
      </c>
      <c r="O894" s="2">
        <v>20.98</v>
      </c>
      <c r="P894" s="2" t="s">
        <v>74</v>
      </c>
      <c r="Q894" s="2" t="s">
        <v>114</v>
      </c>
      <c r="R894" s="2" t="s">
        <v>52</v>
      </c>
      <c r="S894" s="2" t="s">
        <v>337</v>
      </c>
      <c r="T894" s="2"/>
      <c r="U894" s="2" t="str">
        <f t="shared" si="43"/>
        <v>Not Required</v>
      </c>
      <c r="V894" s="2" t="s">
        <v>2603</v>
      </c>
    </row>
    <row r="895" spans="1:22" hidden="1" x14ac:dyDescent="0.3">
      <c r="A895" s="2" t="s">
        <v>2604</v>
      </c>
      <c r="B895" s="12">
        <f t="shared" si="42"/>
        <v>46238.58371900463</v>
      </c>
      <c r="C895" s="13">
        <v>46238.58371900463</v>
      </c>
      <c r="D895" s="2" t="s">
        <v>466</v>
      </c>
      <c r="E895" s="2" t="str">
        <f t="shared" si="41"/>
        <v>Email Available</v>
      </c>
      <c r="F895" s="2" t="s">
        <v>467</v>
      </c>
      <c r="G895" s="2" t="s">
        <v>120</v>
      </c>
      <c r="H895" s="2" t="s">
        <v>23</v>
      </c>
      <c r="I895" s="2" t="s">
        <v>24</v>
      </c>
      <c r="J895" s="2">
        <v>1</v>
      </c>
      <c r="K895" s="2">
        <v>12.99</v>
      </c>
      <c r="L895" s="2" t="s">
        <v>67</v>
      </c>
      <c r="M895" s="2">
        <v>1.3</v>
      </c>
      <c r="N895" s="2">
        <v>7.99</v>
      </c>
      <c r="O895" s="2">
        <v>19.68</v>
      </c>
      <c r="P895" s="2" t="s">
        <v>40</v>
      </c>
      <c r="Q895" s="2" t="s">
        <v>28</v>
      </c>
      <c r="R895" s="2" t="s">
        <v>52</v>
      </c>
      <c r="S895" s="2" t="s">
        <v>228</v>
      </c>
      <c r="T895" s="2"/>
      <c r="U895" s="2" t="str">
        <f t="shared" si="43"/>
        <v>Not Required</v>
      </c>
      <c r="V895" s="2" t="s">
        <v>2605</v>
      </c>
    </row>
    <row r="896" spans="1:22" hidden="1" x14ac:dyDescent="0.3">
      <c r="A896" s="2" t="s">
        <v>2606</v>
      </c>
      <c r="B896" s="12">
        <f t="shared" si="42"/>
        <v>46238.585591608797</v>
      </c>
      <c r="C896" s="13">
        <v>46238.585591608797</v>
      </c>
      <c r="D896" s="2" t="s">
        <v>1520</v>
      </c>
      <c r="E896" s="2" t="str">
        <f t="shared" si="41"/>
        <v>Email Available</v>
      </c>
      <c r="F896" s="2" t="s">
        <v>1521</v>
      </c>
      <c r="G896" s="2" t="s">
        <v>58</v>
      </c>
      <c r="H896" s="2" t="s">
        <v>23</v>
      </c>
      <c r="I896" s="2" t="s">
        <v>59</v>
      </c>
      <c r="J896" s="2">
        <v>1</v>
      </c>
      <c r="K896" s="2">
        <v>9.99</v>
      </c>
      <c r="L896" s="2" t="s">
        <v>25</v>
      </c>
      <c r="M896" s="2" t="s">
        <v>2607</v>
      </c>
      <c r="N896" s="2">
        <v>7.99</v>
      </c>
      <c r="O896" s="2">
        <v>15.98</v>
      </c>
      <c r="P896" s="2" t="s">
        <v>27</v>
      </c>
      <c r="Q896" s="2" t="s">
        <v>28</v>
      </c>
      <c r="R896" s="2" t="s">
        <v>99</v>
      </c>
      <c r="S896" s="2" t="s">
        <v>30</v>
      </c>
      <c r="T896" s="2" t="s">
        <v>31</v>
      </c>
      <c r="U896" s="2" t="str">
        <f t="shared" si="43"/>
        <v>Valid</v>
      </c>
      <c r="V896" s="2" t="s">
        <v>2608</v>
      </c>
    </row>
    <row r="897" spans="1:22" hidden="1" x14ac:dyDescent="0.3">
      <c r="A897" s="2" t="s">
        <v>2609</v>
      </c>
      <c r="B897" s="12">
        <f t="shared" si="42"/>
        <v>46238.584610983788</v>
      </c>
      <c r="C897" s="13">
        <v>46238.584610983788</v>
      </c>
      <c r="D897" s="2" t="s">
        <v>1543</v>
      </c>
      <c r="E897" s="2" t="str">
        <f t="shared" si="41"/>
        <v>Email Available</v>
      </c>
      <c r="F897" s="2" t="s">
        <v>1544</v>
      </c>
      <c r="G897" s="2" t="s">
        <v>80</v>
      </c>
      <c r="H897" s="2" t="s">
        <v>81</v>
      </c>
      <c r="I897" s="2" t="s">
        <v>82</v>
      </c>
      <c r="J897" s="2">
        <v>2</v>
      </c>
      <c r="K897" s="2">
        <v>89.99</v>
      </c>
      <c r="L897" s="2"/>
      <c r="M897" s="2">
        <v>0</v>
      </c>
      <c r="N897" s="2">
        <v>0</v>
      </c>
      <c r="O897" s="2">
        <v>179.98</v>
      </c>
      <c r="P897" s="2" t="s">
        <v>74</v>
      </c>
      <c r="Q897" s="2" t="s">
        <v>28</v>
      </c>
      <c r="R897" s="2" t="s">
        <v>52</v>
      </c>
      <c r="S897" s="2" t="s">
        <v>30</v>
      </c>
      <c r="T897" s="2" t="s">
        <v>766</v>
      </c>
      <c r="U897" s="2" t="str">
        <f t="shared" si="43"/>
        <v>Valid</v>
      </c>
      <c r="V897" s="2" t="s">
        <v>2610</v>
      </c>
    </row>
    <row r="898" spans="1:22" hidden="1" x14ac:dyDescent="0.3">
      <c r="A898" s="2" t="s">
        <v>2611</v>
      </c>
      <c r="B898" s="12">
        <f t="shared" si="42"/>
        <v>46238.57986002315</v>
      </c>
      <c r="C898" s="13">
        <v>46238.57986002315</v>
      </c>
      <c r="D898" s="2" t="s">
        <v>927</v>
      </c>
      <c r="E898" s="2" t="str">
        <f t="shared" si="41"/>
        <v>Email Available</v>
      </c>
      <c r="F898" s="2" t="s">
        <v>928</v>
      </c>
      <c r="G898" s="2" t="s">
        <v>171</v>
      </c>
      <c r="H898" s="2" t="s">
        <v>106</v>
      </c>
      <c r="I898" s="2" t="s">
        <v>172</v>
      </c>
      <c r="J898" s="2">
        <v>2</v>
      </c>
      <c r="K898" s="2">
        <v>32.99</v>
      </c>
      <c r="L898" s="2"/>
      <c r="M898" s="2">
        <v>0</v>
      </c>
      <c r="N898" s="2">
        <v>7.99</v>
      </c>
      <c r="O898" s="2">
        <v>73.97</v>
      </c>
      <c r="P898" s="2" t="s">
        <v>74</v>
      </c>
      <c r="Q898" s="2" t="s">
        <v>28</v>
      </c>
      <c r="R898" s="2" t="s">
        <v>52</v>
      </c>
      <c r="S898" s="2" t="s">
        <v>30</v>
      </c>
      <c r="T898" s="2" t="s">
        <v>91</v>
      </c>
      <c r="U898" s="2" t="str">
        <f t="shared" si="43"/>
        <v>Valid</v>
      </c>
      <c r="V898" s="2" t="s">
        <v>2612</v>
      </c>
    </row>
    <row r="899" spans="1:22" hidden="1" x14ac:dyDescent="0.3">
      <c r="A899" s="2" t="s">
        <v>2613</v>
      </c>
      <c r="B899" s="12">
        <f t="shared" si="42"/>
        <v>46238.579249861112</v>
      </c>
      <c r="C899" s="13">
        <v>46238.579249861112</v>
      </c>
      <c r="D899" s="2" t="s">
        <v>1321</v>
      </c>
      <c r="E899" s="2" t="str">
        <f t="shared" ref="E899:E962" si="44">IF(TRIM(F899)="","Missing Email","Email Available")</f>
        <v>Email Available</v>
      </c>
      <c r="F899" s="2" t="s">
        <v>1322</v>
      </c>
      <c r="G899" s="2" t="s">
        <v>266</v>
      </c>
      <c r="H899" s="2" t="s">
        <v>37</v>
      </c>
      <c r="I899" s="2" t="s">
        <v>267</v>
      </c>
      <c r="J899" s="2">
        <v>1</v>
      </c>
      <c r="K899" s="2">
        <v>15.49</v>
      </c>
      <c r="L899" s="2" t="s">
        <v>39</v>
      </c>
      <c r="M899" s="2">
        <v>0</v>
      </c>
      <c r="N899" s="2">
        <v>0</v>
      </c>
      <c r="O899" s="2">
        <v>15.49</v>
      </c>
      <c r="P899" s="2" t="s">
        <v>51</v>
      </c>
      <c r="Q899" s="2" t="s">
        <v>114</v>
      </c>
      <c r="R899" s="2" t="s">
        <v>52</v>
      </c>
      <c r="S899" s="2" t="s">
        <v>30</v>
      </c>
      <c r="T899" s="2" t="s">
        <v>766</v>
      </c>
      <c r="U899" s="2" t="str">
        <f t="shared" si="43"/>
        <v>Valid</v>
      </c>
      <c r="V899" s="2" t="s">
        <v>2614</v>
      </c>
    </row>
    <row r="900" spans="1:22" hidden="1" x14ac:dyDescent="0.3">
      <c r="A900" s="2" t="s">
        <v>2615</v>
      </c>
      <c r="B900" s="12">
        <f t="shared" si="42"/>
        <v>46238.588015439818</v>
      </c>
      <c r="C900" s="13">
        <v>46238.588015439818</v>
      </c>
      <c r="D900" s="2" t="s">
        <v>496</v>
      </c>
      <c r="E900" s="2" t="str">
        <f t="shared" si="44"/>
        <v>Email Available</v>
      </c>
      <c r="F900" s="2" t="s">
        <v>497</v>
      </c>
      <c r="G900" s="2" t="s">
        <v>105</v>
      </c>
      <c r="H900" s="2" t="s">
        <v>106</v>
      </c>
      <c r="I900" s="2" t="s">
        <v>107</v>
      </c>
      <c r="J900" s="2">
        <v>4</v>
      </c>
      <c r="K900" s="2">
        <v>19.989999999999998</v>
      </c>
      <c r="L900" s="2"/>
      <c r="M900" s="2">
        <v>0</v>
      </c>
      <c r="N900" s="2">
        <v>0</v>
      </c>
      <c r="O900" s="2">
        <v>79.959999999999994</v>
      </c>
      <c r="P900" s="2" t="s">
        <v>74</v>
      </c>
      <c r="Q900" s="2" t="s">
        <v>41</v>
      </c>
      <c r="R900" s="2" t="s">
        <v>52</v>
      </c>
      <c r="S900" s="2" t="s">
        <v>30</v>
      </c>
      <c r="T900" s="2" t="s">
        <v>351</v>
      </c>
      <c r="U900" s="2" t="str">
        <f t="shared" si="43"/>
        <v>Valid</v>
      </c>
      <c r="V900" s="2" t="s">
        <v>2616</v>
      </c>
    </row>
    <row r="901" spans="1:22" hidden="1" x14ac:dyDescent="0.3">
      <c r="A901" s="2" t="s">
        <v>2617</v>
      </c>
      <c r="B901" s="12">
        <f t="shared" si="42"/>
        <v>46238.579765150462</v>
      </c>
      <c r="C901" s="13">
        <v>46238.579765150462</v>
      </c>
      <c r="D901" s="2" t="s">
        <v>246</v>
      </c>
      <c r="E901" s="2" t="str">
        <f t="shared" si="44"/>
        <v>Email Available</v>
      </c>
      <c r="F901" s="2" t="s">
        <v>247</v>
      </c>
      <c r="G901" s="2" t="s">
        <v>48</v>
      </c>
      <c r="H901" s="2" t="s">
        <v>49</v>
      </c>
      <c r="I901" s="2" t="s">
        <v>50</v>
      </c>
      <c r="J901" s="2">
        <v>1</v>
      </c>
      <c r="K901" s="2">
        <v>39.99</v>
      </c>
      <c r="L901" s="2" t="s">
        <v>121</v>
      </c>
      <c r="M901" s="2">
        <v>10</v>
      </c>
      <c r="N901" s="2">
        <v>7.99</v>
      </c>
      <c r="O901" s="2">
        <v>37.979999999999997</v>
      </c>
      <c r="P901" s="2" t="s">
        <v>51</v>
      </c>
      <c r="Q901" s="2" t="s">
        <v>114</v>
      </c>
      <c r="R901" s="2" t="s">
        <v>52</v>
      </c>
      <c r="S901" s="2" t="s">
        <v>30</v>
      </c>
      <c r="T901" s="2" t="s">
        <v>31</v>
      </c>
      <c r="U901" s="2" t="str">
        <f t="shared" si="43"/>
        <v>Valid</v>
      </c>
      <c r="V901" s="2" t="s">
        <v>2618</v>
      </c>
    </row>
    <row r="902" spans="1:22" hidden="1" x14ac:dyDescent="0.3">
      <c r="A902" s="2" t="s">
        <v>2621</v>
      </c>
      <c r="B902" s="12">
        <f t="shared" si="42"/>
        <v>46238.583636423609</v>
      </c>
      <c r="C902" s="13">
        <v>46238.583636423609</v>
      </c>
      <c r="D902" s="2" t="s">
        <v>1113</v>
      </c>
      <c r="E902" s="2" t="str">
        <f t="shared" si="44"/>
        <v>Email Available</v>
      </c>
      <c r="F902" s="2" t="s">
        <v>1114</v>
      </c>
      <c r="G902" s="2" t="s">
        <v>120</v>
      </c>
      <c r="H902" s="2" t="s">
        <v>23</v>
      </c>
      <c r="I902" s="2" t="s">
        <v>24</v>
      </c>
      <c r="J902" s="2">
        <v>1</v>
      </c>
      <c r="K902" s="2">
        <v>12.99</v>
      </c>
      <c r="L902" s="2"/>
      <c r="M902" s="2">
        <v>0</v>
      </c>
      <c r="N902" s="2">
        <v>7.99</v>
      </c>
      <c r="O902" s="2">
        <v>20.98</v>
      </c>
      <c r="P902" s="2" t="s">
        <v>51</v>
      </c>
      <c r="Q902" s="2" t="s">
        <v>28</v>
      </c>
      <c r="R902" s="2" t="s">
        <v>29</v>
      </c>
      <c r="S902" s="2" t="s">
        <v>30</v>
      </c>
      <c r="T902" s="2" t="s">
        <v>91</v>
      </c>
      <c r="U902" s="2" t="str">
        <f t="shared" si="43"/>
        <v>Valid</v>
      </c>
      <c r="V902" s="2" t="s">
        <v>2622</v>
      </c>
    </row>
    <row r="903" spans="1:22" hidden="1" x14ac:dyDescent="0.3">
      <c r="A903" s="2" t="s">
        <v>2623</v>
      </c>
      <c r="B903" s="12">
        <f t="shared" si="42"/>
        <v>46238.581315150463</v>
      </c>
      <c r="C903" s="13">
        <v>46238.581315150463</v>
      </c>
      <c r="D903" s="2" t="s">
        <v>492</v>
      </c>
      <c r="E903" s="2" t="str">
        <f t="shared" si="44"/>
        <v>Email Available</v>
      </c>
      <c r="F903" s="2" t="s">
        <v>493</v>
      </c>
      <c r="G903" s="2" t="s">
        <v>226</v>
      </c>
      <c r="H903" s="2" t="s">
        <v>23</v>
      </c>
      <c r="I903" s="2" t="s">
        <v>227</v>
      </c>
      <c r="J903" s="2">
        <v>2</v>
      </c>
      <c r="K903" s="2">
        <v>17.989999999999998</v>
      </c>
      <c r="L903" s="2" t="s">
        <v>121</v>
      </c>
      <c r="M903" s="2">
        <v>8.99</v>
      </c>
      <c r="N903" s="2">
        <v>4.99</v>
      </c>
      <c r="O903" s="2" t="s">
        <v>2624</v>
      </c>
      <c r="P903" s="2" t="s">
        <v>68</v>
      </c>
      <c r="Q903" s="2" t="s">
        <v>41</v>
      </c>
      <c r="R903" s="2" t="s">
        <v>52</v>
      </c>
      <c r="S903" s="2" t="s">
        <v>75</v>
      </c>
      <c r="T903" s="2"/>
      <c r="U903" s="2" t="str">
        <f t="shared" si="43"/>
        <v>Not Required</v>
      </c>
      <c r="V903" s="2" t="s">
        <v>2625</v>
      </c>
    </row>
    <row r="904" spans="1:22" hidden="1" x14ac:dyDescent="0.3">
      <c r="A904" s="2" t="s">
        <v>2626</v>
      </c>
      <c r="B904" s="12">
        <f t="shared" si="42"/>
        <v>46238</v>
      </c>
      <c r="C904" s="13" t="s">
        <v>1162</v>
      </c>
      <c r="D904" s="2" t="s">
        <v>1535</v>
      </c>
      <c r="E904" s="2" t="str">
        <f t="shared" si="44"/>
        <v>Email Available</v>
      </c>
      <c r="F904" s="2" t="s">
        <v>1536</v>
      </c>
      <c r="G904" s="2" t="s">
        <v>368</v>
      </c>
      <c r="H904" s="2" t="s">
        <v>88</v>
      </c>
      <c r="I904" s="2" t="s">
        <v>369</v>
      </c>
      <c r="J904" s="2">
        <v>1</v>
      </c>
      <c r="K904" s="2">
        <v>54.99</v>
      </c>
      <c r="L904" s="2"/>
      <c r="M904" s="2" t="s">
        <v>189</v>
      </c>
      <c r="N904" s="2">
        <v>4.99</v>
      </c>
      <c r="O904" s="2">
        <v>59.98</v>
      </c>
      <c r="P904" s="2" t="s">
        <v>68</v>
      </c>
      <c r="Q904" s="2" t="s">
        <v>28</v>
      </c>
      <c r="R904" s="2" t="s">
        <v>52</v>
      </c>
      <c r="S904" s="2" t="s">
        <v>75</v>
      </c>
      <c r="T904" s="2"/>
      <c r="U904" s="2" t="str">
        <f t="shared" si="43"/>
        <v>Not Required</v>
      </c>
      <c r="V904" s="2" t="s">
        <v>2627</v>
      </c>
    </row>
    <row r="905" spans="1:22" hidden="1" x14ac:dyDescent="0.3">
      <c r="A905" s="2" t="s">
        <v>2628</v>
      </c>
      <c r="B905" s="12">
        <f t="shared" si="42"/>
        <v>46238.587663877312</v>
      </c>
      <c r="C905" s="13">
        <v>46238.587663877312</v>
      </c>
      <c r="D905" s="2" t="s">
        <v>825</v>
      </c>
      <c r="E905" s="2" t="str">
        <f t="shared" si="44"/>
        <v>Email Available</v>
      </c>
      <c r="F905" s="2" t="s">
        <v>826</v>
      </c>
      <c r="G905" s="2" t="s">
        <v>368</v>
      </c>
      <c r="H905" s="2" t="s">
        <v>88</v>
      </c>
      <c r="I905" s="2" t="s">
        <v>369</v>
      </c>
      <c r="J905" s="2">
        <v>1</v>
      </c>
      <c r="K905" s="2">
        <v>54.99</v>
      </c>
      <c r="L905" s="2" t="s">
        <v>25</v>
      </c>
      <c r="M905" s="2">
        <v>11</v>
      </c>
      <c r="N905" s="2">
        <v>4.99</v>
      </c>
      <c r="O905" s="2">
        <v>48.98</v>
      </c>
      <c r="P905" s="2" t="s">
        <v>68</v>
      </c>
      <c r="Q905" s="2" t="s">
        <v>114</v>
      </c>
      <c r="R905" s="2" t="s">
        <v>52</v>
      </c>
      <c r="S905" s="2" t="s">
        <v>75</v>
      </c>
      <c r="T905" s="2"/>
      <c r="U905" s="2" t="str">
        <f t="shared" si="43"/>
        <v>Not Required</v>
      </c>
      <c r="V905" s="2" t="s">
        <v>2629</v>
      </c>
    </row>
    <row r="906" spans="1:22" hidden="1" x14ac:dyDescent="0.3">
      <c r="A906" s="2" t="s">
        <v>2630</v>
      </c>
      <c r="B906" s="12">
        <f t="shared" si="42"/>
        <v>46238.585405231483</v>
      </c>
      <c r="C906" s="13">
        <v>46238.585405231483</v>
      </c>
      <c r="D906" s="2" t="s">
        <v>256</v>
      </c>
      <c r="E906" s="2" t="str">
        <f t="shared" si="44"/>
        <v>Email Available</v>
      </c>
      <c r="F906" s="2" t="s">
        <v>350</v>
      </c>
      <c r="G906" s="2" t="s">
        <v>368</v>
      </c>
      <c r="H906" s="2" t="s">
        <v>88</v>
      </c>
      <c r="I906" s="2" t="s">
        <v>369</v>
      </c>
      <c r="J906" s="2">
        <v>1</v>
      </c>
      <c r="K906" s="2">
        <v>54.99</v>
      </c>
      <c r="L906" s="2"/>
      <c r="M906" s="2">
        <v>0</v>
      </c>
      <c r="N906" s="2">
        <v>5.99</v>
      </c>
      <c r="O906" s="2">
        <v>60.98</v>
      </c>
      <c r="P906" s="2" t="s">
        <v>51</v>
      </c>
      <c r="Q906" s="2" t="s">
        <v>114</v>
      </c>
      <c r="R906" s="2" t="s">
        <v>99</v>
      </c>
      <c r="S906" s="2" t="s">
        <v>30</v>
      </c>
      <c r="T906" s="2" t="s">
        <v>115</v>
      </c>
      <c r="U906" s="2" t="str">
        <f t="shared" si="43"/>
        <v>Valid</v>
      </c>
      <c r="V906" s="2" t="s">
        <v>2631</v>
      </c>
    </row>
    <row r="907" spans="1:22" hidden="1" x14ac:dyDescent="0.3">
      <c r="A907" s="2" t="s">
        <v>2632</v>
      </c>
      <c r="B907" s="12">
        <f t="shared" si="42"/>
        <v>46238.582596631953</v>
      </c>
      <c r="C907" s="13">
        <v>46238.582596631953</v>
      </c>
      <c r="D907" s="2" t="s">
        <v>2461</v>
      </c>
      <c r="E907" s="2" t="str">
        <f t="shared" si="44"/>
        <v>Email Available</v>
      </c>
      <c r="F907" s="2" t="s">
        <v>2462</v>
      </c>
      <c r="G907" s="2" t="s">
        <v>65</v>
      </c>
      <c r="H907" s="2" t="s">
        <v>49</v>
      </c>
      <c r="I907" s="2" t="s">
        <v>66</v>
      </c>
      <c r="J907" s="2">
        <v>2</v>
      </c>
      <c r="K907" s="2">
        <v>14.99</v>
      </c>
      <c r="L907" s="2"/>
      <c r="M907" s="2">
        <v>0</v>
      </c>
      <c r="N907" s="2">
        <v>7.99</v>
      </c>
      <c r="O907" s="2">
        <v>37.97</v>
      </c>
      <c r="P907" s="2" t="s">
        <v>68</v>
      </c>
      <c r="Q907" s="2" t="s">
        <v>41</v>
      </c>
      <c r="R907" s="2" t="s">
        <v>42</v>
      </c>
      <c r="S907" s="2" t="s">
        <v>43</v>
      </c>
      <c r="T907" s="2"/>
      <c r="U907" s="2" t="str">
        <f t="shared" si="43"/>
        <v>Not Required</v>
      </c>
      <c r="V907" s="2" t="s">
        <v>2633</v>
      </c>
    </row>
    <row r="908" spans="1:22" hidden="1" x14ac:dyDescent="0.3">
      <c r="A908" s="2" t="s">
        <v>2634</v>
      </c>
      <c r="B908" s="12">
        <f t="shared" si="42"/>
        <v>46238.582140104169</v>
      </c>
      <c r="C908" s="13">
        <v>46238.582140104169</v>
      </c>
      <c r="D908" s="2" t="s">
        <v>1172</v>
      </c>
      <c r="E908" s="2" t="str">
        <f t="shared" si="44"/>
        <v>Email Available</v>
      </c>
      <c r="F908" s="2" t="s">
        <v>1173</v>
      </c>
      <c r="G908" s="2" t="s">
        <v>48</v>
      </c>
      <c r="H908" s="2" t="s">
        <v>49</v>
      </c>
      <c r="I908" s="2" t="s">
        <v>50</v>
      </c>
      <c r="J908" s="2">
        <v>2</v>
      </c>
      <c r="K908" s="2">
        <v>39.99</v>
      </c>
      <c r="L908" s="2"/>
      <c r="M908" s="2">
        <v>0</v>
      </c>
      <c r="N908" s="2">
        <v>0</v>
      </c>
      <c r="O908" s="2">
        <v>79.98</v>
      </c>
      <c r="P908" s="2" t="s">
        <v>74</v>
      </c>
      <c r="Q908" s="2" t="s">
        <v>114</v>
      </c>
      <c r="R908" s="2" t="s">
        <v>29</v>
      </c>
      <c r="S908" s="2" t="s">
        <v>43</v>
      </c>
      <c r="T908" s="2"/>
      <c r="U908" s="2" t="str">
        <f t="shared" si="43"/>
        <v>Not Required</v>
      </c>
      <c r="V908" s="2" t="s">
        <v>2635</v>
      </c>
    </row>
    <row r="909" spans="1:22" hidden="1" x14ac:dyDescent="0.3">
      <c r="A909" s="2" t="s">
        <v>2636</v>
      </c>
      <c r="B909" s="12">
        <f t="shared" si="42"/>
        <v>46238.588409097218</v>
      </c>
      <c r="C909" s="13">
        <v>46238.588409097218</v>
      </c>
      <c r="D909" s="2" t="s">
        <v>177</v>
      </c>
      <c r="E909" s="2" t="str">
        <f t="shared" si="44"/>
        <v>Email Available</v>
      </c>
      <c r="F909" s="2" t="s">
        <v>178</v>
      </c>
      <c r="G909" s="2" t="s">
        <v>284</v>
      </c>
      <c r="H909" s="2" t="s">
        <v>23</v>
      </c>
      <c r="I909" s="2" t="s">
        <v>285</v>
      </c>
      <c r="J909" s="2">
        <v>1</v>
      </c>
      <c r="K909" s="2">
        <v>24.99</v>
      </c>
      <c r="L909" s="2" t="s">
        <v>67</v>
      </c>
      <c r="M909" s="2">
        <v>2.5</v>
      </c>
      <c r="N909" s="2">
        <v>4.99</v>
      </c>
      <c r="O909" s="2">
        <v>27.48</v>
      </c>
      <c r="P909" s="2" t="s">
        <v>74</v>
      </c>
      <c r="Q909" s="2" t="s">
        <v>90</v>
      </c>
      <c r="R909" s="2" t="s">
        <v>52</v>
      </c>
      <c r="S909" s="2" t="s">
        <v>30</v>
      </c>
      <c r="T909" s="2" t="s">
        <v>347</v>
      </c>
      <c r="U909" s="2" t="str">
        <f t="shared" si="43"/>
        <v>Valid</v>
      </c>
      <c r="V909" s="2" t="s">
        <v>2637</v>
      </c>
    </row>
    <row r="910" spans="1:22" hidden="1" x14ac:dyDescent="0.3">
      <c r="A910" s="2" t="s">
        <v>2638</v>
      </c>
      <c r="B910" s="12">
        <f t="shared" si="42"/>
        <v>46238.581593553237</v>
      </c>
      <c r="C910" s="13">
        <v>46238.581593553237</v>
      </c>
      <c r="D910" s="2" t="s">
        <v>562</v>
      </c>
      <c r="E910" s="2" t="str">
        <f t="shared" si="44"/>
        <v>Email Available</v>
      </c>
      <c r="F910" s="2" t="s">
        <v>47</v>
      </c>
      <c r="G910" s="2" t="s">
        <v>241</v>
      </c>
      <c r="H910" s="2" t="s">
        <v>242</v>
      </c>
      <c r="I910" s="2" t="s">
        <v>243</v>
      </c>
      <c r="J910" s="2">
        <v>2</v>
      </c>
      <c r="K910" s="2">
        <v>27.99</v>
      </c>
      <c r="L910" s="2" t="s">
        <v>39</v>
      </c>
      <c r="M910" s="2">
        <v>0</v>
      </c>
      <c r="N910" s="2">
        <v>0</v>
      </c>
      <c r="O910" s="2" t="s">
        <v>2639</v>
      </c>
      <c r="P910" s="2" t="s">
        <v>27</v>
      </c>
      <c r="Q910" s="2" t="s">
        <v>41</v>
      </c>
      <c r="R910" s="2" t="s">
        <v>52</v>
      </c>
      <c r="S910" s="2" t="s">
        <v>30</v>
      </c>
      <c r="T910" s="2" t="s">
        <v>248</v>
      </c>
      <c r="U910" s="2" t="str">
        <f t="shared" si="43"/>
        <v>Valid</v>
      </c>
      <c r="V910" s="2" t="s">
        <v>2640</v>
      </c>
    </row>
    <row r="911" spans="1:22" hidden="1" x14ac:dyDescent="0.3">
      <c r="A911" s="2" t="s">
        <v>2641</v>
      </c>
      <c r="B911" s="12">
        <f t="shared" si="42"/>
        <v>46238.580221157397</v>
      </c>
      <c r="C911" s="13">
        <v>46238.580221157397</v>
      </c>
      <c r="D911" s="2" t="s">
        <v>354</v>
      </c>
      <c r="E911" s="2" t="str">
        <f t="shared" si="44"/>
        <v>Email Available</v>
      </c>
      <c r="F911" s="2" t="s">
        <v>355</v>
      </c>
      <c r="G911" s="2" t="s">
        <v>58</v>
      </c>
      <c r="H911" s="2" t="s">
        <v>23</v>
      </c>
      <c r="I911" s="2" t="s">
        <v>59</v>
      </c>
      <c r="J911" s="2">
        <v>2</v>
      </c>
      <c r="K911" s="2">
        <v>9.99</v>
      </c>
      <c r="L911" s="2"/>
      <c r="M911" s="2">
        <v>0</v>
      </c>
      <c r="N911" s="2">
        <v>4.99</v>
      </c>
      <c r="O911" s="2" t="s">
        <v>2642</v>
      </c>
      <c r="P911" s="2" t="s">
        <v>68</v>
      </c>
      <c r="Q911" s="2" t="s">
        <v>114</v>
      </c>
      <c r="R911" s="2" t="s">
        <v>52</v>
      </c>
      <c r="S911" s="2" t="s">
        <v>228</v>
      </c>
      <c r="T911" s="2"/>
      <c r="U911" s="2" t="str">
        <f t="shared" si="43"/>
        <v>Not Required</v>
      </c>
      <c r="V911" s="2" t="s">
        <v>2643</v>
      </c>
    </row>
    <row r="912" spans="1:22" hidden="1" x14ac:dyDescent="0.3">
      <c r="A912" s="2" t="s">
        <v>2644</v>
      </c>
      <c r="B912" s="12">
        <f t="shared" si="42"/>
        <v>46238.579932928238</v>
      </c>
      <c r="C912" s="13">
        <v>46238.579932928238</v>
      </c>
      <c r="D912" s="2" t="s">
        <v>480</v>
      </c>
      <c r="E912" s="2" t="str">
        <f t="shared" si="44"/>
        <v>Email Available</v>
      </c>
      <c r="F912" s="2" t="s">
        <v>481</v>
      </c>
      <c r="G912" s="2" t="s">
        <v>226</v>
      </c>
      <c r="H912" s="2" t="s">
        <v>23</v>
      </c>
      <c r="I912" s="2" t="s">
        <v>227</v>
      </c>
      <c r="J912" s="2">
        <v>2</v>
      </c>
      <c r="K912" s="2" t="s">
        <v>708</v>
      </c>
      <c r="L912" s="2"/>
      <c r="M912" s="2">
        <v>0</v>
      </c>
      <c r="N912" s="2">
        <v>7.99</v>
      </c>
      <c r="O912" s="2" t="s">
        <v>1147</v>
      </c>
      <c r="P912" s="2" t="s">
        <v>40</v>
      </c>
      <c r="Q912" s="2" t="s">
        <v>90</v>
      </c>
      <c r="R912" s="2" t="s">
        <v>52</v>
      </c>
      <c r="S912" s="2" t="s">
        <v>75</v>
      </c>
      <c r="T912" s="2"/>
      <c r="U912" s="2" t="str">
        <f t="shared" si="43"/>
        <v>Not Required</v>
      </c>
      <c r="V912" s="2" t="s">
        <v>2645</v>
      </c>
    </row>
    <row r="913" spans="1:22" hidden="1" x14ac:dyDescent="0.3">
      <c r="A913" s="2" t="s">
        <v>2646</v>
      </c>
      <c r="B913" s="12">
        <f t="shared" si="42"/>
        <v>46238.579273773154</v>
      </c>
      <c r="C913" s="13">
        <v>46238.579273773154</v>
      </c>
      <c r="D913" s="2" t="s">
        <v>825</v>
      </c>
      <c r="E913" s="2" t="str">
        <f t="shared" si="44"/>
        <v>Email Available</v>
      </c>
      <c r="F913" s="2" t="s">
        <v>826</v>
      </c>
      <c r="G913" s="2" t="s">
        <v>226</v>
      </c>
      <c r="H913" s="2" t="s">
        <v>23</v>
      </c>
      <c r="I913" s="2" t="s">
        <v>227</v>
      </c>
      <c r="J913" s="2">
        <v>1</v>
      </c>
      <c r="K913" s="2">
        <v>17.989999999999998</v>
      </c>
      <c r="L913" s="2" t="s">
        <v>25</v>
      </c>
      <c r="M913" s="2">
        <v>3.6</v>
      </c>
      <c r="N913" s="2">
        <v>5.99</v>
      </c>
      <c r="O913" s="2">
        <v>20.38</v>
      </c>
      <c r="P913" s="2" t="s">
        <v>40</v>
      </c>
      <c r="Q913" s="2" t="s">
        <v>41</v>
      </c>
      <c r="R913" s="2" t="s">
        <v>52</v>
      </c>
      <c r="S913" s="2" t="s">
        <v>75</v>
      </c>
      <c r="T913" s="2"/>
      <c r="U913" s="2" t="str">
        <f t="shared" si="43"/>
        <v>Not Required</v>
      </c>
      <c r="V913" s="2" t="s">
        <v>2647</v>
      </c>
    </row>
    <row r="914" spans="1:22" x14ac:dyDescent="0.3">
      <c r="A914" s="2" t="s">
        <v>2648</v>
      </c>
      <c r="B914" s="12">
        <f t="shared" si="42"/>
        <v>46238</v>
      </c>
      <c r="C914" s="13" t="s">
        <v>148</v>
      </c>
      <c r="D914" s="2" t="s">
        <v>327</v>
      </c>
      <c r="E914" s="2" t="str">
        <f t="shared" si="44"/>
        <v>Missing Email</v>
      </c>
      <c r="F914" s="2"/>
      <c r="G914" s="2" t="s">
        <v>120</v>
      </c>
      <c r="H914" s="2" t="s">
        <v>23</v>
      </c>
      <c r="I914" s="2" t="s">
        <v>24</v>
      </c>
      <c r="J914" s="2">
        <v>1</v>
      </c>
      <c r="K914" s="2">
        <v>12.99</v>
      </c>
      <c r="L914" s="2" t="s">
        <v>39</v>
      </c>
      <c r="M914" s="2">
        <v>0</v>
      </c>
      <c r="N914" s="2">
        <v>0</v>
      </c>
      <c r="O914" s="2">
        <v>12.99</v>
      </c>
      <c r="P914" s="2" t="s">
        <v>51</v>
      </c>
      <c r="Q914" s="2" t="s">
        <v>28</v>
      </c>
      <c r="R914" s="2" t="s">
        <v>42</v>
      </c>
      <c r="S914" s="2" t="s">
        <v>30</v>
      </c>
      <c r="T914" s="2" t="s">
        <v>60</v>
      </c>
      <c r="U914" s="2" t="str">
        <f t="shared" si="43"/>
        <v>Valid</v>
      </c>
      <c r="V914" s="2" t="s">
        <v>2649</v>
      </c>
    </row>
    <row r="915" spans="1:22" hidden="1" x14ac:dyDescent="0.3">
      <c r="A915" s="2" t="s">
        <v>2650</v>
      </c>
      <c r="B915" s="12">
        <f t="shared" si="42"/>
        <v>46238.581060324083</v>
      </c>
      <c r="C915" s="13">
        <v>46238.581060324083</v>
      </c>
      <c r="D915" s="2" t="s">
        <v>2536</v>
      </c>
      <c r="E915" s="2" t="str">
        <f t="shared" si="44"/>
        <v>Email Available</v>
      </c>
      <c r="F915" s="2" t="s">
        <v>2537</v>
      </c>
      <c r="G915" s="2" t="s">
        <v>120</v>
      </c>
      <c r="H915" s="2" t="s">
        <v>23</v>
      </c>
      <c r="I915" s="2" t="s">
        <v>24</v>
      </c>
      <c r="J915" s="2">
        <v>1</v>
      </c>
      <c r="K915" s="2" t="s">
        <v>1163</v>
      </c>
      <c r="L915" s="2"/>
      <c r="M915" s="2">
        <v>0</v>
      </c>
      <c r="N915" s="2">
        <v>7.99</v>
      </c>
      <c r="O915" s="2">
        <v>20.98</v>
      </c>
      <c r="P915" s="2" t="s">
        <v>27</v>
      </c>
      <c r="Q915" s="2" t="s">
        <v>90</v>
      </c>
      <c r="R915" s="2" t="s">
        <v>29</v>
      </c>
      <c r="S915" s="2" t="s">
        <v>43</v>
      </c>
      <c r="T915" s="2"/>
      <c r="U915" s="2" t="str">
        <f t="shared" si="43"/>
        <v>Not Required</v>
      </c>
      <c r="V915" s="2" t="s">
        <v>2651</v>
      </c>
    </row>
    <row r="916" spans="1:22" hidden="1" x14ac:dyDescent="0.3">
      <c r="A916" s="2" t="s">
        <v>2652</v>
      </c>
      <c r="B916" s="12">
        <f t="shared" si="42"/>
        <v>46238.584124791669</v>
      </c>
      <c r="C916" s="13">
        <v>46238.584124791669</v>
      </c>
      <c r="D916" s="2" t="s">
        <v>1616</v>
      </c>
      <c r="E916" s="2" t="str">
        <f t="shared" si="44"/>
        <v>Email Available</v>
      </c>
      <c r="F916" s="2" t="s">
        <v>1617</v>
      </c>
      <c r="G916" s="2" t="s">
        <v>127</v>
      </c>
      <c r="H916" s="2" t="s">
        <v>81</v>
      </c>
      <c r="I916" s="2" t="s">
        <v>128</v>
      </c>
      <c r="J916" s="2">
        <v>2</v>
      </c>
      <c r="K916" s="2">
        <v>13.99</v>
      </c>
      <c r="L916" s="2" t="s">
        <v>25</v>
      </c>
      <c r="M916" s="2">
        <v>5.6</v>
      </c>
      <c r="N916" s="2">
        <v>7.99</v>
      </c>
      <c r="O916" s="2">
        <v>30.37</v>
      </c>
      <c r="P916" s="2" t="s">
        <v>74</v>
      </c>
      <c r="Q916" s="2" t="s">
        <v>114</v>
      </c>
      <c r="R916" s="2" t="s">
        <v>99</v>
      </c>
      <c r="S916" s="2" t="s">
        <v>75</v>
      </c>
      <c r="T916" s="2"/>
      <c r="U916" s="2" t="str">
        <f t="shared" si="43"/>
        <v>Not Required</v>
      </c>
      <c r="V916" s="2" t="s">
        <v>2653</v>
      </c>
    </row>
    <row r="917" spans="1:22" hidden="1" x14ac:dyDescent="0.3">
      <c r="A917" s="2" t="s">
        <v>2654</v>
      </c>
      <c r="B917" s="12">
        <f t="shared" si="42"/>
        <v>46238.584966226852</v>
      </c>
      <c r="C917" s="13">
        <v>46238.584966226852</v>
      </c>
      <c r="D917" s="2" t="s">
        <v>211</v>
      </c>
      <c r="E917" s="2" t="str">
        <f t="shared" si="44"/>
        <v>Email Available</v>
      </c>
      <c r="F917" s="2" t="s">
        <v>212</v>
      </c>
      <c r="G917" s="2" t="s">
        <v>48</v>
      </c>
      <c r="H917" s="2" t="s">
        <v>49</v>
      </c>
      <c r="I917" s="2" t="s">
        <v>50</v>
      </c>
      <c r="J917" s="2">
        <v>1</v>
      </c>
      <c r="K917" s="2">
        <v>39.99</v>
      </c>
      <c r="L917" s="2"/>
      <c r="M917" s="2">
        <v>0</v>
      </c>
      <c r="N917" s="2">
        <v>4.99</v>
      </c>
      <c r="O917" s="2">
        <v>44.98</v>
      </c>
      <c r="P917" s="2" t="s">
        <v>40</v>
      </c>
      <c r="Q917" s="2" t="s">
        <v>28</v>
      </c>
      <c r="R917" s="2" t="s">
        <v>99</v>
      </c>
      <c r="S917" s="2" t="s">
        <v>108</v>
      </c>
      <c r="T917" s="2"/>
      <c r="U917" s="2" t="str">
        <f t="shared" si="43"/>
        <v>Not Required</v>
      </c>
      <c r="V917" s="2" t="s">
        <v>2655</v>
      </c>
    </row>
    <row r="918" spans="1:22" hidden="1" x14ac:dyDescent="0.3">
      <c r="A918" s="2" t="s">
        <v>2656</v>
      </c>
      <c r="B918" s="12">
        <f t="shared" si="42"/>
        <v>46238.58739523148</v>
      </c>
      <c r="C918" s="13">
        <v>46238.58739523148</v>
      </c>
      <c r="D918" s="2" t="s">
        <v>2657</v>
      </c>
      <c r="E918" s="2" t="str">
        <f t="shared" si="44"/>
        <v>Email Available</v>
      </c>
      <c r="F918" s="2" t="s">
        <v>2658</v>
      </c>
      <c r="G918" s="2" t="s">
        <v>36</v>
      </c>
      <c r="H918" s="2" t="s">
        <v>37</v>
      </c>
      <c r="I918" s="2" t="s">
        <v>38</v>
      </c>
      <c r="J918" s="2">
        <v>1</v>
      </c>
      <c r="K918" s="2">
        <v>21.99</v>
      </c>
      <c r="L918" s="2"/>
      <c r="M918" s="2">
        <v>0</v>
      </c>
      <c r="N918" s="2">
        <v>5.99</v>
      </c>
      <c r="O918" s="2">
        <v>27.98</v>
      </c>
      <c r="P918" s="2" t="s">
        <v>40</v>
      </c>
      <c r="Q918" s="2" t="s">
        <v>28</v>
      </c>
      <c r="R918" s="2" t="s">
        <v>42</v>
      </c>
      <c r="S918" s="2" t="s">
        <v>30</v>
      </c>
      <c r="T918" s="2" t="s">
        <v>91</v>
      </c>
      <c r="U918" s="2" t="str">
        <f t="shared" si="43"/>
        <v>Valid</v>
      </c>
      <c r="V918" s="2" t="s">
        <v>2659</v>
      </c>
    </row>
    <row r="919" spans="1:22" hidden="1" x14ac:dyDescent="0.3">
      <c r="A919" s="2" t="s">
        <v>2660</v>
      </c>
      <c r="B919" s="12">
        <f t="shared" si="42"/>
        <v>46238.58305804398</v>
      </c>
      <c r="C919" s="13">
        <v>46238.58305804398</v>
      </c>
      <c r="D919" s="2" t="s">
        <v>2657</v>
      </c>
      <c r="E919" s="2" t="str">
        <f t="shared" si="44"/>
        <v>Email Available</v>
      </c>
      <c r="F919" s="2" t="s">
        <v>2658</v>
      </c>
      <c r="G919" s="2" t="s">
        <v>36</v>
      </c>
      <c r="H919" s="2" t="s">
        <v>37</v>
      </c>
      <c r="I919" s="2" t="s">
        <v>38</v>
      </c>
      <c r="J919" s="2">
        <v>1</v>
      </c>
      <c r="K919" s="2">
        <v>21.99</v>
      </c>
      <c r="L919" s="2"/>
      <c r="M919" s="2">
        <v>0</v>
      </c>
      <c r="N919" s="2">
        <v>7.99</v>
      </c>
      <c r="O919" s="2">
        <v>29.98</v>
      </c>
      <c r="P919" s="2" t="s">
        <v>27</v>
      </c>
      <c r="Q919" s="2" t="s">
        <v>41</v>
      </c>
      <c r="R919" s="2" t="s">
        <v>52</v>
      </c>
      <c r="S919" s="2" t="s">
        <v>30</v>
      </c>
      <c r="T919" s="2" t="s">
        <v>115</v>
      </c>
      <c r="U919" s="2" t="str">
        <f t="shared" si="43"/>
        <v>Valid</v>
      </c>
      <c r="V919" s="2" t="s">
        <v>2661</v>
      </c>
    </row>
    <row r="920" spans="1:22" hidden="1" x14ac:dyDescent="0.3">
      <c r="A920" s="2" t="s">
        <v>2662</v>
      </c>
      <c r="B920" s="12">
        <f t="shared" si="42"/>
        <v>46238.587698726849</v>
      </c>
      <c r="C920" s="13">
        <v>46238.587698726849</v>
      </c>
      <c r="D920" s="2" t="s">
        <v>2663</v>
      </c>
      <c r="E920" s="2" t="str">
        <f t="shared" si="44"/>
        <v>Email Available</v>
      </c>
      <c r="F920" s="2" t="s">
        <v>2664</v>
      </c>
      <c r="G920" s="2" t="s">
        <v>187</v>
      </c>
      <c r="H920" s="2" t="s">
        <v>37</v>
      </c>
      <c r="I920" s="2" t="s">
        <v>188</v>
      </c>
      <c r="J920" s="2">
        <v>1</v>
      </c>
      <c r="K920" s="2">
        <v>11.99</v>
      </c>
      <c r="L920" s="2" t="s">
        <v>39</v>
      </c>
      <c r="M920" s="2" t="s">
        <v>189</v>
      </c>
      <c r="N920" s="2">
        <v>0</v>
      </c>
      <c r="O920" s="2">
        <v>11.99</v>
      </c>
      <c r="P920" s="2" t="s">
        <v>27</v>
      </c>
      <c r="Q920" s="2" t="s">
        <v>90</v>
      </c>
      <c r="R920" s="2" t="s">
        <v>52</v>
      </c>
      <c r="S920" s="2" t="s">
        <v>108</v>
      </c>
      <c r="T920" s="2"/>
      <c r="U920" s="2" t="str">
        <f t="shared" si="43"/>
        <v>Not Required</v>
      </c>
      <c r="V920" s="2" t="s">
        <v>2665</v>
      </c>
    </row>
    <row r="921" spans="1:22" hidden="1" x14ac:dyDescent="0.3">
      <c r="A921" s="2" t="s">
        <v>2666</v>
      </c>
      <c r="B921" s="12">
        <f t="shared" si="42"/>
        <v>46238.580761249999</v>
      </c>
      <c r="C921" s="13">
        <v>46238.580761249999</v>
      </c>
      <c r="D921" s="2" t="s">
        <v>610</v>
      </c>
      <c r="E921" s="2" t="str">
        <f t="shared" si="44"/>
        <v>Email Available</v>
      </c>
      <c r="F921" s="2" t="s">
        <v>611</v>
      </c>
      <c r="G921" s="2" t="s">
        <v>368</v>
      </c>
      <c r="H921" s="2" t="s">
        <v>88</v>
      </c>
      <c r="I921" s="2" t="s">
        <v>369</v>
      </c>
      <c r="J921" s="2">
        <v>1</v>
      </c>
      <c r="K921" s="2">
        <v>54.99</v>
      </c>
      <c r="L921" s="2"/>
      <c r="M921" s="2">
        <v>0</v>
      </c>
      <c r="N921" s="2">
        <v>5.99</v>
      </c>
      <c r="O921" s="2">
        <v>60.98</v>
      </c>
      <c r="P921" s="2" t="s">
        <v>27</v>
      </c>
      <c r="Q921" s="2" t="s">
        <v>114</v>
      </c>
      <c r="R921" s="2" t="s">
        <v>42</v>
      </c>
      <c r="S921" s="2" t="s">
        <v>43</v>
      </c>
      <c r="T921" s="2"/>
      <c r="U921" s="2" t="str">
        <f t="shared" si="43"/>
        <v>Not Required</v>
      </c>
      <c r="V921" s="2" t="s">
        <v>2667</v>
      </c>
    </row>
    <row r="922" spans="1:22" hidden="1" x14ac:dyDescent="0.3">
      <c r="A922" s="2" t="s">
        <v>2668</v>
      </c>
      <c r="B922" s="12">
        <f t="shared" si="42"/>
        <v>46238.582171365742</v>
      </c>
      <c r="C922" s="13">
        <v>46238.582171365742</v>
      </c>
      <c r="D922" s="2" t="s">
        <v>565</v>
      </c>
      <c r="E922" s="2" t="str">
        <f t="shared" si="44"/>
        <v>Email Available</v>
      </c>
      <c r="F922" s="2" t="s">
        <v>566</v>
      </c>
      <c r="G922" s="2" t="s">
        <v>241</v>
      </c>
      <c r="H922" s="2" t="s">
        <v>242</v>
      </c>
      <c r="I922" s="2" t="s">
        <v>243</v>
      </c>
      <c r="J922" s="2">
        <v>1</v>
      </c>
      <c r="K922" s="2">
        <v>27.99</v>
      </c>
      <c r="L922" s="2"/>
      <c r="M922" s="2">
        <v>0</v>
      </c>
      <c r="N922" s="2">
        <v>5.99</v>
      </c>
      <c r="O922" s="2">
        <v>33.979999999999997</v>
      </c>
      <c r="P922" s="2" t="s">
        <v>40</v>
      </c>
      <c r="Q922" s="2" t="s">
        <v>28</v>
      </c>
      <c r="R922" s="2" t="s">
        <v>52</v>
      </c>
      <c r="S922" s="2" t="s">
        <v>43</v>
      </c>
      <c r="T922" s="2"/>
      <c r="U922" s="2" t="str">
        <f t="shared" si="43"/>
        <v>Not Required</v>
      </c>
      <c r="V922" s="2" t="s">
        <v>2669</v>
      </c>
    </row>
    <row r="923" spans="1:22" hidden="1" x14ac:dyDescent="0.3">
      <c r="A923" s="2" t="s">
        <v>2670</v>
      </c>
      <c r="B923" s="12">
        <f t="shared" si="42"/>
        <v>46238.579677835653</v>
      </c>
      <c r="C923" s="13">
        <v>46238.579677835653</v>
      </c>
      <c r="D923" s="2" t="s">
        <v>790</v>
      </c>
      <c r="E923" s="2" t="str">
        <f t="shared" si="44"/>
        <v>Email Available</v>
      </c>
      <c r="F923" s="2" t="s">
        <v>791</v>
      </c>
      <c r="G923" s="2" t="s">
        <v>2671</v>
      </c>
      <c r="H923" s="2" t="s">
        <v>106</v>
      </c>
      <c r="I923" s="2" t="s">
        <v>107</v>
      </c>
      <c r="J923" s="2">
        <v>1</v>
      </c>
      <c r="K923" s="2">
        <v>19.989999999999998</v>
      </c>
      <c r="L923" s="2" t="s">
        <v>67</v>
      </c>
      <c r="M923" s="2">
        <v>2</v>
      </c>
      <c r="N923" s="2">
        <v>5.99</v>
      </c>
      <c r="O923" s="2">
        <v>23.98</v>
      </c>
      <c r="P923" s="2" t="s">
        <v>74</v>
      </c>
      <c r="Q923" s="2" t="s">
        <v>114</v>
      </c>
      <c r="R923" s="2" t="s">
        <v>52</v>
      </c>
      <c r="S923" s="2" t="s">
        <v>228</v>
      </c>
      <c r="T923" s="2"/>
      <c r="U923" s="2" t="str">
        <f t="shared" si="43"/>
        <v>Not Required</v>
      </c>
      <c r="V923" s="2" t="s">
        <v>2672</v>
      </c>
    </row>
    <row r="924" spans="1:22" hidden="1" x14ac:dyDescent="0.3">
      <c r="A924" s="2" t="s">
        <v>2675</v>
      </c>
      <c r="B924" s="12">
        <f t="shared" si="42"/>
        <v>46238.581335000003</v>
      </c>
      <c r="C924" s="13">
        <v>46238.581335000003</v>
      </c>
      <c r="D924" s="2" t="s">
        <v>1368</v>
      </c>
      <c r="E924" s="2" t="str">
        <f t="shared" si="44"/>
        <v>Email Available</v>
      </c>
      <c r="F924" s="2" t="s">
        <v>1369</v>
      </c>
      <c r="G924" s="2" t="s">
        <v>87</v>
      </c>
      <c r="H924" s="2" t="s">
        <v>88</v>
      </c>
      <c r="I924" s="2" t="s">
        <v>89</v>
      </c>
      <c r="J924" s="2">
        <v>1</v>
      </c>
      <c r="K924" s="2">
        <v>54.99</v>
      </c>
      <c r="L924" s="2" t="s">
        <v>67</v>
      </c>
      <c r="M924" s="2">
        <v>5.5</v>
      </c>
      <c r="N924" s="2">
        <v>5.99</v>
      </c>
      <c r="O924" s="2" t="s">
        <v>2676</v>
      </c>
      <c r="P924" s="2" t="s">
        <v>27</v>
      </c>
      <c r="Q924" s="2" t="s">
        <v>28</v>
      </c>
      <c r="R924" s="2" t="s">
        <v>52</v>
      </c>
      <c r="S924" s="2" t="s">
        <v>43</v>
      </c>
      <c r="T924" s="2"/>
      <c r="U924" s="2" t="str">
        <f t="shared" si="43"/>
        <v>Not Required</v>
      </c>
      <c r="V924" s="2" t="s">
        <v>2677</v>
      </c>
    </row>
    <row r="925" spans="1:22" hidden="1" x14ac:dyDescent="0.3">
      <c r="A925" s="2" t="s">
        <v>2678</v>
      </c>
      <c r="B925" s="12">
        <f t="shared" si="42"/>
        <v>46238.582668587973</v>
      </c>
      <c r="C925" s="13">
        <v>46238.582668587973</v>
      </c>
      <c r="D925" s="2" t="s">
        <v>685</v>
      </c>
      <c r="E925" s="2" t="str">
        <f t="shared" si="44"/>
        <v>Email Available</v>
      </c>
      <c r="F925" s="2" t="s">
        <v>485</v>
      </c>
      <c r="G925" s="2" t="s">
        <v>120</v>
      </c>
      <c r="H925" s="2" t="s">
        <v>23</v>
      </c>
      <c r="I925" s="2" t="s">
        <v>24</v>
      </c>
      <c r="J925" s="2">
        <v>1</v>
      </c>
      <c r="K925" s="2">
        <v>12.99</v>
      </c>
      <c r="L925" s="2"/>
      <c r="M925" s="2" t="s">
        <v>189</v>
      </c>
      <c r="N925" s="2">
        <v>5.99</v>
      </c>
      <c r="O925" s="2">
        <v>18.98</v>
      </c>
      <c r="P925" s="2" t="s">
        <v>51</v>
      </c>
      <c r="Q925" s="2" t="s">
        <v>28</v>
      </c>
      <c r="R925" s="2" t="s">
        <v>52</v>
      </c>
      <c r="S925" s="2" t="s">
        <v>30</v>
      </c>
      <c r="T925" s="2" t="s">
        <v>115</v>
      </c>
      <c r="U925" s="2" t="str">
        <f t="shared" si="43"/>
        <v>Valid</v>
      </c>
      <c r="V925" s="2" t="s">
        <v>2679</v>
      </c>
    </row>
    <row r="926" spans="1:22" hidden="1" x14ac:dyDescent="0.3">
      <c r="A926" s="2" t="s">
        <v>2680</v>
      </c>
      <c r="B926" s="12">
        <f t="shared" si="42"/>
        <v>46238.581521134263</v>
      </c>
      <c r="C926" s="13">
        <v>46238.581521134263</v>
      </c>
      <c r="D926" s="2" t="s">
        <v>94</v>
      </c>
      <c r="E926" s="2" t="str">
        <f t="shared" si="44"/>
        <v>Email Available</v>
      </c>
      <c r="F926" s="2" t="s">
        <v>95</v>
      </c>
      <c r="G926" s="2" t="s">
        <v>105</v>
      </c>
      <c r="H926" s="2" t="s">
        <v>106</v>
      </c>
      <c r="I926" s="2" t="s">
        <v>107</v>
      </c>
      <c r="J926" s="2">
        <v>1</v>
      </c>
      <c r="K926" s="2">
        <v>19.989999999999998</v>
      </c>
      <c r="L926" s="2"/>
      <c r="M926" s="2">
        <v>0</v>
      </c>
      <c r="N926" s="2">
        <v>7.99</v>
      </c>
      <c r="O926" s="2">
        <v>27.98</v>
      </c>
      <c r="P926" s="2" t="s">
        <v>27</v>
      </c>
      <c r="Q926" s="2" t="s">
        <v>114</v>
      </c>
      <c r="R926" s="2" t="s">
        <v>52</v>
      </c>
      <c r="S926" s="2" t="s">
        <v>43</v>
      </c>
      <c r="T926" s="2"/>
      <c r="U926" s="2" t="str">
        <f t="shared" si="43"/>
        <v>Not Required</v>
      </c>
      <c r="V926" s="2" t="s">
        <v>2681</v>
      </c>
    </row>
    <row r="927" spans="1:22" hidden="1" x14ac:dyDescent="0.3">
      <c r="A927" s="2" t="s">
        <v>2682</v>
      </c>
      <c r="B927" s="12">
        <f t="shared" si="42"/>
        <v>46120</v>
      </c>
      <c r="C927" s="13" t="s">
        <v>142</v>
      </c>
      <c r="D927" s="2" t="s">
        <v>416</v>
      </c>
      <c r="E927" s="2" t="str">
        <f t="shared" si="44"/>
        <v>Email Available</v>
      </c>
      <c r="F927" s="2" t="s">
        <v>417</v>
      </c>
      <c r="G927" s="2" t="s">
        <v>87</v>
      </c>
      <c r="H927" s="2" t="s">
        <v>88</v>
      </c>
      <c r="I927" s="2" t="s">
        <v>89</v>
      </c>
      <c r="J927" s="2">
        <v>1</v>
      </c>
      <c r="K927" s="2">
        <v>54.99</v>
      </c>
      <c r="L927" s="2" t="s">
        <v>39</v>
      </c>
      <c r="M927" s="2">
        <v>0</v>
      </c>
      <c r="N927" s="2">
        <v>0</v>
      </c>
      <c r="O927" s="2">
        <v>54.99</v>
      </c>
      <c r="P927" s="2" t="s">
        <v>74</v>
      </c>
      <c r="Q927" s="2" t="s">
        <v>28</v>
      </c>
      <c r="R927" s="2" t="s">
        <v>99</v>
      </c>
      <c r="S927" s="2" t="s">
        <v>43</v>
      </c>
      <c r="T927" s="2"/>
      <c r="U927" s="2" t="str">
        <f t="shared" si="43"/>
        <v>Not Required</v>
      </c>
      <c r="V927" s="2" t="s">
        <v>2683</v>
      </c>
    </row>
    <row r="928" spans="1:22" hidden="1" x14ac:dyDescent="0.3">
      <c r="A928" s="2" t="s">
        <v>2684</v>
      </c>
      <c r="B928" s="12">
        <f t="shared" si="42"/>
        <v>46238</v>
      </c>
      <c r="C928" s="13" t="s">
        <v>722</v>
      </c>
      <c r="D928" s="2" t="s">
        <v>2298</v>
      </c>
      <c r="E928" s="2" t="str">
        <f t="shared" si="44"/>
        <v>Email Available</v>
      </c>
      <c r="F928" s="2" t="s">
        <v>2299</v>
      </c>
      <c r="G928" s="2" t="s">
        <v>272</v>
      </c>
      <c r="H928" s="2" t="s">
        <v>23</v>
      </c>
      <c r="I928" s="2" t="s">
        <v>273</v>
      </c>
      <c r="J928" s="2">
        <v>1</v>
      </c>
      <c r="K928" s="2">
        <v>18.989999999999998</v>
      </c>
      <c r="L928" s="2"/>
      <c r="M928" s="2">
        <v>0</v>
      </c>
      <c r="N928" s="2">
        <v>4.99</v>
      </c>
      <c r="O928" s="2">
        <v>23.98</v>
      </c>
      <c r="P928" s="2" t="s">
        <v>74</v>
      </c>
      <c r="Q928" s="2" t="s">
        <v>28</v>
      </c>
      <c r="R928" s="2" t="s">
        <v>42</v>
      </c>
      <c r="S928" s="2" t="s">
        <v>30</v>
      </c>
      <c r="T928" s="2" t="s">
        <v>31</v>
      </c>
      <c r="U928" s="2" t="str">
        <f t="shared" si="43"/>
        <v>Valid</v>
      </c>
      <c r="V928" s="2" t="s">
        <v>2685</v>
      </c>
    </row>
    <row r="929" spans="1:22" hidden="1" x14ac:dyDescent="0.3">
      <c r="A929" s="2" t="s">
        <v>2686</v>
      </c>
      <c r="B929" s="12">
        <f t="shared" si="42"/>
        <v>46238.581851192132</v>
      </c>
      <c r="C929" s="13">
        <v>46238.581851192132</v>
      </c>
      <c r="D929" s="2" t="s">
        <v>1302</v>
      </c>
      <c r="E929" s="2" t="str">
        <f t="shared" si="44"/>
        <v>Email Available</v>
      </c>
      <c r="F929" s="2" t="s">
        <v>1303</v>
      </c>
      <c r="G929" s="2" t="s">
        <v>266</v>
      </c>
      <c r="H929" s="2" t="s">
        <v>37</v>
      </c>
      <c r="I929" s="2" t="s">
        <v>267</v>
      </c>
      <c r="J929" s="2">
        <v>2</v>
      </c>
      <c r="K929" s="2">
        <v>15.49</v>
      </c>
      <c r="L929" s="2" t="s">
        <v>121</v>
      </c>
      <c r="M929" s="2">
        <v>7.75</v>
      </c>
      <c r="N929" s="2">
        <v>4.99</v>
      </c>
      <c r="O929" s="2">
        <v>28.22</v>
      </c>
      <c r="P929" s="2" t="s">
        <v>68</v>
      </c>
      <c r="Q929" s="2" t="s">
        <v>28</v>
      </c>
      <c r="R929" s="2" t="s">
        <v>52</v>
      </c>
      <c r="S929" s="2" t="s">
        <v>43</v>
      </c>
      <c r="T929" s="2"/>
      <c r="U929" s="2" t="str">
        <f t="shared" si="43"/>
        <v>Not Required</v>
      </c>
      <c r="V929" s="2" t="s">
        <v>2687</v>
      </c>
    </row>
    <row r="930" spans="1:22" x14ac:dyDescent="0.3">
      <c r="A930" s="2" t="s">
        <v>2691</v>
      </c>
      <c r="B930" s="12">
        <f t="shared" si="42"/>
        <v>46238.587622187501</v>
      </c>
      <c r="C930" s="13">
        <v>46238.587622187501</v>
      </c>
      <c r="D930" s="2" t="s">
        <v>492</v>
      </c>
      <c r="E930" s="2" t="str">
        <f t="shared" si="44"/>
        <v>Missing Email</v>
      </c>
      <c r="F930" s="2"/>
      <c r="G930" s="2" t="s">
        <v>206</v>
      </c>
      <c r="H930" s="2" t="s">
        <v>196</v>
      </c>
      <c r="I930" s="2" t="s">
        <v>207</v>
      </c>
      <c r="J930" s="2">
        <v>3</v>
      </c>
      <c r="K930" s="2">
        <v>24.99</v>
      </c>
      <c r="L930" s="2"/>
      <c r="M930" s="2">
        <v>0</v>
      </c>
      <c r="N930" s="2">
        <v>7.99</v>
      </c>
      <c r="O930" s="2">
        <v>82.96</v>
      </c>
      <c r="P930" s="2" t="s">
        <v>68</v>
      </c>
      <c r="Q930" s="2" t="s">
        <v>28</v>
      </c>
      <c r="R930" s="2" t="s">
        <v>52</v>
      </c>
      <c r="S930" s="2" t="s">
        <v>75</v>
      </c>
      <c r="T930" s="2"/>
      <c r="U930" s="2" t="str">
        <f t="shared" si="43"/>
        <v>Not Required</v>
      </c>
      <c r="V930" s="2" t="s">
        <v>1176</v>
      </c>
    </row>
    <row r="931" spans="1:22" hidden="1" x14ac:dyDescent="0.3">
      <c r="A931" s="2" t="s">
        <v>2692</v>
      </c>
      <c r="B931" s="12">
        <f t="shared" si="42"/>
        <v>46238</v>
      </c>
      <c r="C931" s="13" t="s">
        <v>148</v>
      </c>
      <c r="D931" s="2" t="s">
        <v>565</v>
      </c>
      <c r="E931" s="2" t="str">
        <f t="shared" si="44"/>
        <v>Email Available</v>
      </c>
      <c r="F931" s="2" t="s">
        <v>566</v>
      </c>
      <c r="G931" s="2" t="s">
        <v>127</v>
      </c>
      <c r="H931" s="2" t="s">
        <v>81</v>
      </c>
      <c r="I931" s="2" t="s">
        <v>128</v>
      </c>
      <c r="J931" s="2">
        <v>1</v>
      </c>
      <c r="K931" s="2">
        <v>13.99</v>
      </c>
      <c r="L931" s="2" t="s">
        <v>25</v>
      </c>
      <c r="M931" s="2" t="s">
        <v>2693</v>
      </c>
      <c r="N931" s="2">
        <v>4.99</v>
      </c>
      <c r="O931" s="2">
        <v>16.18</v>
      </c>
      <c r="P931" s="2" t="s">
        <v>27</v>
      </c>
      <c r="Q931" s="2" t="s">
        <v>28</v>
      </c>
      <c r="R931" s="2" t="s">
        <v>52</v>
      </c>
      <c r="S931" s="2" t="s">
        <v>43</v>
      </c>
      <c r="T931" s="2"/>
      <c r="U931" s="2" t="str">
        <f t="shared" si="43"/>
        <v>Not Required</v>
      </c>
      <c r="V931" s="2" t="s">
        <v>2694</v>
      </c>
    </row>
    <row r="932" spans="1:22" hidden="1" x14ac:dyDescent="0.3">
      <c r="A932" s="2" t="s">
        <v>2695</v>
      </c>
      <c r="B932" s="12">
        <f t="shared" si="42"/>
        <v>46238.586812372683</v>
      </c>
      <c r="C932" s="13">
        <v>46238.586812372683</v>
      </c>
      <c r="D932" s="2" t="s">
        <v>94</v>
      </c>
      <c r="E932" s="2" t="str">
        <f t="shared" si="44"/>
        <v>Email Available</v>
      </c>
      <c r="F932" s="2" t="s">
        <v>95</v>
      </c>
      <c r="G932" s="2" t="s">
        <v>58</v>
      </c>
      <c r="H932" s="2" t="s">
        <v>23</v>
      </c>
      <c r="I932" s="2" t="s">
        <v>59</v>
      </c>
      <c r="J932" s="2">
        <v>1</v>
      </c>
      <c r="K932" s="2">
        <v>9.99</v>
      </c>
      <c r="L932" s="2"/>
      <c r="M932" s="2">
        <v>0</v>
      </c>
      <c r="N932" s="2">
        <v>7.99</v>
      </c>
      <c r="O932" s="2">
        <v>17.98</v>
      </c>
      <c r="P932" s="2" t="s">
        <v>40</v>
      </c>
      <c r="Q932" s="2" t="s">
        <v>41</v>
      </c>
      <c r="R932" s="2" t="s">
        <v>52</v>
      </c>
      <c r="S932" s="2" t="s">
        <v>43</v>
      </c>
      <c r="T932" s="2"/>
      <c r="U932" s="2" t="str">
        <f t="shared" si="43"/>
        <v>Not Required</v>
      </c>
      <c r="V932" s="2" t="s">
        <v>2696</v>
      </c>
    </row>
    <row r="933" spans="1:22" hidden="1" x14ac:dyDescent="0.3">
      <c r="A933" s="2" t="s">
        <v>2697</v>
      </c>
      <c r="B933" s="12">
        <f t="shared" si="42"/>
        <v>46120</v>
      </c>
      <c r="C933" s="13" t="s">
        <v>142</v>
      </c>
      <c r="D933" s="2" t="s">
        <v>502</v>
      </c>
      <c r="E933" s="2" t="str">
        <f t="shared" si="44"/>
        <v>Email Available</v>
      </c>
      <c r="F933" s="2" t="s">
        <v>503</v>
      </c>
      <c r="G933" s="2" t="s">
        <v>133</v>
      </c>
      <c r="H933" s="2" t="s">
        <v>106</v>
      </c>
      <c r="I933" s="2" t="s">
        <v>134</v>
      </c>
      <c r="J933" s="2">
        <v>1</v>
      </c>
      <c r="K933" s="2">
        <v>16.989999999999998</v>
      </c>
      <c r="L933" s="2" t="s">
        <v>25</v>
      </c>
      <c r="M933" s="2">
        <v>3.4</v>
      </c>
      <c r="N933" s="2">
        <v>7.99</v>
      </c>
      <c r="O933" s="2">
        <v>21.58</v>
      </c>
      <c r="P933" s="2" t="s">
        <v>74</v>
      </c>
      <c r="Q933" s="2" t="s">
        <v>28</v>
      </c>
      <c r="R933" s="2" t="s">
        <v>52</v>
      </c>
      <c r="S933" s="2" t="s">
        <v>108</v>
      </c>
      <c r="T933" s="2"/>
      <c r="U933" s="2" t="str">
        <f t="shared" si="43"/>
        <v>Not Required</v>
      </c>
      <c r="V933" s="2" t="s">
        <v>2698</v>
      </c>
    </row>
    <row r="934" spans="1:22" hidden="1" x14ac:dyDescent="0.3">
      <c r="A934" s="2" t="s">
        <v>2699</v>
      </c>
      <c r="B934" s="12">
        <f t="shared" si="42"/>
        <v>46238.584300219911</v>
      </c>
      <c r="C934" s="13">
        <v>46238.584300219911</v>
      </c>
      <c r="D934" s="2" t="s">
        <v>819</v>
      </c>
      <c r="E934" s="2" t="str">
        <f t="shared" si="44"/>
        <v>Email Available</v>
      </c>
      <c r="F934" s="2" t="s">
        <v>820</v>
      </c>
      <c r="G934" s="2" t="s">
        <v>36</v>
      </c>
      <c r="H934" s="2" t="s">
        <v>37</v>
      </c>
      <c r="I934" s="2" t="s">
        <v>38</v>
      </c>
      <c r="J934" s="2">
        <v>2</v>
      </c>
      <c r="K934" s="2">
        <v>21.99</v>
      </c>
      <c r="L934" s="2" t="s">
        <v>25</v>
      </c>
      <c r="M934" s="2">
        <v>8.8000000000000007</v>
      </c>
      <c r="N934" s="2">
        <v>7.99</v>
      </c>
      <c r="O934" s="2">
        <v>43.17</v>
      </c>
      <c r="P934" s="2" t="s">
        <v>68</v>
      </c>
      <c r="Q934" s="2" t="s">
        <v>114</v>
      </c>
      <c r="R934" s="2" t="s">
        <v>29</v>
      </c>
      <c r="S934" s="2" t="s">
        <v>30</v>
      </c>
      <c r="T934" s="2" t="s">
        <v>347</v>
      </c>
      <c r="U934" s="2" t="str">
        <f t="shared" si="43"/>
        <v>Valid</v>
      </c>
      <c r="V934" s="2" t="s">
        <v>2700</v>
      </c>
    </row>
    <row r="935" spans="1:22" hidden="1" x14ac:dyDescent="0.3">
      <c r="A935" s="2" t="s">
        <v>2701</v>
      </c>
      <c r="B935" s="12">
        <f t="shared" si="42"/>
        <v>46238.579461134257</v>
      </c>
      <c r="C935" s="13">
        <v>46238.579461134257</v>
      </c>
      <c r="D935" s="2" t="s">
        <v>1410</v>
      </c>
      <c r="E935" s="2" t="str">
        <f t="shared" si="44"/>
        <v>Email Available</v>
      </c>
      <c r="F935" s="2" t="s">
        <v>1411</v>
      </c>
      <c r="G935" s="2" t="s">
        <v>187</v>
      </c>
      <c r="H935" s="2" t="s">
        <v>37</v>
      </c>
      <c r="I935" s="2" t="s">
        <v>188</v>
      </c>
      <c r="J935" s="2">
        <v>2</v>
      </c>
      <c r="K935" s="2">
        <v>11.99</v>
      </c>
      <c r="L935" s="2"/>
      <c r="M935" s="2">
        <v>0</v>
      </c>
      <c r="N935" s="2">
        <v>5.99</v>
      </c>
      <c r="O935" s="2">
        <v>29.97</v>
      </c>
      <c r="P935" s="2" t="s">
        <v>74</v>
      </c>
      <c r="Q935" s="2" t="s">
        <v>90</v>
      </c>
      <c r="R935" s="2" t="s">
        <v>99</v>
      </c>
      <c r="S935" s="2" t="s">
        <v>30</v>
      </c>
      <c r="T935" s="2" t="s">
        <v>145</v>
      </c>
      <c r="U935" s="2" t="str">
        <f t="shared" si="43"/>
        <v>Valid</v>
      </c>
      <c r="V935" s="2" t="s">
        <v>2702</v>
      </c>
    </row>
    <row r="936" spans="1:22" hidden="1" x14ac:dyDescent="0.3">
      <c r="A936" s="2" t="s">
        <v>2703</v>
      </c>
      <c r="B936" s="12">
        <f t="shared" si="42"/>
        <v>46238.584651516197</v>
      </c>
      <c r="C936" s="13">
        <v>46238.584651516197</v>
      </c>
      <c r="D936" s="2" t="s">
        <v>562</v>
      </c>
      <c r="E936" s="2" t="str">
        <f t="shared" si="44"/>
        <v>Email Available</v>
      </c>
      <c r="F936" s="2" t="s">
        <v>47</v>
      </c>
      <c r="G936" s="2" t="s">
        <v>187</v>
      </c>
      <c r="H936" s="2" t="s">
        <v>37</v>
      </c>
      <c r="I936" s="2" t="s">
        <v>188</v>
      </c>
      <c r="J936" s="2">
        <v>1</v>
      </c>
      <c r="K936" s="2">
        <v>11.99</v>
      </c>
      <c r="L936" s="2"/>
      <c r="M936" s="2">
        <v>0</v>
      </c>
      <c r="N936" s="2">
        <v>7.99</v>
      </c>
      <c r="O936" s="2">
        <v>19.98</v>
      </c>
      <c r="P936" s="2" t="s">
        <v>68</v>
      </c>
      <c r="Q936" s="2" t="s">
        <v>28</v>
      </c>
      <c r="R936" s="2" t="s">
        <v>52</v>
      </c>
      <c r="S936" s="2" t="s">
        <v>30</v>
      </c>
      <c r="T936" s="2" t="s">
        <v>31</v>
      </c>
      <c r="U936" s="2" t="str">
        <f t="shared" si="43"/>
        <v>Valid</v>
      </c>
      <c r="V936" s="2" t="s">
        <v>2704</v>
      </c>
    </row>
    <row r="937" spans="1:22" hidden="1" x14ac:dyDescent="0.3">
      <c r="A937" s="2" t="s">
        <v>2705</v>
      </c>
      <c r="B937" s="12">
        <f t="shared" si="42"/>
        <v>46238.585402696757</v>
      </c>
      <c r="C937" s="13">
        <v>46238.585402696757</v>
      </c>
      <c r="D937" s="2" t="s">
        <v>2706</v>
      </c>
      <c r="E937" s="2" t="str">
        <f t="shared" si="44"/>
        <v>Email Available</v>
      </c>
      <c r="F937" s="2" t="s">
        <v>336</v>
      </c>
      <c r="G937" s="2" t="s">
        <v>65</v>
      </c>
      <c r="H937" s="2" t="s">
        <v>49</v>
      </c>
      <c r="I937" s="2" t="s">
        <v>453</v>
      </c>
      <c r="J937" s="2">
        <v>2</v>
      </c>
      <c r="K937" s="2">
        <v>14.99</v>
      </c>
      <c r="L937" s="2"/>
      <c r="M937" s="2">
        <v>0</v>
      </c>
      <c r="N937" s="2">
        <v>5.99</v>
      </c>
      <c r="O937" s="2" t="s">
        <v>2707</v>
      </c>
      <c r="P937" s="2" t="s">
        <v>68</v>
      </c>
      <c r="Q937" s="2" t="s">
        <v>114</v>
      </c>
      <c r="R937" s="2" t="s">
        <v>52</v>
      </c>
      <c r="S937" s="2" t="s">
        <v>337</v>
      </c>
      <c r="T937" s="2"/>
      <c r="U937" s="2" t="str">
        <f t="shared" si="43"/>
        <v>Not Required</v>
      </c>
      <c r="V937" s="2" t="s">
        <v>2708</v>
      </c>
    </row>
    <row r="938" spans="1:22" hidden="1" x14ac:dyDescent="0.3">
      <c r="A938" s="2" t="s">
        <v>2709</v>
      </c>
      <c r="B938" s="12">
        <f t="shared" si="42"/>
        <v>46238</v>
      </c>
      <c r="C938" s="13" t="s">
        <v>148</v>
      </c>
      <c r="D938" s="2" t="s">
        <v>373</v>
      </c>
      <c r="E938" s="2" t="str">
        <f t="shared" si="44"/>
        <v>Email Available</v>
      </c>
      <c r="F938" s="2" t="s">
        <v>374</v>
      </c>
      <c r="G938" s="2" t="s">
        <v>133</v>
      </c>
      <c r="H938" s="2" t="s">
        <v>106</v>
      </c>
      <c r="I938" s="2" t="s">
        <v>134</v>
      </c>
      <c r="J938" s="2">
        <v>1</v>
      </c>
      <c r="K938" s="2">
        <v>16.989999999999998</v>
      </c>
      <c r="L938" s="2"/>
      <c r="M938" s="2">
        <v>0</v>
      </c>
      <c r="N938" s="2">
        <v>5.99</v>
      </c>
      <c r="O938" s="2">
        <v>22.98</v>
      </c>
      <c r="P938" s="2" t="s">
        <v>51</v>
      </c>
      <c r="Q938" s="2" t="s">
        <v>28</v>
      </c>
      <c r="R938" s="2" t="s">
        <v>52</v>
      </c>
      <c r="S938" s="2" t="s">
        <v>337</v>
      </c>
      <c r="T938" s="2"/>
      <c r="U938" s="2" t="str">
        <f t="shared" si="43"/>
        <v>Not Required</v>
      </c>
      <c r="V938" s="2" t="s">
        <v>2710</v>
      </c>
    </row>
    <row r="939" spans="1:22" hidden="1" x14ac:dyDescent="0.3">
      <c r="A939" s="2" t="s">
        <v>2711</v>
      </c>
      <c r="B939" s="12">
        <f t="shared" si="42"/>
        <v>46120</v>
      </c>
      <c r="C939" s="13" t="s">
        <v>142</v>
      </c>
      <c r="D939" s="2" t="s">
        <v>2033</v>
      </c>
      <c r="E939" s="2" t="str">
        <f t="shared" si="44"/>
        <v>Email Available</v>
      </c>
      <c r="F939" s="2" t="s">
        <v>2034</v>
      </c>
      <c r="G939" s="2" t="s">
        <v>36</v>
      </c>
      <c r="H939" s="2" t="s">
        <v>37</v>
      </c>
      <c r="I939" s="2" t="s">
        <v>38</v>
      </c>
      <c r="J939" s="2">
        <v>1</v>
      </c>
      <c r="K939" s="2">
        <v>21.99</v>
      </c>
      <c r="L939" s="2"/>
      <c r="M939" s="2">
        <v>0</v>
      </c>
      <c r="N939" s="2">
        <v>4.99</v>
      </c>
      <c r="O939" s="2">
        <v>26.98</v>
      </c>
      <c r="P939" s="2" t="s">
        <v>27</v>
      </c>
      <c r="Q939" s="2" t="s">
        <v>90</v>
      </c>
      <c r="R939" s="2" t="s">
        <v>52</v>
      </c>
      <c r="S939" s="2" t="s">
        <v>30</v>
      </c>
      <c r="T939" s="2" t="s">
        <v>115</v>
      </c>
      <c r="U939" s="2" t="str">
        <f t="shared" si="43"/>
        <v>Valid</v>
      </c>
      <c r="V939" s="2" t="s">
        <v>2095</v>
      </c>
    </row>
    <row r="940" spans="1:22" hidden="1" x14ac:dyDescent="0.3">
      <c r="A940" s="2" t="s">
        <v>2712</v>
      </c>
      <c r="B940" s="12">
        <f t="shared" si="42"/>
        <v>46238.580592245373</v>
      </c>
      <c r="C940" s="13">
        <v>46238.580592245373</v>
      </c>
      <c r="D940" s="2" t="s">
        <v>2713</v>
      </c>
      <c r="E940" s="2" t="str">
        <f t="shared" si="44"/>
        <v>Email Available</v>
      </c>
      <c r="F940" s="2" t="s">
        <v>2714</v>
      </c>
      <c r="G940" s="2" t="s">
        <v>58</v>
      </c>
      <c r="H940" s="2" t="s">
        <v>23</v>
      </c>
      <c r="I940" s="2" t="s">
        <v>59</v>
      </c>
      <c r="J940" s="2">
        <v>1</v>
      </c>
      <c r="K940" s="2">
        <v>9.99</v>
      </c>
      <c r="L940" s="2" t="s">
        <v>25</v>
      </c>
      <c r="M940" s="2">
        <v>2</v>
      </c>
      <c r="N940" s="2">
        <v>7.99</v>
      </c>
      <c r="O940" s="2">
        <v>15.98</v>
      </c>
      <c r="P940" s="2" t="s">
        <v>68</v>
      </c>
      <c r="Q940" s="2" t="s">
        <v>28</v>
      </c>
      <c r="R940" s="2" t="s">
        <v>29</v>
      </c>
      <c r="S940" s="2" t="s">
        <v>30</v>
      </c>
      <c r="T940" s="2" t="s">
        <v>347</v>
      </c>
      <c r="U940" s="2" t="str">
        <f t="shared" si="43"/>
        <v>Valid</v>
      </c>
      <c r="V940" s="2" t="s">
        <v>2715</v>
      </c>
    </row>
    <row r="941" spans="1:22" hidden="1" x14ac:dyDescent="0.3">
      <c r="A941" s="2" t="s">
        <v>2716</v>
      </c>
      <c r="B941" s="12">
        <f t="shared" si="42"/>
        <v>46120</v>
      </c>
      <c r="C941" s="13" t="s">
        <v>142</v>
      </c>
      <c r="D941" s="2" t="s">
        <v>1510</v>
      </c>
      <c r="E941" s="2" t="str">
        <f t="shared" si="44"/>
        <v>Email Available</v>
      </c>
      <c r="F941" s="2" t="s">
        <v>2005</v>
      </c>
      <c r="G941" s="2" t="s">
        <v>87</v>
      </c>
      <c r="H941" s="2" t="s">
        <v>88</v>
      </c>
      <c r="I941" s="2" t="s">
        <v>89</v>
      </c>
      <c r="J941" s="2">
        <v>1</v>
      </c>
      <c r="K941" s="2">
        <v>54.99</v>
      </c>
      <c r="L941" s="2"/>
      <c r="M941" s="2" t="s">
        <v>189</v>
      </c>
      <c r="N941" s="2">
        <v>5.99</v>
      </c>
      <c r="O941" s="2">
        <v>60.98</v>
      </c>
      <c r="P941" s="2" t="s">
        <v>74</v>
      </c>
      <c r="Q941" s="2" t="s">
        <v>41</v>
      </c>
      <c r="R941" s="2" t="s">
        <v>52</v>
      </c>
      <c r="S941" s="2" t="s">
        <v>43</v>
      </c>
      <c r="T941" s="2"/>
      <c r="U941" s="2" t="str">
        <f t="shared" si="43"/>
        <v>Not Required</v>
      </c>
      <c r="V941" s="2" t="s">
        <v>2717</v>
      </c>
    </row>
    <row r="942" spans="1:22" hidden="1" x14ac:dyDescent="0.3">
      <c r="A942" s="2" t="s">
        <v>2718</v>
      </c>
      <c r="B942" s="12">
        <f t="shared" si="42"/>
        <v>46238.58676539352</v>
      </c>
      <c r="C942" s="13">
        <v>46238.58676539352</v>
      </c>
      <c r="D942" s="2" t="s">
        <v>1055</v>
      </c>
      <c r="E942" s="2" t="str">
        <f t="shared" si="44"/>
        <v>Email Available</v>
      </c>
      <c r="F942" s="2" t="s">
        <v>1056</v>
      </c>
      <c r="G942" s="2" t="s">
        <v>151</v>
      </c>
      <c r="H942" s="2" t="s">
        <v>49</v>
      </c>
      <c r="I942" s="2" t="s">
        <v>152</v>
      </c>
      <c r="J942" s="2">
        <v>1</v>
      </c>
      <c r="K942" s="2" t="s">
        <v>346</v>
      </c>
      <c r="L942" s="2"/>
      <c r="M942" s="2">
        <v>0</v>
      </c>
      <c r="N942" s="2">
        <v>5.99</v>
      </c>
      <c r="O942" s="2">
        <v>40.98</v>
      </c>
      <c r="P942" s="2" t="s">
        <v>51</v>
      </c>
      <c r="Q942" s="2" t="s">
        <v>41</v>
      </c>
      <c r="R942" s="2" t="s">
        <v>52</v>
      </c>
      <c r="S942" s="2" t="s">
        <v>30</v>
      </c>
      <c r="T942" s="2" t="s">
        <v>248</v>
      </c>
      <c r="U942" s="2" t="str">
        <f t="shared" si="43"/>
        <v>Valid</v>
      </c>
      <c r="V942" s="2" t="s">
        <v>2719</v>
      </c>
    </row>
    <row r="943" spans="1:22" hidden="1" x14ac:dyDescent="0.3">
      <c r="A943" s="2" t="s">
        <v>2720</v>
      </c>
      <c r="B943" s="12">
        <f t="shared" si="42"/>
        <v>46238.581495057872</v>
      </c>
      <c r="C943" s="13">
        <v>46238.581495057872</v>
      </c>
      <c r="D943" s="2" t="s">
        <v>569</v>
      </c>
      <c r="E943" s="2" t="str">
        <f t="shared" si="44"/>
        <v>Email Available</v>
      </c>
      <c r="F943" s="2" t="s">
        <v>570</v>
      </c>
      <c r="G943" s="2" t="s">
        <v>266</v>
      </c>
      <c r="H943" s="2" t="s">
        <v>37</v>
      </c>
      <c r="I943" s="2" t="s">
        <v>267</v>
      </c>
      <c r="J943" s="2">
        <v>1</v>
      </c>
      <c r="K943" s="2">
        <v>15.49</v>
      </c>
      <c r="L943" s="2" t="s">
        <v>39</v>
      </c>
      <c r="M943" s="2">
        <v>0</v>
      </c>
      <c r="N943" s="2">
        <v>0</v>
      </c>
      <c r="O943" s="2">
        <v>15.49</v>
      </c>
      <c r="P943" s="2" t="s">
        <v>27</v>
      </c>
      <c r="Q943" s="2" t="s">
        <v>41</v>
      </c>
      <c r="R943" s="2" t="s">
        <v>52</v>
      </c>
      <c r="S943" s="2" t="s">
        <v>337</v>
      </c>
      <c r="T943" s="2"/>
      <c r="U943" s="2" t="str">
        <f t="shared" si="43"/>
        <v>Not Required</v>
      </c>
      <c r="V943" s="2" t="s">
        <v>2721</v>
      </c>
    </row>
    <row r="944" spans="1:22" hidden="1" x14ac:dyDescent="0.3">
      <c r="A944" s="2" t="s">
        <v>2722</v>
      </c>
      <c r="B944" s="12">
        <f t="shared" si="42"/>
        <v>46238.579496967592</v>
      </c>
      <c r="C944" s="13">
        <v>46238.579496967592</v>
      </c>
      <c r="D944" s="2" t="s">
        <v>2723</v>
      </c>
      <c r="E944" s="2" t="str">
        <f t="shared" si="44"/>
        <v>Email Available</v>
      </c>
      <c r="F944" s="2" t="s">
        <v>2724</v>
      </c>
      <c r="G944" s="2" t="s">
        <v>272</v>
      </c>
      <c r="H944" s="2" t="s">
        <v>23</v>
      </c>
      <c r="I944" s="2" t="s">
        <v>273</v>
      </c>
      <c r="J944" s="2">
        <v>1</v>
      </c>
      <c r="K944" s="2">
        <v>18.989999999999998</v>
      </c>
      <c r="L944" s="2" t="s">
        <v>39</v>
      </c>
      <c r="M944" s="2">
        <v>0</v>
      </c>
      <c r="N944" s="2">
        <v>0</v>
      </c>
      <c r="O944" s="2">
        <v>18.989999999999998</v>
      </c>
      <c r="P944" s="2" t="s">
        <v>74</v>
      </c>
      <c r="Q944" s="2" t="s">
        <v>90</v>
      </c>
      <c r="R944" s="2" t="s">
        <v>99</v>
      </c>
      <c r="S944" s="2" t="s">
        <v>30</v>
      </c>
      <c r="T944" s="2" t="s">
        <v>60</v>
      </c>
      <c r="U944" s="2" t="str">
        <f t="shared" si="43"/>
        <v>Valid</v>
      </c>
      <c r="V944" s="2" t="s">
        <v>2725</v>
      </c>
    </row>
    <row r="945" spans="1:22" hidden="1" x14ac:dyDescent="0.3">
      <c r="A945" s="2" t="s">
        <v>2726</v>
      </c>
      <c r="B945" s="12">
        <f t="shared" si="42"/>
        <v>46238.586845127313</v>
      </c>
      <c r="C945" s="13">
        <v>46238.586845127313</v>
      </c>
      <c r="D945" s="2" t="s">
        <v>1857</v>
      </c>
      <c r="E945" s="2" t="str">
        <f t="shared" si="44"/>
        <v>Email Available</v>
      </c>
      <c r="F945" s="2" t="s">
        <v>1858</v>
      </c>
      <c r="G945" s="2" t="s">
        <v>187</v>
      </c>
      <c r="H945" s="2" t="s">
        <v>37</v>
      </c>
      <c r="I945" s="2" t="s">
        <v>188</v>
      </c>
      <c r="J945" s="2">
        <v>1</v>
      </c>
      <c r="K945" s="2">
        <v>11.99</v>
      </c>
      <c r="L945" s="2"/>
      <c r="M945" s="2">
        <v>0</v>
      </c>
      <c r="N945" s="2">
        <v>5.99</v>
      </c>
      <c r="O945" s="2">
        <v>17.98</v>
      </c>
      <c r="P945" s="2" t="s">
        <v>40</v>
      </c>
      <c r="Q945" s="2" t="s">
        <v>90</v>
      </c>
      <c r="R945" s="2" t="s">
        <v>52</v>
      </c>
      <c r="S945" s="2" t="s">
        <v>43</v>
      </c>
      <c r="T945" s="2"/>
      <c r="U945" s="2" t="str">
        <f t="shared" si="43"/>
        <v>Not Required</v>
      </c>
      <c r="V945" s="2" t="s">
        <v>2727</v>
      </c>
    </row>
    <row r="946" spans="1:22" x14ac:dyDescent="0.3">
      <c r="A946" s="2" t="s">
        <v>2728</v>
      </c>
      <c r="B946" s="12">
        <f t="shared" si="42"/>
        <v>46120</v>
      </c>
      <c r="C946" s="13" t="s">
        <v>142</v>
      </c>
      <c r="D946" s="2" t="s">
        <v>589</v>
      </c>
      <c r="E946" s="2" t="str">
        <f t="shared" si="44"/>
        <v>Missing Email</v>
      </c>
      <c r="F946" s="2"/>
      <c r="G946" s="2" t="s">
        <v>87</v>
      </c>
      <c r="H946" s="2" t="s">
        <v>88</v>
      </c>
      <c r="I946" s="2" t="s">
        <v>89</v>
      </c>
      <c r="J946" s="2">
        <v>2</v>
      </c>
      <c r="K946" s="2">
        <v>54.99</v>
      </c>
      <c r="L946" s="2" t="s">
        <v>25</v>
      </c>
      <c r="M946" s="2">
        <v>22</v>
      </c>
      <c r="N946" s="2">
        <v>0</v>
      </c>
      <c r="O946" s="2" t="s">
        <v>2231</v>
      </c>
      <c r="P946" s="2" t="s">
        <v>68</v>
      </c>
      <c r="Q946" s="2" t="s">
        <v>41</v>
      </c>
      <c r="R946" s="2" t="s">
        <v>52</v>
      </c>
      <c r="S946" s="2" t="s">
        <v>30</v>
      </c>
      <c r="T946" s="2" t="s">
        <v>966</v>
      </c>
      <c r="U946" s="2" t="str">
        <f t="shared" si="43"/>
        <v>Valid</v>
      </c>
      <c r="V946" s="2" t="s">
        <v>2729</v>
      </c>
    </row>
    <row r="947" spans="1:22" hidden="1" x14ac:dyDescent="0.3">
      <c r="A947" s="2" t="s">
        <v>2730</v>
      </c>
      <c r="B947" s="12">
        <f t="shared" si="42"/>
        <v>46238.581126064812</v>
      </c>
      <c r="C947" s="13">
        <v>46238.581126064812</v>
      </c>
      <c r="D947" s="2" t="s">
        <v>2731</v>
      </c>
      <c r="E947" s="2" t="str">
        <f t="shared" si="44"/>
        <v>Email Available</v>
      </c>
      <c r="F947" s="2" t="s">
        <v>1369</v>
      </c>
      <c r="G947" s="2" t="s">
        <v>65</v>
      </c>
      <c r="H947" s="2" t="s">
        <v>49</v>
      </c>
      <c r="I947" s="2" t="s">
        <v>66</v>
      </c>
      <c r="J947" s="2">
        <v>1</v>
      </c>
      <c r="K947" s="2">
        <v>14.99</v>
      </c>
      <c r="L947" s="2"/>
      <c r="M947" s="2">
        <v>0</v>
      </c>
      <c r="N947" s="2">
        <v>7.99</v>
      </c>
      <c r="O947" s="2">
        <v>22.98</v>
      </c>
      <c r="P947" s="2" t="s">
        <v>27</v>
      </c>
      <c r="Q947" s="2" t="s">
        <v>90</v>
      </c>
      <c r="R947" s="2" t="s">
        <v>52</v>
      </c>
      <c r="S947" s="2" t="s">
        <v>43</v>
      </c>
      <c r="T947" s="2"/>
      <c r="U947" s="2" t="str">
        <f t="shared" si="43"/>
        <v>Not Required</v>
      </c>
      <c r="V947" s="2" t="s">
        <v>2732</v>
      </c>
    </row>
    <row r="948" spans="1:22" hidden="1" x14ac:dyDescent="0.3">
      <c r="A948" s="2" t="s">
        <v>2733</v>
      </c>
      <c r="B948" s="12">
        <f t="shared" si="42"/>
        <v>46238.580362141212</v>
      </c>
      <c r="C948" s="13">
        <v>46238.580362141212</v>
      </c>
      <c r="D948" s="2" t="s">
        <v>756</v>
      </c>
      <c r="E948" s="2" t="str">
        <f t="shared" si="44"/>
        <v>Email Available</v>
      </c>
      <c r="F948" s="2" t="s">
        <v>757</v>
      </c>
      <c r="G948" s="2" t="s">
        <v>36</v>
      </c>
      <c r="H948" s="2" t="s">
        <v>37</v>
      </c>
      <c r="I948" s="2" t="s">
        <v>38</v>
      </c>
      <c r="J948" s="2">
        <v>1</v>
      </c>
      <c r="K948" s="2">
        <v>21.99</v>
      </c>
      <c r="L948" s="2"/>
      <c r="M948" s="2">
        <v>0</v>
      </c>
      <c r="N948" s="2">
        <v>7.99</v>
      </c>
      <c r="O948" s="2" t="s">
        <v>2244</v>
      </c>
      <c r="P948" s="2" t="s">
        <v>27</v>
      </c>
      <c r="Q948" s="2" t="s">
        <v>28</v>
      </c>
      <c r="R948" s="2" t="s">
        <v>29</v>
      </c>
      <c r="S948" s="2" t="s">
        <v>30</v>
      </c>
      <c r="T948" s="2" t="s">
        <v>351</v>
      </c>
      <c r="U948" s="2" t="str">
        <f t="shared" si="43"/>
        <v>Valid</v>
      </c>
      <c r="V948" s="2" t="s">
        <v>2734</v>
      </c>
    </row>
    <row r="949" spans="1:22" x14ac:dyDescent="0.3">
      <c r="A949" s="2" t="s">
        <v>2735</v>
      </c>
      <c r="B949" s="12">
        <f t="shared" si="42"/>
        <v>46238.579044942133</v>
      </c>
      <c r="C949" s="13">
        <v>46238.579044942133</v>
      </c>
      <c r="D949" s="2" t="s">
        <v>589</v>
      </c>
      <c r="E949" s="2" t="str">
        <f t="shared" si="44"/>
        <v>Missing Email</v>
      </c>
      <c r="F949" s="2"/>
      <c r="G949" s="2" t="s">
        <v>315</v>
      </c>
      <c r="H949" s="2" t="s">
        <v>37</v>
      </c>
      <c r="I949" s="2" t="s">
        <v>316</v>
      </c>
      <c r="J949" s="2">
        <v>1</v>
      </c>
      <c r="K949" s="2">
        <v>8.99</v>
      </c>
      <c r="L949" s="2"/>
      <c r="M949" s="2">
        <v>0</v>
      </c>
      <c r="N949" s="2">
        <v>4.99</v>
      </c>
      <c r="O949" s="2">
        <v>13.98</v>
      </c>
      <c r="P949" s="2" t="s">
        <v>74</v>
      </c>
      <c r="Q949" s="2" t="s">
        <v>28</v>
      </c>
      <c r="R949" s="2" t="s">
        <v>42</v>
      </c>
      <c r="S949" s="2" t="s">
        <v>30</v>
      </c>
      <c r="T949" s="2" t="s">
        <v>69</v>
      </c>
      <c r="U949" s="2" t="str">
        <f t="shared" si="43"/>
        <v>Valid</v>
      </c>
      <c r="V949" s="2" t="s">
        <v>2736</v>
      </c>
    </row>
    <row r="950" spans="1:22" hidden="1" x14ac:dyDescent="0.3">
      <c r="A950" s="2" t="s">
        <v>2737</v>
      </c>
      <c r="B950" s="12">
        <f t="shared" si="42"/>
        <v>46238.583871111106</v>
      </c>
      <c r="C950" s="13">
        <v>46238.583871111106</v>
      </c>
      <c r="D950" s="2" t="s">
        <v>637</v>
      </c>
      <c r="E950" s="2" t="str">
        <f t="shared" si="44"/>
        <v>Email Available</v>
      </c>
      <c r="F950" s="2" t="s">
        <v>638</v>
      </c>
      <c r="G950" s="2" t="s">
        <v>151</v>
      </c>
      <c r="H950" s="2" t="s">
        <v>49</v>
      </c>
      <c r="I950" s="2" t="s">
        <v>152</v>
      </c>
      <c r="J950" s="2">
        <v>1</v>
      </c>
      <c r="K950" s="2">
        <v>34.99</v>
      </c>
      <c r="L950" s="2"/>
      <c r="M950" s="2">
        <v>0</v>
      </c>
      <c r="N950" s="2">
        <v>7.99</v>
      </c>
      <c r="O950" s="2">
        <v>42.98</v>
      </c>
      <c r="P950" s="2" t="s">
        <v>27</v>
      </c>
      <c r="Q950" s="2" t="s">
        <v>28</v>
      </c>
      <c r="R950" s="2" t="s">
        <v>52</v>
      </c>
      <c r="S950" s="2" t="s">
        <v>30</v>
      </c>
      <c r="T950" s="2" t="s">
        <v>454</v>
      </c>
      <c r="U950" s="2" t="str">
        <f t="shared" si="43"/>
        <v>Valid</v>
      </c>
      <c r="V950" s="2" t="s">
        <v>2738</v>
      </c>
    </row>
    <row r="951" spans="1:22" hidden="1" x14ac:dyDescent="0.3">
      <c r="A951" s="2" t="s">
        <v>2739</v>
      </c>
      <c r="B951" s="12">
        <f t="shared" si="42"/>
        <v>46238.587308148148</v>
      </c>
      <c r="C951" s="13">
        <v>46238.587308148148</v>
      </c>
      <c r="D951" s="2" t="s">
        <v>480</v>
      </c>
      <c r="E951" s="2" t="str">
        <f t="shared" si="44"/>
        <v>Email Available</v>
      </c>
      <c r="F951" s="2" t="s">
        <v>481</v>
      </c>
      <c r="G951" s="2" t="s">
        <v>272</v>
      </c>
      <c r="H951" s="2" t="s">
        <v>23</v>
      </c>
      <c r="I951" s="2" t="s">
        <v>273</v>
      </c>
      <c r="J951" s="2">
        <v>1</v>
      </c>
      <c r="K951" s="2">
        <v>18.989999999999998</v>
      </c>
      <c r="L951" s="2"/>
      <c r="M951" s="2">
        <v>0</v>
      </c>
      <c r="N951" s="2">
        <v>5.99</v>
      </c>
      <c r="O951" s="2">
        <v>24.98</v>
      </c>
      <c r="P951" s="2" t="s">
        <v>40</v>
      </c>
      <c r="Q951" s="2" t="s">
        <v>28</v>
      </c>
      <c r="R951" s="2" t="s">
        <v>52</v>
      </c>
      <c r="S951" s="2" t="s">
        <v>75</v>
      </c>
      <c r="T951" s="2"/>
      <c r="U951" s="2" t="str">
        <f t="shared" si="43"/>
        <v>Not Required</v>
      </c>
      <c r="V951" s="2" t="s">
        <v>2740</v>
      </c>
    </row>
    <row r="952" spans="1:22" hidden="1" x14ac:dyDescent="0.3">
      <c r="A952" s="2" t="s">
        <v>2741</v>
      </c>
      <c r="B952" s="12">
        <f t="shared" si="42"/>
        <v>46120</v>
      </c>
      <c r="C952" s="13" t="s">
        <v>142</v>
      </c>
      <c r="D952" s="2" t="s">
        <v>1071</v>
      </c>
      <c r="E952" s="2" t="str">
        <f t="shared" si="44"/>
        <v>Email Available</v>
      </c>
      <c r="F952" s="2" t="s">
        <v>1072</v>
      </c>
      <c r="G952" s="2" t="s">
        <v>58</v>
      </c>
      <c r="H952" s="2" t="s">
        <v>23</v>
      </c>
      <c r="I952" s="2" t="s">
        <v>59</v>
      </c>
      <c r="J952" s="2">
        <v>1</v>
      </c>
      <c r="K952" s="2">
        <v>9.99</v>
      </c>
      <c r="L952" s="2" t="s">
        <v>208</v>
      </c>
      <c r="M952" s="2">
        <v>1.5</v>
      </c>
      <c r="N952" s="2">
        <v>4.99</v>
      </c>
      <c r="O952" s="2">
        <v>13.48</v>
      </c>
      <c r="P952" s="2" t="s">
        <v>51</v>
      </c>
      <c r="Q952" s="2" t="s">
        <v>28</v>
      </c>
      <c r="R952" s="2" t="s">
        <v>52</v>
      </c>
      <c r="S952" s="2" t="s">
        <v>337</v>
      </c>
      <c r="T952" s="2"/>
      <c r="U952" s="2" t="str">
        <f t="shared" si="43"/>
        <v>Not Required</v>
      </c>
      <c r="V952" s="2" t="s">
        <v>2742</v>
      </c>
    </row>
    <row r="953" spans="1:22" hidden="1" x14ac:dyDescent="0.3">
      <c r="A953" s="2" t="s">
        <v>2743</v>
      </c>
      <c r="B953" s="12">
        <f t="shared" si="42"/>
        <v>46238</v>
      </c>
      <c r="C953" s="13" t="s">
        <v>1202</v>
      </c>
      <c r="D953" s="2" t="s">
        <v>388</v>
      </c>
      <c r="E953" s="2" t="str">
        <f t="shared" si="44"/>
        <v>Email Available</v>
      </c>
      <c r="F953" s="2" t="s">
        <v>389</v>
      </c>
      <c r="G953" s="2" t="s">
        <v>36</v>
      </c>
      <c r="H953" s="2" t="s">
        <v>37</v>
      </c>
      <c r="I953" s="2" t="s">
        <v>38</v>
      </c>
      <c r="J953" s="2">
        <v>1</v>
      </c>
      <c r="K953" s="2">
        <v>21.99</v>
      </c>
      <c r="L953" s="2" t="s">
        <v>121</v>
      </c>
      <c r="M953" s="2">
        <v>5.5</v>
      </c>
      <c r="N953" s="2">
        <v>4.99</v>
      </c>
      <c r="O953" s="2">
        <v>21.48</v>
      </c>
      <c r="P953" s="2" t="s">
        <v>68</v>
      </c>
      <c r="Q953" s="2" t="s">
        <v>28</v>
      </c>
      <c r="R953" s="2" t="s">
        <v>52</v>
      </c>
      <c r="S953" s="2" t="s">
        <v>30</v>
      </c>
      <c r="T953" s="2" t="s">
        <v>294</v>
      </c>
      <c r="U953" s="2" t="str">
        <f t="shared" si="43"/>
        <v>Valid</v>
      </c>
      <c r="V953" s="2" t="s">
        <v>2744</v>
      </c>
    </row>
    <row r="954" spans="1:22" hidden="1" x14ac:dyDescent="0.3">
      <c r="A954" s="2" t="s">
        <v>2745</v>
      </c>
      <c r="B954" s="12">
        <f t="shared" si="42"/>
        <v>46238.587696284732</v>
      </c>
      <c r="C954" s="13">
        <v>46238.587696284732</v>
      </c>
      <c r="D954" s="2" t="s">
        <v>231</v>
      </c>
      <c r="E954" s="2" t="str">
        <f t="shared" si="44"/>
        <v>Email Available</v>
      </c>
      <c r="F954" s="2" t="s">
        <v>232</v>
      </c>
      <c r="G954" s="2" t="s">
        <v>368</v>
      </c>
      <c r="H954" s="2" t="s">
        <v>88</v>
      </c>
      <c r="I954" s="2" t="s">
        <v>369</v>
      </c>
      <c r="J954" s="2">
        <v>1</v>
      </c>
      <c r="K954" s="2">
        <v>54.99</v>
      </c>
      <c r="L954" s="2" t="s">
        <v>67</v>
      </c>
      <c r="M954" s="2">
        <v>5.5</v>
      </c>
      <c r="N954" s="2">
        <v>7.99</v>
      </c>
      <c r="O954" s="2">
        <v>57.48</v>
      </c>
      <c r="P954" s="2" t="s">
        <v>74</v>
      </c>
      <c r="Q954" s="2" t="s">
        <v>28</v>
      </c>
      <c r="R954" s="2" t="s">
        <v>52</v>
      </c>
      <c r="S954" s="2" t="s">
        <v>30</v>
      </c>
      <c r="T954" s="2" t="s">
        <v>347</v>
      </c>
      <c r="U954" s="2" t="str">
        <f t="shared" si="43"/>
        <v>Valid</v>
      </c>
      <c r="V954" s="2" t="s">
        <v>2746</v>
      </c>
    </row>
    <row r="955" spans="1:22" hidden="1" x14ac:dyDescent="0.3">
      <c r="A955" s="2" t="s">
        <v>2747</v>
      </c>
      <c r="B955" s="12">
        <f t="shared" si="42"/>
        <v>46238.584359236113</v>
      </c>
      <c r="C955" s="13">
        <v>46238.584359236113</v>
      </c>
      <c r="D955" s="2" t="s">
        <v>2748</v>
      </c>
      <c r="E955" s="2" t="str">
        <f t="shared" si="44"/>
        <v>Email Available</v>
      </c>
      <c r="F955" s="2" t="s">
        <v>2101</v>
      </c>
      <c r="G955" s="2" t="s">
        <v>171</v>
      </c>
      <c r="H955" s="2" t="s">
        <v>106</v>
      </c>
      <c r="I955" s="2" t="s">
        <v>172</v>
      </c>
      <c r="J955" s="2">
        <v>1</v>
      </c>
      <c r="K955" s="2">
        <v>32.99</v>
      </c>
      <c r="L955" s="2"/>
      <c r="M955" s="2">
        <v>0</v>
      </c>
      <c r="N955" s="2">
        <v>7.99</v>
      </c>
      <c r="O955" s="2">
        <v>40.98</v>
      </c>
      <c r="P955" s="2" t="s">
        <v>27</v>
      </c>
      <c r="Q955" s="2" t="s">
        <v>28</v>
      </c>
      <c r="R955" s="2" t="s">
        <v>42</v>
      </c>
      <c r="S955" s="2" t="s">
        <v>228</v>
      </c>
      <c r="T955" s="2"/>
      <c r="U955" s="2" t="str">
        <f t="shared" si="43"/>
        <v>Not Required</v>
      </c>
      <c r="V955" s="2" t="s">
        <v>2749</v>
      </c>
    </row>
    <row r="956" spans="1:22" hidden="1" x14ac:dyDescent="0.3">
      <c r="A956" s="2" t="s">
        <v>2750</v>
      </c>
      <c r="B956" s="12">
        <f t="shared" si="42"/>
        <v>46238.588698900458</v>
      </c>
      <c r="C956" s="13">
        <v>46238.588698900458</v>
      </c>
      <c r="D956" s="2" t="s">
        <v>2396</v>
      </c>
      <c r="E956" s="2" t="str">
        <f t="shared" si="44"/>
        <v>Email Available</v>
      </c>
      <c r="F956" s="2" t="s">
        <v>2397</v>
      </c>
      <c r="G956" s="2" t="s">
        <v>206</v>
      </c>
      <c r="H956" s="2" t="s">
        <v>196</v>
      </c>
      <c r="I956" s="2" t="s">
        <v>207</v>
      </c>
      <c r="J956" s="2">
        <v>1</v>
      </c>
      <c r="K956" s="2">
        <v>24.99</v>
      </c>
      <c r="L956" s="2"/>
      <c r="M956" s="2">
        <v>0</v>
      </c>
      <c r="N956" s="2">
        <v>7.99</v>
      </c>
      <c r="O956" s="2">
        <v>32.979999999999997</v>
      </c>
      <c r="P956" s="2" t="s">
        <v>51</v>
      </c>
      <c r="Q956" s="2" t="s">
        <v>28</v>
      </c>
      <c r="R956" s="2" t="s">
        <v>29</v>
      </c>
      <c r="S956" s="2" t="s">
        <v>108</v>
      </c>
      <c r="T956" s="2"/>
      <c r="U956" s="2" t="str">
        <f t="shared" si="43"/>
        <v>Not Required</v>
      </c>
      <c r="V956" s="2" t="s">
        <v>2751</v>
      </c>
    </row>
    <row r="957" spans="1:22" hidden="1" x14ac:dyDescent="0.3">
      <c r="A957" s="2" t="s">
        <v>2752</v>
      </c>
      <c r="B957" s="12">
        <f t="shared" ref="B957:B1019" si="45">IF(ISNUMBER(C957),C957,DATEVALUE(SUBSTITUTE(TRIM(C957),CHAR(160)," ")))</f>
        <v>46238.579209236108</v>
      </c>
      <c r="C957" s="13">
        <v>46238.579209236108</v>
      </c>
      <c r="D957" s="2" t="s">
        <v>2753</v>
      </c>
      <c r="E957" s="2" t="str">
        <f t="shared" si="44"/>
        <v>Email Available</v>
      </c>
      <c r="F957" s="2" t="s">
        <v>1553</v>
      </c>
      <c r="G957" s="2" t="s">
        <v>87</v>
      </c>
      <c r="H957" s="2" t="s">
        <v>88</v>
      </c>
      <c r="I957" s="2" t="s">
        <v>89</v>
      </c>
      <c r="J957" s="2">
        <v>1</v>
      </c>
      <c r="K957" s="2">
        <v>54.99</v>
      </c>
      <c r="L957" s="2" t="s">
        <v>67</v>
      </c>
      <c r="M957" s="2">
        <v>5.5</v>
      </c>
      <c r="N957" s="2">
        <v>4.99</v>
      </c>
      <c r="O957" s="2">
        <v>54.48</v>
      </c>
      <c r="P957" s="2" t="s">
        <v>68</v>
      </c>
      <c r="Q957" s="2" t="s">
        <v>28</v>
      </c>
      <c r="R957" s="2" t="s">
        <v>99</v>
      </c>
      <c r="S957" s="2" t="s">
        <v>75</v>
      </c>
      <c r="T957" s="2"/>
      <c r="U957" s="2" t="str">
        <f t="shared" ref="U957:U1019" si="46">IF(AND(S957="United States",T957=""),"Missing state",IF(T957="","Not Required","Valid"))</f>
        <v>Not Required</v>
      </c>
      <c r="V957" s="2" t="s">
        <v>716</v>
      </c>
    </row>
    <row r="958" spans="1:22" hidden="1" x14ac:dyDescent="0.3">
      <c r="A958" s="2" t="s">
        <v>2754</v>
      </c>
      <c r="B958" s="12">
        <f t="shared" si="45"/>
        <v>46238.587751793981</v>
      </c>
      <c r="C958" s="13">
        <v>46238.587751793981</v>
      </c>
      <c r="D958" s="2" t="s">
        <v>2755</v>
      </c>
      <c r="E958" s="2" t="str">
        <f t="shared" si="44"/>
        <v>Email Available</v>
      </c>
      <c r="F958" s="2" t="s">
        <v>2756</v>
      </c>
      <c r="G958" s="2" t="s">
        <v>65</v>
      </c>
      <c r="H958" s="2" t="s">
        <v>49</v>
      </c>
      <c r="I958" s="2" t="s">
        <v>66</v>
      </c>
      <c r="J958" s="2">
        <v>1</v>
      </c>
      <c r="K958" s="2">
        <v>14.99</v>
      </c>
      <c r="L958" s="2" t="s">
        <v>39</v>
      </c>
      <c r="M958" s="2">
        <v>0</v>
      </c>
      <c r="N958" s="2">
        <v>0</v>
      </c>
      <c r="O958" s="2" t="s">
        <v>1485</v>
      </c>
      <c r="P958" s="2" t="s">
        <v>27</v>
      </c>
      <c r="Q958" s="2" t="s">
        <v>114</v>
      </c>
      <c r="R958" s="2" t="s">
        <v>52</v>
      </c>
      <c r="S958" s="2" t="s">
        <v>30</v>
      </c>
      <c r="T958" s="2" t="s">
        <v>347</v>
      </c>
      <c r="U958" s="2" t="str">
        <f t="shared" si="46"/>
        <v>Valid</v>
      </c>
      <c r="V958" s="2" t="s">
        <v>2019</v>
      </c>
    </row>
    <row r="959" spans="1:22" hidden="1" x14ac:dyDescent="0.3">
      <c r="A959" s="2" t="s">
        <v>2757</v>
      </c>
      <c r="B959" s="12">
        <f t="shared" si="45"/>
        <v>46120</v>
      </c>
      <c r="C959" s="13" t="s">
        <v>142</v>
      </c>
      <c r="D959" s="2" t="s">
        <v>280</v>
      </c>
      <c r="E959" s="2" t="str">
        <f t="shared" si="44"/>
        <v>Email Available</v>
      </c>
      <c r="F959" s="2" t="s">
        <v>281</v>
      </c>
      <c r="G959" s="2" t="s">
        <v>105</v>
      </c>
      <c r="H959" s="2" t="s">
        <v>106</v>
      </c>
      <c r="I959" s="2" t="s">
        <v>107</v>
      </c>
      <c r="J959" s="2">
        <v>1</v>
      </c>
      <c r="K959" s="2">
        <v>19.989999999999998</v>
      </c>
      <c r="L959" s="2" t="s">
        <v>121</v>
      </c>
      <c r="M959" s="2">
        <v>5</v>
      </c>
      <c r="N959" s="2">
        <v>7.99</v>
      </c>
      <c r="O959" s="2">
        <v>22.98</v>
      </c>
      <c r="P959" s="2" t="s">
        <v>51</v>
      </c>
      <c r="Q959" s="2" t="s">
        <v>114</v>
      </c>
      <c r="R959" s="2" t="s">
        <v>42</v>
      </c>
      <c r="S959" s="2" t="s">
        <v>75</v>
      </c>
      <c r="T959" s="2"/>
      <c r="U959" s="2" t="str">
        <f t="shared" si="46"/>
        <v>Not Required</v>
      </c>
      <c r="V959" s="2" t="s">
        <v>2758</v>
      </c>
    </row>
    <row r="960" spans="1:22" hidden="1" x14ac:dyDescent="0.3">
      <c r="A960" s="2" t="s">
        <v>2759</v>
      </c>
      <c r="B960" s="12">
        <f t="shared" si="45"/>
        <v>46238.58204267361</v>
      </c>
      <c r="C960" s="13">
        <v>46238.58204267361</v>
      </c>
      <c r="D960" s="2" t="s">
        <v>125</v>
      </c>
      <c r="E960" s="2" t="str">
        <f t="shared" si="44"/>
        <v>Email Available</v>
      </c>
      <c r="F960" s="2" t="s">
        <v>126</v>
      </c>
      <c r="G960" s="2" t="s">
        <v>284</v>
      </c>
      <c r="H960" s="2" t="s">
        <v>23</v>
      </c>
      <c r="I960" s="2" t="s">
        <v>285</v>
      </c>
      <c r="J960" s="2">
        <v>1</v>
      </c>
      <c r="K960" s="2">
        <v>24.99</v>
      </c>
      <c r="L960" s="2"/>
      <c r="M960" s="2">
        <v>0</v>
      </c>
      <c r="N960" s="2">
        <v>5.99</v>
      </c>
      <c r="O960" s="2">
        <v>30.98</v>
      </c>
      <c r="P960" s="2" t="s">
        <v>51</v>
      </c>
      <c r="Q960" s="2" t="s">
        <v>90</v>
      </c>
      <c r="R960" s="2" t="s">
        <v>52</v>
      </c>
      <c r="S960" s="2" t="s">
        <v>43</v>
      </c>
      <c r="T960" s="2"/>
      <c r="U960" s="2" t="str">
        <f t="shared" si="46"/>
        <v>Not Required</v>
      </c>
      <c r="V960" s="2" t="s">
        <v>2760</v>
      </c>
    </row>
    <row r="961" spans="1:22" hidden="1" x14ac:dyDescent="0.3">
      <c r="A961" s="2" t="s">
        <v>2761</v>
      </c>
      <c r="B961" s="12">
        <f t="shared" si="45"/>
        <v>46238.584686412039</v>
      </c>
      <c r="C961" s="13">
        <v>46238.584686412039</v>
      </c>
      <c r="D961" s="2" t="s">
        <v>2318</v>
      </c>
      <c r="E961" s="2" t="str">
        <f t="shared" si="44"/>
        <v>Email Available</v>
      </c>
      <c r="F961" s="2" t="s">
        <v>2319</v>
      </c>
      <c r="G961" s="2" t="s">
        <v>105</v>
      </c>
      <c r="H961" s="2" t="s">
        <v>106</v>
      </c>
      <c r="I961" s="2" t="s">
        <v>107</v>
      </c>
      <c r="J961" s="2">
        <v>1</v>
      </c>
      <c r="K961" s="2">
        <v>19.989999999999998</v>
      </c>
      <c r="L961" s="2"/>
      <c r="M961" s="2">
        <v>0</v>
      </c>
      <c r="N961" s="2">
        <v>5.99</v>
      </c>
      <c r="O961" s="2">
        <v>25.98</v>
      </c>
      <c r="P961" s="2" t="s">
        <v>40</v>
      </c>
      <c r="Q961" s="2" t="s">
        <v>90</v>
      </c>
      <c r="R961" s="2" t="s">
        <v>52</v>
      </c>
      <c r="S961" s="2" t="s">
        <v>108</v>
      </c>
      <c r="T961" s="2"/>
      <c r="U961" s="2" t="str">
        <f t="shared" si="46"/>
        <v>Not Required</v>
      </c>
      <c r="V961" s="2" t="s">
        <v>2762</v>
      </c>
    </row>
    <row r="962" spans="1:22" hidden="1" x14ac:dyDescent="0.3">
      <c r="A962" s="2" t="s">
        <v>2763</v>
      </c>
      <c r="B962" s="12">
        <f t="shared" si="45"/>
        <v>46238.579873425922</v>
      </c>
      <c r="C962" s="13">
        <v>46238.579873425922</v>
      </c>
      <c r="D962" s="2" t="s">
        <v>461</v>
      </c>
      <c r="E962" s="2" t="str">
        <f t="shared" si="44"/>
        <v>Email Available</v>
      </c>
      <c r="F962" s="2" t="s">
        <v>462</v>
      </c>
      <c r="G962" s="2" t="s">
        <v>171</v>
      </c>
      <c r="H962" s="2" t="s">
        <v>106</v>
      </c>
      <c r="I962" s="2" t="s">
        <v>172</v>
      </c>
      <c r="J962" s="2">
        <v>2</v>
      </c>
      <c r="K962" s="2">
        <v>32.99</v>
      </c>
      <c r="L962" s="2" t="s">
        <v>39</v>
      </c>
      <c r="M962" s="2">
        <v>0</v>
      </c>
      <c r="N962" s="2">
        <v>0</v>
      </c>
      <c r="O962" s="2">
        <v>65.98</v>
      </c>
      <c r="P962" s="2" t="s">
        <v>74</v>
      </c>
      <c r="Q962" s="2" t="s">
        <v>28</v>
      </c>
      <c r="R962" s="2" t="s">
        <v>52</v>
      </c>
      <c r="S962" s="2" t="s">
        <v>337</v>
      </c>
      <c r="T962" s="2"/>
      <c r="U962" s="2" t="str">
        <f t="shared" si="46"/>
        <v>Not Required</v>
      </c>
      <c r="V962" s="2" t="s">
        <v>2764</v>
      </c>
    </row>
    <row r="963" spans="1:22" hidden="1" x14ac:dyDescent="0.3">
      <c r="A963" s="2" t="s">
        <v>2765</v>
      </c>
      <c r="B963" s="12">
        <f t="shared" si="45"/>
        <v>46238</v>
      </c>
      <c r="C963" s="13" t="s">
        <v>2075</v>
      </c>
      <c r="D963" s="2" t="s">
        <v>764</v>
      </c>
      <c r="E963" s="2" t="str">
        <f t="shared" ref="E963:E1026" si="47">IF(TRIM(F963)="","Missing Email","Email Available")</f>
        <v>Email Available</v>
      </c>
      <c r="F963" s="2" t="s">
        <v>765</v>
      </c>
      <c r="G963" s="2" t="s">
        <v>266</v>
      </c>
      <c r="H963" s="2" t="s">
        <v>37</v>
      </c>
      <c r="I963" s="2" t="s">
        <v>267</v>
      </c>
      <c r="J963" s="2">
        <v>2</v>
      </c>
      <c r="K963" s="2">
        <v>15.49</v>
      </c>
      <c r="L963" s="2"/>
      <c r="M963" s="2">
        <v>0</v>
      </c>
      <c r="N963" s="2">
        <v>4.99</v>
      </c>
      <c r="O963" s="2">
        <v>35.97</v>
      </c>
      <c r="P963" s="2" t="s">
        <v>40</v>
      </c>
      <c r="Q963" s="2" t="s">
        <v>28</v>
      </c>
      <c r="R963" s="2" t="s">
        <v>52</v>
      </c>
      <c r="S963" s="2" t="s">
        <v>30</v>
      </c>
      <c r="T963" s="2" t="s">
        <v>145</v>
      </c>
      <c r="U963" s="2" t="str">
        <f t="shared" si="46"/>
        <v>Valid</v>
      </c>
      <c r="V963" s="2" t="s">
        <v>2766</v>
      </c>
    </row>
    <row r="964" spans="1:22" hidden="1" x14ac:dyDescent="0.3">
      <c r="A964" s="2" t="s">
        <v>2767</v>
      </c>
      <c r="B964" s="12">
        <f t="shared" si="45"/>
        <v>46238</v>
      </c>
      <c r="C964" s="13" t="s">
        <v>148</v>
      </c>
      <c r="D964" s="2" t="s">
        <v>193</v>
      </c>
      <c r="E964" s="2" t="str">
        <f t="shared" si="47"/>
        <v>Email Available</v>
      </c>
      <c r="F964" s="2" t="s">
        <v>194</v>
      </c>
      <c r="G964" s="2" t="s">
        <v>151</v>
      </c>
      <c r="H964" s="2" t="s">
        <v>49</v>
      </c>
      <c r="I964" s="2" t="s">
        <v>152</v>
      </c>
      <c r="J964" s="2">
        <v>1</v>
      </c>
      <c r="K964" s="2">
        <v>34.99</v>
      </c>
      <c r="L964" s="2"/>
      <c r="M964" s="2">
        <v>0</v>
      </c>
      <c r="N964" s="2">
        <v>7.99</v>
      </c>
      <c r="O964" s="2">
        <v>42.98</v>
      </c>
      <c r="P964" s="2" t="s">
        <v>27</v>
      </c>
      <c r="Q964" s="2" t="s">
        <v>28</v>
      </c>
      <c r="R964" s="2" t="s">
        <v>52</v>
      </c>
      <c r="S964" s="2" t="s">
        <v>30</v>
      </c>
      <c r="T964" s="2" t="s">
        <v>115</v>
      </c>
      <c r="U964" s="2" t="str">
        <f t="shared" si="46"/>
        <v>Valid</v>
      </c>
      <c r="V964" s="2" t="s">
        <v>1452</v>
      </c>
    </row>
    <row r="965" spans="1:22" hidden="1" x14ac:dyDescent="0.3">
      <c r="A965" s="2" t="s">
        <v>2768</v>
      </c>
      <c r="B965" s="12">
        <f t="shared" si="45"/>
        <v>46238.587764780103</v>
      </c>
      <c r="C965" s="13">
        <v>46238.587764780103</v>
      </c>
      <c r="D965" s="2" t="s">
        <v>524</v>
      </c>
      <c r="E965" s="2" t="str">
        <f t="shared" si="47"/>
        <v>Email Available</v>
      </c>
      <c r="F965" s="2" t="s">
        <v>525</v>
      </c>
      <c r="G965" s="2" t="s">
        <v>195</v>
      </c>
      <c r="H965" s="2" t="s">
        <v>196</v>
      </c>
      <c r="I965" s="2" t="s">
        <v>197</v>
      </c>
      <c r="J965" s="2">
        <v>2</v>
      </c>
      <c r="K965" s="2">
        <v>13.49</v>
      </c>
      <c r="L965" s="2" t="s">
        <v>39</v>
      </c>
      <c r="M965" s="2">
        <v>0</v>
      </c>
      <c r="N965" s="2">
        <v>0</v>
      </c>
      <c r="O965" s="2">
        <v>26.98</v>
      </c>
      <c r="P965" s="2" t="s">
        <v>51</v>
      </c>
      <c r="Q965" s="2" t="s">
        <v>28</v>
      </c>
      <c r="R965" s="2" t="s">
        <v>99</v>
      </c>
      <c r="S965" s="2" t="s">
        <v>30</v>
      </c>
      <c r="T965" s="2" t="s">
        <v>31</v>
      </c>
      <c r="U965" s="2" t="str">
        <f t="shared" si="46"/>
        <v>Valid</v>
      </c>
      <c r="V965" s="2" t="s">
        <v>2769</v>
      </c>
    </row>
    <row r="966" spans="1:22" hidden="1" x14ac:dyDescent="0.3">
      <c r="A966" s="2" t="s">
        <v>2770</v>
      </c>
      <c r="B966" s="12">
        <f t="shared" si="45"/>
        <v>46238.587868773153</v>
      </c>
      <c r="C966" s="13">
        <v>46238.587868773153</v>
      </c>
      <c r="D966" s="2" t="s">
        <v>841</v>
      </c>
      <c r="E966" s="2" t="str">
        <f t="shared" si="47"/>
        <v>Email Available</v>
      </c>
      <c r="F966" s="2" t="s">
        <v>842</v>
      </c>
      <c r="G966" s="2" t="s">
        <v>48</v>
      </c>
      <c r="H966" s="2" t="s">
        <v>49</v>
      </c>
      <c r="I966" s="2" t="s">
        <v>50</v>
      </c>
      <c r="J966" s="2">
        <v>1</v>
      </c>
      <c r="K966" s="2">
        <v>39.99</v>
      </c>
      <c r="L966" s="2" t="s">
        <v>25</v>
      </c>
      <c r="M966" s="2">
        <v>8</v>
      </c>
      <c r="N966" s="2">
        <v>5.99</v>
      </c>
      <c r="O966" s="2">
        <v>37.979999999999997</v>
      </c>
      <c r="P966" s="2" t="s">
        <v>40</v>
      </c>
      <c r="Q966" s="2" t="s">
        <v>28</v>
      </c>
      <c r="R966" s="2" t="s">
        <v>42</v>
      </c>
      <c r="S966" s="2" t="s">
        <v>30</v>
      </c>
      <c r="T966" s="2" t="s">
        <v>145</v>
      </c>
      <c r="U966" s="2" t="str">
        <f t="shared" si="46"/>
        <v>Valid</v>
      </c>
      <c r="V966" s="2" t="s">
        <v>2771</v>
      </c>
    </row>
    <row r="967" spans="1:22" hidden="1" x14ac:dyDescent="0.3">
      <c r="A967" s="2" t="s">
        <v>2772</v>
      </c>
      <c r="B967" s="12">
        <f t="shared" si="45"/>
        <v>46120</v>
      </c>
      <c r="C967" s="13" t="s">
        <v>142</v>
      </c>
      <c r="D967" s="2" t="s">
        <v>2773</v>
      </c>
      <c r="E967" s="2" t="str">
        <f t="shared" si="47"/>
        <v>Email Available</v>
      </c>
      <c r="F967" s="2" t="s">
        <v>1298</v>
      </c>
      <c r="G967" s="2" t="s">
        <v>105</v>
      </c>
      <c r="H967" s="2" t="s">
        <v>106</v>
      </c>
      <c r="I967" s="2" t="s">
        <v>107</v>
      </c>
      <c r="J967" s="2">
        <v>1</v>
      </c>
      <c r="K967" s="2">
        <v>19.989999999999998</v>
      </c>
      <c r="L967" s="2"/>
      <c r="M967" s="2">
        <v>0</v>
      </c>
      <c r="N967" s="2">
        <v>7.99</v>
      </c>
      <c r="O967" s="2">
        <v>27.98</v>
      </c>
      <c r="P967" s="2" t="s">
        <v>51</v>
      </c>
      <c r="Q967" s="2" t="s">
        <v>114</v>
      </c>
      <c r="R967" s="2" t="s">
        <v>52</v>
      </c>
      <c r="S967" s="2" t="s">
        <v>30</v>
      </c>
      <c r="T967" s="2" t="s">
        <v>75</v>
      </c>
      <c r="U967" s="2" t="str">
        <f t="shared" si="46"/>
        <v>Valid</v>
      </c>
      <c r="V967" s="2" t="s">
        <v>2774</v>
      </c>
    </row>
    <row r="968" spans="1:22" hidden="1" x14ac:dyDescent="0.3">
      <c r="A968" s="2" t="s">
        <v>2775</v>
      </c>
      <c r="B968" s="12">
        <f t="shared" si="45"/>
        <v>46238.58417347222</v>
      </c>
      <c r="C968" s="13">
        <v>46238.58417347222</v>
      </c>
      <c r="D968" s="2" t="s">
        <v>585</v>
      </c>
      <c r="E968" s="2" t="str">
        <f t="shared" si="47"/>
        <v>Email Available</v>
      </c>
      <c r="F968" s="2" t="s">
        <v>586</v>
      </c>
      <c r="G968" s="2" t="s">
        <v>206</v>
      </c>
      <c r="H968" s="2" t="s">
        <v>196</v>
      </c>
      <c r="I968" s="2" t="s">
        <v>207</v>
      </c>
      <c r="J968" s="2">
        <v>1</v>
      </c>
      <c r="K968" s="2">
        <v>24.99</v>
      </c>
      <c r="L968" s="2" t="s">
        <v>39</v>
      </c>
      <c r="M968" s="2">
        <v>0</v>
      </c>
      <c r="N968" s="2">
        <v>0</v>
      </c>
      <c r="O968" s="2">
        <v>24.99</v>
      </c>
      <c r="P968" s="2" t="s">
        <v>40</v>
      </c>
      <c r="Q968" s="2" t="s">
        <v>28</v>
      </c>
      <c r="R968" s="2" t="s">
        <v>29</v>
      </c>
      <c r="S968" s="2" t="s">
        <v>337</v>
      </c>
      <c r="T968" s="2"/>
      <c r="U968" s="2" t="str">
        <f t="shared" si="46"/>
        <v>Not Required</v>
      </c>
      <c r="V968" s="2" t="s">
        <v>2776</v>
      </c>
    </row>
    <row r="969" spans="1:22" hidden="1" x14ac:dyDescent="0.3">
      <c r="A969" s="2" t="s">
        <v>2777</v>
      </c>
      <c r="B969" s="12">
        <f t="shared" si="45"/>
        <v>46238.580359953703</v>
      </c>
      <c r="C969" s="13">
        <v>46238.580359953703</v>
      </c>
      <c r="D969" s="2" t="s">
        <v>524</v>
      </c>
      <c r="E969" s="2" t="str">
        <f t="shared" si="47"/>
        <v>Email Available</v>
      </c>
      <c r="F969" s="2" t="s">
        <v>525</v>
      </c>
      <c r="G969" s="2" t="s">
        <v>65</v>
      </c>
      <c r="H969" s="2" t="s">
        <v>49</v>
      </c>
      <c r="I969" s="2" t="s">
        <v>66</v>
      </c>
      <c r="J969" s="2">
        <v>1</v>
      </c>
      <c r="K969" s="2">
        <v>14.99</v>
      </c>
      <c r="L969" s="2"/>
      <c r="M969" s="2">
        <v>0</v>
      </c>
      <c r="N969" s="2">
        <v>4.99</v>
      </c>
      <c r="O969" s="2">
        <v>19.98</v>
      </c>
      <c r="P969" s="2" t="s">
        <v>27</v>
      </c>
      <c r="Q969" s="2" t="s">
        <v>28</v>
      </c>
      <c r="R969" s="2" t="s">
        <v>52</v>
      </c>
      <c r="S969" s="2" t="s">
        <v>30</v>
      </c>
      <c r="T969" s="2" t="s">
        <v>499</v>
      </c>
      <c r="U969" s="2" t="str">
        <f t="shared" si="46"/>
        <v>Valid</v>
      </c>
      <c r="V969" s="2" t="s">
        <v>2778</v>
      </c>
    </row>
    <row r="970" spans="1:22" hidden="1" x14ac:dyDescent="0.3">
      <c r="A970" s="2" t="s">
        <v>2779</v>
      </c>
      <c r="B970" s="12">
        <f t="shared" si="45"/>
        <v>46238</v>
      </c>
      <c r="C970" s="13" t="s">
        <v>2780</v>
      </c>
      <c r="D970" s="2" t="s">
        <v>181</v>
      </c>
      <c r="E970" s="2" t="str">
        <f t="shared" si="47"/>
        <v>Email Available</v>
      </c>
      <c r="F970" s="2" t="s">
        <v>182</v>
      </c>
      <c r="G970" s="2" t="s">
        <v>206</v>
      </c>
      <c r="H970" s="2" t="s">
        <v>196</v>
      </c>
      <c r="I970" s="2" t="s">
        <v>207</v>
      </c>
      <c r="J970" s="2">
        <v>1</v>
      </c>
      <c r="K970" s="2">
        <v>24.99</v>
      </c>
      <c r="L970" s="2" t="s">
        <v>121</v>
      </c>
      <c r="M970" s="2">
        <v>6.25</v>
      </c>
      <c r="N970" s="2">
        <v>4.99</v>
      </c>
      <c r="O970" s="2">
        <v>23.73</v>
      </c>
      <c r="P970" s="2" t="s">
        <v>27</v>
      </c>
      <c r="Q970" s="2" t="s">
        <v>90</v>
      </c>
      <c r="R970" s="2" t="s">
        <v>52</v>
      </c>
      <c r="S970" s="2" t="s">
        <v>30</v>
      </c>
      <c r="T970" s="2" t="s">
        <v>499</v>
      </c>
      <c r="U970" s="2" t="str">
        <f t="shared" si="46"/>
        <v>Valid</v>
      </c>
      <c r="V970" s="2" t="s">
        <v>2781</v>
      </c>
    </row>
    <row r="971" spans="1:22" hidden="1" x14ac:dyDescent="0.3">
      <c r="A971" s="2" t="s">
        <v>2782</v>
      </c>
      <c r="B971" s="12">
        <f t="shared" si="45"/>
        <v>46238</v>
      </c>
      <c r="C971" s="13" t="s">
        <v>1138</v>
      </c>
      <c r="D971" s="2" t="s">
        <v>256</v>
      </c>
      <c r="E971" s="2" t="str">
        <f t="shared" si="47"/>
        <v>Email Available</v>
      </c>
      <c r="F971" s="2" t="s">
        <v>350</v>
      </c>
      <c r="G971" s="2" t="s">
        <v>48</v>
      </c>
      <c r="H971" s="2" t="s">
        <v>49</v>
      </c>
      <c r="I971" s="2" t="s">
        <v>50</v>
      </c>
      <c r="J971" s="2">
        <v>1</v>
      </c>
      <c r="K971" s="2">
        <v>39.99</v>
      </c>
      <c r="L971" s="2"/>
      <c r="M971" s="2">
        <v>0</v>
      </c>
      <c r="N971" s="2">
        <v>7.99</v>
      </c>
      <c r="O971" s="2">
        <v>47.98</v>
      </c>
      <c r="P971" s="2" t="s">
        <v>68</v>
      </c>
      <c r="Q971" s="2" t="s">
        <v>41</v>
      </c>
      <c r="R971" s="2" t="s">
        <v>52</v>
      </c>
      <c r="S971" s="2" t="s">
        <v>30</v>
      </c>
      <c r="T971" s="2" t="s">
        <v>454</v>
      </c>
      <c r="U971" s="2" t="str">
        <f t="shared" si="46"/>
        <v>Valid</v>
      </c>
      <c r="V971" s="2" t="s">
        <v>2783</v>
      </c>
    </row>
    <row r="972" spans="1:22" hidden="1" x14ac:dyDescent="0.3">
      <c r="A972" s="2" t="s">
        <v>2784</v>
      </c>
      <c r="B972" s="12">
        <f t="shared" si="45"/>
        <v>46238.585752754632</v>
      </c>
      <c r="C972" s="13">
        <v>46238.585752754632</v>
      </c>
      <c r="D972" s="2" t="s">
        <v>975</v>
      </c>
      <c r="E972" s="2" t="str">
        <f t="shared" si="47"/>
        <v>Email Available</v>
      </c>
      <c r="F972" s="2" t="s">
        <v>976</v>
      </c>
      <c r="G972" s="2" t="s">
        <v>187</v>
      </c>
      <c r="H972" s="2" t="s">
        <v>37</v>
      </c>
      <c r="I972" s="2" t="s">
        <v>188</v>
      </c>
      <c r="J972" s="2">
        <v>2</v>
      </c>
      <c r="K972" s="2">
        <v>11.99</v>
      </c>
      <c r="L972" s="2" t="s">
        <v>121</v>
      </c>
      <c r="M972" s="2">
        <v>6</v>
      </c>
      <c r="N972" s="2">
        <v>7.99</v>
      </c>
      <c r="O972" s="2">
        <v>25.97</v>
      </c>
      <c r="P972" s="2" t="s">
        <v>51</v>
      </c>
      <c r="Q972" s="2" t="s">
        <v>28</v>
      </c>
      <c r="R972" s="2" t="s">
        <v>52</v>
      </c>
      <c r="S972" s="2" t="s">
        <v>108</v>
      </c>
      <c r="T972" s="2"/>
      <c r="U972" s="2" t="str">
        <f t="shared" si="46"/>
        <v>Not Required</v>
      </c>
      <c r="V972" s="2" t="s">
        <v>2785</v>
      </c>
    </row>
    <row r="973" spans="1:22" hidden="1" x14ac:dyDescent="0.3">
      <c r="A973" s="2" t="s">
        <v>2786</v>
      </c>
      <c r="B973" s="12">
        <f t="shared" si="45"/>
        <v>46238.586691759258</v>
      </c>
      <c r="C973" s="13">
        <v>46238.586691759258</v>
      </c>
      <c r="D973" s="2" t="s">
        <v>78</v>
      </c>
      <c r="E973" s="2" t="str">
        <f t="shared" si="47"/>
        <v>Email Available</v>
      </c>
      <c r="F973" s="2" t="s">
        <v>79</v>
      </c>
      <c r="G973" s="2" t="s">
        <v>112</v>
      </c>
      <c r="H973" s="2" t="s">
        <v>81</v>
      </c>
      <c r="I973" s="2" t="s">
        <v>113</v>
      </c>
      <c r="J973" s="2">
        <v>3</v>
      </c>
      <c r="K973" s="2">
        <v>22.99</v>
      </c>
      <c r="L973" s="2"/>
      <c r="M973" s="2">
        <v>0</v>
      </c>
      <c r="N973" s="2">
        <v>5.99</v>
      </c>
      <c r="O973" s="2" t="s">
        <v>2787</v>
      </c>
      <c r="P973" s="2" t="s">
        <v>74</v>
      </c>
      <c r="Q973" s="2" t="s">
        <v>114</v>
      </c>
      <c r="R973" s="2" t="s">
        <v>99</v>
      </c>
      <c r="S973" s="2" t="s">
        <v>75</v>
      </c>
      <c r="T973" s="2"/>
      <c r="U973" s="2" t="str">
        <f t="shared" si="46"/>
        <v>Not Required</v>
      </c>
      <c r="V973" s="2" t="s">
        <v>2788</v>
      </c>
    </row>
    <row r="974" spans="1:22" x14ac:dyDescent="0.3">
      <c r="A974" s="2" t="s">
        <v>2789</v>
      </c>
      <c r="B974" s="12">
        <f>DATE(VALUE(RIGHT(C974,4)),MATCH(LEFT(C974,3),{"Jan","Feb","Mar","Apr","May","Jun","Jul","Aug","Sep","Oct","Nov","Dec"},0),VALUE(MID(C974,5,2)))</f>
        <v>46238</v>
      </c>
      <c r="C974" s="13" t="s">
        <v>176</v>
      </c>
      <c r="D974" s="2" t="s">
        <v>1936</v>
      </c>
      <c r="E974" s="2" t="str">
        <f t="shared" si="47"/>
        <v>Missing Email</v>
      </c>
      <c r="F974" s="2"/>
      <c r="G974" s="2" t="s">
        <v>36</v>
      </c>
      <c r="H974" s="2" t="s">
        <v>37</v>
      </c>
      <c r="I974" s="2" t="s">
        <v>38</v>
      </c>
      <c r="J974" s="2">
        <v>1</v>
      </c>
      <c r="K974" s="2">
        <v>21.99</v>
      </c>
      <c r="L974" s="2"/>
      <c r="M974" s="2">
        <v>0</v>
      </c>
      <c r="N974" s="2">
        <v>4.99</v>
      </c>
      <c r="O974" s="2">
        <v>26.98</v>
      </c>
      <c r="P974" s="2" t="s">
        <v>74</v>
      </c>
      <c r="Q974" s="2" t="s">
        <v>114</v>
      </c>
      <c r="R974" s="2" t="s">
        <v>99</v>
      </c>
      <c r="S974" s="2" t="s">
        <v>108</v>
      </c>
      <c r="T974" s="2"/>
      <c r="U974" s="2" t="str">
        <f t="shared" si="46"/>
        <v>Not Required</v>
      </c>
      <c r="V974" s="2" t="s">
        <v>2790</v>
      </c>
    </row>
    <row r="975" spans="1:22" hidden="1" x14ac:dyDescent="0.3">
      <c r="A975" s="2" t="s">
        <v>2791</v>
      </c>
      <c r="B975" s="12">
        <f t="shared" si="45"/>
        <v>46238.589157187504</v>
      </c>
      <c r="C975" s="13">
        <v>46238.589157187504</v>
      </c>
      <c r="D975" s="2" t="s">
        <v>2013</v>
      </c>
      <c r="E975" s="2" t="str">
        <f t="shared" si="47"/>
        <v>Email Available</v>
      </c>
      <c r="F975" s="2" t="s">
        <v>2014</v>
      </c>
      <c r="G975" s="2" t="s">
        <v>80</v>
      </c>
      <c r="H975" s="2" t="s">
        <v>81</v>
      </c>
      <c r="I975" s="2" t="s">
        <v>82</v>
      </c>
      <c r="J975" s="2">
        <v>1</v>
      </c>
      <c r="K975" s="2">
        <v>89.99</v>
      </c>
      <c r="L975" s="2"/>
      <c r="M975" s="2">
        <v>0</v>
      </c>
      <c r="N975" s="2">
        <v>0</v>
      </c>
      <c r="O975" s="2" t="s">
        <v>579</v>
      </c>
      <c r="P975" s="2" t="s">
        <v>68</v>
      </c>
      <c r="Q975" s="2" t="s">
        <v>41</v>
      </c>
      <c r="R975" s="2" t="s">
        <v>99</v>
      </c>
      <c r="S975" s="2" t="s">
        <v>228</v>
      </c>
      <c r="T975" s="2"/>
      <c r="U975" s="2" t="str">
        <f t="shared" si="46"/>
        <v>Not Required</v>
      </c>
      <c r="V975" s="2" t="s">
        <v>2792</v>
      </c>
    </row>
    <row r="976" spans="1:22" hidden="1" x14ac:dyDescent="0.3">
      <c r="A976" s="2" t="s">
        <v>2793</v>
      </c>
      <c r="B976" s="12">
        <f t="shared" si="45"/>
        <v>46238.584108078707</v>
      </c>
      <c r="C976" s="13">
        <v>46238.584108078707</v>
      </c>
      <c r="D976" s="2" t="s">
        <v>562</v>
      </c>
      <c r="E976" s="2" t="str">
        <f t="shared" si="47"/>
        <v>Email Available</v>
      </c>
      <c r="F976" s="2" t="s">
        <v>47</v>
      </c>
      <c r="G976" s="2" t="s">
        <v>157</v>
      </c>
      <c r="H976" s="2" t="s">
        <v>37</v>
      </c>
      <c r="I976" s="2" t="s">
        <v>158</v>
      </c>
      <c r="J976" s="2">
        <v>3</v>
      </c>
      <c r="K976" s="2">
        <v>29.99</v>
      </c>
      <c r="L976" s="2"/>
      <c r="M976" s="2">
        <v>0</v>
      </c>
      <c r="N976" s="2">
        <v>0</v>
      </c>
      <c r="O976" s="2">
        <v>89.97</v>
      </c>
      <c r="P976" s="2" t="s">
        <v>51</v>
      </c>
      <c r="Q976" s="2" t="s">
        <v>114</v>
      </c>
      <c r="R976" s="2" t="s">
        <v>52</v>
      </c>
      <c r="S976" s="2" t="s">
        <v>30</v>
      </c>
      <c r="T976" s="2" t="s">
        <v>294</v>
      </c>
      <c r="U976" s="2" t="str">
        <f t="shared" si="46"/>
        <v>Valid</v>
      </c>
      <c r="V976" s="2" t="s">
        <v>2794</v>
      </c>
    </row>
    <row r="977" spans="1:22" hidden="1" x14ac:dyDescent="0.3">
      <c r="A977" s="2" t="s">
        <v>2795</v>
      </c>
      <c r="B977" s="12">
        <f t="shared" si="45"/>
        <v>46238.579124629628</v>
      </c>
      <c r="C977" s="13">
        <v>46238.579124629628</v>
      </c>
      <c r="D977" s="2" t="s">
        <v>544</v>
      </c>
      <c r="E977" s="2" t="str">
        <f t="shared" si="47"/>
        <v>Email Available</v>
      </c>
      <c r="F977" s="2" t="s">
        <v>545</v>
      </c>
      <c r="G977" s="2" t="s">
        <v>133</v>
      </c>
      <c r="H977" s="2" t="s">
        <v>106</v>
      </c>
      <c r="I977" s="2" t="s">
        <v>134</v>
      </c>
      <c r="J977" s="2">
        <v>2</v>
      </c>
      <c r="K977" s="2">
        <v>16.989999999999998</v>
      </c>
      <c r="L977" s="2" t="s">
        <v>67</v>
      </c>
      <c r="M977" s="2">
        <v>3.4</v>
      </c>
      <c r="N977" s="2">
        <v>4.99</v>
      </c>
      <c r="O977" s="2">
        <v>35.57</v>
      </c>
      <c r="P977" s="2" t="s">
        <v>68</v>
      </c>
      <c r="Q977" s="2" t="s">
        <v>41</v>
      </c>
      <c r="R977" s="2" t="s">
        <v>52</v>
      </c>
      <c r="S977" s="2" t="s">
        <v>228</v>
      </c>
      <c r="T977" s="2"/>
      <c r="U977" s="2" t="str">
        <f t="shared" si="46"/>
        <v>Not Required</v>
      </c>
      <c r="V977" s="2" t="s">
        <v>2796</v>
      </c>
    </row>
    <row r="978" spans="1:22" hidden="1" x14ac:dyDescent="0.3">
      <c r="A978" s="2" t="s">
        <v>2797</v>
      </c>
      <c r="B978" s="12">
        <f t="shared" si="45"/>
        <v>46238.579255625002</v>
      </c>
      <c r="C978" s="13">
        <v>46238.579255625002</v>
      </c>
      <c r="D978" s="2" t="s">
        <v>2185</v>
      </c>
      <c r="E978" s="2" t="str">
        <f t="shared" si="47"/>
        <v>Email Available</v>
      </c>
      <c r="F978" s="2" t="s">
        <v>2798</v>
      </c>
      <c r="G978" s="2" t="s">
        <v>133</v>
      </c>
      <c r="H978" s="2" t="s">
        <v>106</v>
      </c>
      <c r="I978" s="2" t="s">
        <v>134</v>
      </c>
      <c r="J978" s="2">
        <v>2</v>
      </c>
      <c r="K978" s="2">
        <v>16.989999999999998</v>
      </c>
      <c r="L978" s="2" t="s">
        <v>67</v>
      </c>
      <c r="M978" s="2">
        <v>3.4</v>
      </c>
      <c r="N978" s="2">
        <v>4.99</v>
      </c>
      <c r="O978" s="2">
        <v>35.57</v>
      </c>
      <c r="P978" s="2" t="s">
        <v>51</v>
      </c>
      <c r="Q978" s="2" t="s">
        <v>41</v>
      </c>
      <c r="R978" s="2" t="s">
        <v>99</v>
      </c>
      <c r="S978" s="2" t="s">
        <v>30</v>
      </c>
      <c r="T978" s="2" t="s">
        <v>53</v>
      </c>
      <c r="U978" s="2" t="str">
        <f t="shared" si="46"/>
        <v>Valid</v>
      </c>
      <c r="V978" s="2" t="s">
        <v>2799</v>
      </c>
    </row>
    <row r="979" spans="1:22" hidden="1" x14ac:dyDescent="0.3">
      <c r="A979" s="2" t="s">
        <v>2800</v>
      </c>
      <c r="B979" s="12">
        <f t="shared" si="45"/>
        <v>46238.585629259258</v>
      </c>
      <c r="C979" s="13">
        <v>46238.585629259258</v>
      </c>
      <c r="D979" s="2" t="s">
        <v>424</v>
      </c>
      <c r="E979" s="2" t="str">
        <f t="shared" si="47"/>
        <v>Email Available</v>
      </c>
      <c r="F979" s="2" t="s">
        <v>425</v>
      </c>
      <c r="G979" s="2" t="s">
        <v>266</v>
      </c>
      <c r="H979" s="2" t="s">
        <v>37</v>
      </c>
      <c r="I979" s="2" t="s">
        <v>267</v>
      </c>
      <c r="J979" s="2">
        <v>1</v>
      </c>
      <c r="K979" s="2">
        <v>15.49</v>
      </c>
      <c r="L979" s="2"/>
      <c r="M979" s="2">
        <v>0</v>
      </c>
      <c r="N979" s="2">
        <v>7.99</v>
      </c>
      <c r="O979" s="2">
        <v>23.48</v>
      </c>
      <c r="P979" s="2" t="s">
        <v>68</v>
      </c>
      <c r="Q979" s="2" t="s">
        <v>114</v>
      </c>
      <c r="R979" s="2" t="s">
        <v>52</v>
      </c>
      <c r="S979" s="2" t="s">
        <v>30</v>
      </c>
      <c r="T979" s="2" t="s">
        <v>69</v>
      </c>
      <c r="U979" s="2" t="str">
        <f t="shared" si="46"/>
        <v>Valid</v>
      </c>
      <c r="V979" s="2" t="s">
        <v>2801</v>
      </c>
    </row>
    <row r="980" spans="1:22" hidden="1" x14ac:dyDescent="0.3">
      <c r="A980" s="2" t="s">
        <v>2802</v>
      </c>
      <c r="B980" s="12">
        <f t="shared" si="45"/>
        <v>46238.579923460653</v>
      </c>
      <c r="C980" s="13">
        <v>46238.579923460653</v>
      </c>
      <c r="D980" s="2" t="s">
        <v>309</v>
      </c>
      <c r="E980" s="2" t="str">
        <f t="shared" si="47"/>
        <v>Email Available</v>
      </c>
      <c r="F980" s="2" t="s">
        <v>310</v>
      </c>
      <c r="G980" s="2" t="s">
        <v>272</v>
      </c>
      <c r="H980" s="2" t="s">
        <v>23</v>
      </c>
      <c r="I980" s="2" t="s">
        <v>273</v>
      </c>
      <c r="J980" s="2">
        <v>1</v>
      </c>
      <c r="K980" s="2">
        <v>18.989999999999998</v>
      </c>
      <c r="L980" s="2" t="s">
        <v>25</v>
      </c>
      <c r="M980" s="2">
        <v>3.8</v>
      </c>
      <c r="N980" s="2">
        <v>5.99</v>
      </c>
      <c r="O980" s="2" t="s">
        <v>2803</v>
      </c>
      <c r="P980" s="2" t="s">
        <v>74</v>
      </c>
      <c r="Q980" s="2" t="s">
        <v>114</v>
      </c>
      <c r="R980" s="2" t="s">
        <v>29</v>
      </c>
      <c r="S980" s="2" t="s">
        <v>30</v>
      </c>
      <c r="T980" s="2" t="s">
        <v>115</v>
      </c>
      <c r="U980" s="2" t="str">
        <f t="shared" si="46"/>
        <v>Valid</v>
      </c>
      <c r="V980" s="2" t="s">
        <v>2804</v>
      </c>
    </row>
    <row r="981" spans="1:22" hidden="1" x14ac:dyDescent="0.3">
      <c r="A981" s="2" t="s">
        <v>2805</v>
      </c>
      <c r="B981" s="12">
        <f t="shared" si="45"/>
        <v>46238.585247071758</v>
      </c>
      <c r="C981" s="13">
        <v>46238.585247071758</v>
      </c>
      <c r="D981" s="2" t="s">
        <v>309</v>
      </c>
      <c r="E981" s="2" t="str">
        <f t="shared" si="47"/>
        <v>Email Available</v>
      </c>
      <c r="F981" s="2" t="s">
        <v>310</v>
      </c>
      <c r="G981" s="2" t="s">
        <v>58</v>
      </c>
      <c r="H981" s="2" t="s">
        <v>23</v>
      </c>
      <c r="I981" s="2" t="s">
        <v>59</v>
      </c>
      <c r="J981" s="2">
        <v>1</v>
      </c>
      <c r="K981" s="2">
        <v>9.99</v>
      </c>
      <c r="L981" s="2" t="s">
        <v>25</v>
      </c>
      <c r="M981" s="2">
        <v>2</v>
      </c>
      <c r="N981" s="2">
        <v>4.99</v>
      </c>
      <c r="O981" s="2">
        <v>12.98</v>
      </c>
      <c r="P981" s="2" t="s">
        <v>40</v>
      </c>
      <c r="Q981" s="2" t="s">
        <v>28</v>
      </c>
      <c r="R981" s="2" t="s">
        <v>52</v>
      </c>
      <c r="S981" s="2" t="s">
        <v>30</v>
      </c>
      <c r="T981" s="2" t="s">
        <v>347</v>
      </c>
      <c r="U981" s="2" t="str">
        <f t="shared" si="46"/>
        <v>Valid</v>
      </c>
      <c r="V981" s="2" t="s">
        <v>2806</v>
      </c>
    </row>
    <row r="982" spans="1:22" hidden="1" x14ac:dyDescent="0.3">
      <c r="A982" s="2" t="s">
        <v>2807</v>
      </c>
      <c r="B982" s="12">
        <f t="shared" si="45"/>
        <v>46238.582728032408</v>
      </c>
      <c r="C982" s="13">
        <v>46238.582728032408</v>
      </c>
      <c r="D982" s="2" t="s">
        <v>2808</v>
      </c>
      <c r="E982" s="2" t="str">
        <f t="shared" si="47"/>
        <v>Email Available</v>
      </c>
      <c r="F982" s="2" t="s">
        <v>2809</v>
      </c>
      <c r="G982" s="2" t="s">
        <v>195</v>
      </c>
      <c r="H982" s="2" t="s">
        <v>196</v>
      </c>
      <c r="I982" s="2" t="s">
        <v>197</v>
      </c>
      <c r="J982" s="2">
        <v>2</v>
      </c>
      <c r="K982" s="2">
        <v>13.49</v>
      </c>
      <c r="L982" s="2"/>
      <c r="M982" s="2">
        <v>0</v>
      </c>
      <c r="N982" s="2">
        <v>4.99</v>
      </c>
      <c r="O982" s="2">
        <v>31.97</v>
      </c>
      <c r="P982" s="2" t="s">
        <v>51</v>
      </c>
      <c r="Q982" s="2" t="s">
        <v>90</v>
      </c>
      <c r="R982" s="2" t="s">
        <v>52</v>
      </c>
      <c r="S982" s="2" t="s">
        <v>108</v>
      </c>
      <c r="T982" s="2"/>
      <c r="U982" s="2" t="str">
        <f t="shared" si="46"/>
        <v>Not Required</v>
      </c>
      <c r="V982" s="2" t="s">
        <v>2810</v>
      </c>
    </row>
    <row r="983" spans="1:22" hidden="1" x14ac:dyDescent="0.3">
      <c r="A983" s="2" t="s">
        <v>2811</v>
      </c>
      <c r="B983" s="12">
        <f>DATE(VALUE(RIGHT(C983,4)),MATCH(LEFT(C983,3),{"Jan","Feb","Mar","Apr","May","Jun","Jul","Aug","Sep","Oct","Nov","Dec"},0),VALUE(MID(C983,5,2)))</f>
        <v>46238</v>
      </c>
      <c r="C983" s="13" t="s">
        <v>176</v>
      </c>
      <c r="D983" s="2" t="s">
        <v>2812</v>
      </c>
      <c r="E983" s="2" t="str">
        <f t="shared" si="47"/>
        <v>Email Available</v>
      </c>
      <c r="F983" s="2" t="s">
        <v>2813</v>
      </c>
      <c r="G983" s="2" t="s">
        <v>206</v>
      </c>
      <c r="H983" s="2" t="s">
        <v>196</v>
      </c>
      <c r="I983" s="2" t="s">
        <v>207</v>
      </c>
      <c r="J983" s="2">
        <v>3</v>
      </c>
      <c r="K983" s="2">
        <v>24.99</v>
      </c>
      <c r="L983" s="2" t="s">
        <v>25</v>
      </c>
      <c r="M983" s="2">
        <v>14.99</v>
      </c>
      <c r="N983" s="2">
        <v>5.99</v>
      </c>
      <c r="O983" s="2">
        <v>65.97</v>
      </c>
      <c r="P983" s="2" t="s">
        <v>51</v>
      </c>
      <c r="Q983" s="2" t="s">
        <v>114</v>
      </c>
      <c r="R983" s="2" t="s">
        <v>42</v>
      </c>
      <c r="S983" s="2" t="s">
        <v>30</v>
      </c>
      <c r="T983" s="2" t="s">
        <v>351</v>
      </c>
      <c r="U983" s="2" t="str">
        <f t="shared" si="46"/>
        <v>Valid</v>
      </c>
      <c r="V983" s="2" t="s">
        <v>2814</v>
      </c>
    </row>
    <row r="984" spans="1:22" hidden="1" x14ac:dyDescent="0.3">
      <c r="A984" s="2" t="s">
        <v>2815</v>
      </c>
      <c r="B984" s="12">
        <f t="shared" si="45"/>
        <v>46238.578998437501</v>
      </c>
      <c r="C984" s="13">
        <v>46238.578998437501</v>
      </c>
      <c r="D984" s="2" t="s">
        <v>2816</v>
      </c>
      <c r="E984" s="2" t="str">
        <f t="shared" si="47"/>
        <v>Email Available</v>
      </c>
      <c r="F984" s="2" t="s">
        <v>2817</v>
      </c>
      <c r="G984" s="2" t="s">
        <v>112</v>
      </c>
      <c r="H984" s="2" t="s">
        <v>81</v>
      </c>
      <c r="I984" s="2" t="s">
        <v>113</v>
      </c>
      <c r="J984" s="2">
        <v>1</v>
      </c>
      <c r="K984" s="2">
        <v>22.99</v>
      </c>
      <c r="L984" s="2"/>
      <c r="M984" s="2">
        <v>0</v>
      </c>
      <c r="N984" s="2">
        <v>5.99</v>
      </c>
      <c r="O984" s="2">
        <v>28.98</v>
      </c>
      <c r="P984" s="2" t="s">
        <v>74</v>
      </c>
      <c r="Q984" s="2" t="s">
        <v>90</v>
      </c>
      <c r="R984" s="2" t="s">
        <v>29</v>
      </c>
      <c r="S984" s="2" t="s">
        <v>30</v>
      </c>
      <c r="T984" s="2" t="s">
        <v>60</v>
      </c>
      <c r="U984" s="2" t="str">
        <f t="shared" si="46"/>
        <v>Valid</v>
      </c>
      <c r="V984" s="2" t="s">
        <v>2818</v>
      </c>
    </row>
    <row r="985" spans="1:22" hidden="1" x14ac:dyDescent="0.3">
      <c r="A985" s="2" t="s">
        <v>2819</v>
      </c>
      <c r="B985" s="12">
        <f t="shared" si="45"/>
        <v>46238.585414583336</v>
      </c>
      <c r="C985" s="13">
        <v>46238.585414583336</v>
      </c>
      <c r="D985" s="2" t="s">
        <v>466</v>
      </c>
      <c r="E985" s="2" t="str">
        <f t="shared" si="47"/>
        <v>Email Available</v>
      </c>
      <c r="F985" s="2" t="s">
        <v>467</v>
      </c>
      <c r="G985" s="2" t="s">
        <v>127</v>
      </c>
      <c r="H985" s="2" t="s">
        <v>81</v>
      </c>
      <c r="I985" s="2" t="s">
        <v>128</v>
      </c>
      <c r="J985" s="2">
        <v>1</v>
      </c>
      <c r="K985" s="2">
        <v>13.99</v>
      </c>
      <c r="L985" s="2" t="s">
        <v>25</v>
      </c>
      <c r="M985" s="2">
        <v>2.8</v>
      </c>
      <c r="N985" s="2">
        <v>5.99</v>
      </c>
      <c r="O985" s="2" t="s">
        <v>2820</v>
      </c>
      <c r="P985" s="2" t="s">
        <v>27</v>
      </c>
      <c r="Q985" s="2" t="s">
        <v>28</v>
      </c>
      <c r="R985" s="2" t="s">
        <v>29</v>
      </c>
      <c r="S985" s="2" t="s">
        <v>228</v>
      </c>
      <c r="T985" s="2"/>
      <c r="U985" s="2" t="str">
        <f t="shared" si="46"/>
        <v>Not Required</v>
      </c>
      <c r="V985" s="2" t="s">
        <v>2821</v>
      </c>
    </row>
    <row r="986" spans="1:22" hidden="1" x14ac:dyDescent="0.3">
      <c r="A986" s="2" t="s">
        <v>2822</v>
      </c>
      <c r="B986" s="12">
        <f t="shared" si="45"/>
        <v>46120</v>
      </c>
      <c r="C986" s="13" t="s">
        <v>142</v>
      </c>
      <c r="D986" s="2" t="s">
        <v>915</v>
      </c>
      <c r="E986" s="2" t="str">
        <f t="shared" si="47"/>
        <v>Email Available</v>
      </c>
      <c r="F986" s="2" t="s">
        <v>916</v>
      </c>
      <c r="G986" s="2" t="s">
        <v>80</v>
      </c>
      <c r="H986" s="2" t="s">
        <v>81</v>
      </c>
      <c r="I986" s="2" t="s">
        <v>82</v>
      </c>
      <c r="J986" s="2">
        <v>1</v>
      </c>
      <c r="K986" s="2">
        <v>89.99</v>
      </c>
      <c r="L986" s="2"/>
      <c r="M986" s="2">
        <v>0</v>
      </c>
      <c r="N986" s="2">
        <v>0</v>
      </c>
      <c r="O986" s="2">
        <v>89.99</v>
      </c>
      <c r="P986" s="2" t="s">
        <v>68</v>
      </c>
      <c r="Q986" s="2" t="s">
        <v>28</v>
      </c>
      <c r="R986" s="2" t="s">
        <v>99</v>
      </c>
      <c r="S986" s="2" t="s">
        <v>30</v>
      </c>
      <c r="T986" s="2" t="s">
        <v>53</v>
      </c>
      <c r="U986" s="2" t="str">
        <f t="shared" si="46"/>
        <v>Valid</v>
      </c>
      <c r="V986" s="2" t="s">
        <v>2823</v>
      </c>
    </row>
    <row r="987" spans="1:22" hidden="1" x14ac:dyDescent="0.3">
      <c r="A987" s="2" t="s">
        <v>2824</v>
      </c>
      <c r="B987" s="12">
        <f t="shared" si="45"/>
        <v>46238.58811892361</v>
      </c>
      <c r="C987" s="13">
        <v>46238.58811892361</v>
      </c>
      <c r="D987" s="2" t="s">
        <v>748</v>
      </c>
      <c r="E987" s="2" t="str">
        <f t="shared" si="47"/>
        <v>Email Available</v>
      </c>
      <c r="F987" s="2" t="s">
        <v>749</v>
      </c>
      <c r="G987" s="2" t="s">
        <v>58</v>
      </c>
      <c r="H987" s="2" t="s">
        <v>23</v>
      </c>
      <c r="I987" s="2" t="s">
        <v>59</v>
      </c>
      <c r="J987" s="2">
        <v>1</v>
      </c>
      <c r="K987" s="2">
        <v>9.99</v>
      </c>
      <c r="L987" s="2" t="s">
        <v>67</v>
      </c>
      <c r="M987" s="2">
        <v>1</v>
      </c>
      <c r="N987" s="2">
        <v>5.99</v>
      </c>
      <c r="O987" s="2">
        <v>14.98</v>
      </c>
      <c r="P987" s="2" t="s">
        <v>27</v>
      </c>
      <c r="Q987" s="2" t="s">
        <v>28</v>
      </c>
      <c r="R987" s="2" t="s">
        <v>42</v>
      </c>
      <c r="S987" s="2" t="s">
        <v>108</v>
      </c>
      <c r="T987" s="2"/>
      <c r="U987" s="2" t="str">
        <f t="shared" si="46"/>
        <v>Not Required</v>
      </c>
      <c r="V987" s="2" t="s">
        <v>2825</v>
      </c>
    </row>
    <row r="988" spans="1:22" hidden="1" x14ac:dyDescent="0.3">
      <c r="A988" s="2" t="s">
        <v>2826</v>
      </c>
      <c r="B988" s="12">
        <f t="shared" si="45"/>
        <v>46238.583406770827</v>
      </c>
      <c r="C988" s="13">
        <v>46238.583406770827</v>
      </c>
      <c r="D988" s="2" t="s">
        <v>1089</v>
      </c>
      <c r="E988" s="2" t="str">
        <f t="shared" si="47"/>
        <v>Email Available</v>
      </c>
      <c r="F988" s="2" t="s">
        <v>595</v>
      </c>
      <c r="G988" s="2" t="s">
        <v>226</v>
      </c>
      <c r="H988" s="2" t="s">
        <v>23</v>
      </c>
      <c r="I988" s="2" t="s">
        <v>227</v>
      </c>
      <c r="J988" s="2">
        <v>1</v>
      </c>
      <c r="K988" s="2">
        <v>17.989999999999998</v>
      </c>
      <c r="L988" s="2" t="s">
        <v>25</v>
      </c>
      <c r="M988" s="2" t="s">
        <v>715</v>
      </c>
      <c r="N988" s="2">
        <v>4.99</v>
      </c>
      <c r="O988" s="2" t="s">
        <v>2827</v>
      </c>
      <c r="P988" s="2" t="s">
        <v>74</v>
      </c>
      <c r="Q988" s="2" t="s">
        <v>114</v>
      </c>
      <c r="R988" s="2" t="s">
        <v>52</v>
      </c>
      <c r="S988" s="2" t="s">
        <v>30</v>
      </c>
      <c r="T988" s="2" t="s">
        <v>53</v>
      </c>
      <c r="U988" s="2" t="str">
        <f t="shared" si="46"/>
        <v>Valid</v>
      </c>
      <c r="V988" s="2" t="s">
        <v>2828</v>
      </c>
    </row>
    <row r="989" spans="1:22" hidden="1" x14ac:dyDescent="0.3">
      <c r="A989" s="2" t="s">
        <v>2829</v>
      </c>
      <c r="B989" s="12">
        <f t="shared" si="45"/>
        <v>46238.588991550932</v>
      </c>
      <c r="C989" s="13">
        <v>46238.588991550932</v>
      </c>
      <c r="D989" s="2" t="s">
        <v>651</v>
      </c>
      <c r="E989" s="2" t="str">
        <f t="shared" si="47"/>
        <v>Email Available</v>
      </c>
      <c r="F989" s="2" t="s">
        <v>652</v>
      </c>
      <c r="G989" s="2" t="s">
        <v>120</v>
      </c>
      <c r="H989" s="2" t="s">
        <v>23</v>
      </c>
      <c r="I989" s="2" t="s">
        <v>24</v>
      </c>
      <c r="J989" s="2">
        <v>1</v>
      </c>
      <c r="K989" s="2">
        <v>12.99</v>
      </c>
      <c r="L989" s="2"/>
      <c r="M989" s="2">
        <v>0</v>
      </c>
      <c r="N989" s="2">
        <v>7.99</v>
      </c>
      <c r="O989" s="2">
        <v>20.98</v>
      </c>
      <c r="P989" s="2" t="s">
        <v>68</v>
      </c>
      <c r="Q989" s="2" t="s">
        <v>28</v>
      </c>
      <c r="R989" s="2" t="s">
        <v>29</v>
      </c>
      <c r="S989" s="2" t="s">
        <v>30</v>
      </c>
      <c r="T989" s="2" t="s">
        <v>115</v>
      </c>
      <c r="U989" s="2" t="str">
        <f t="shared" si="46"/>
        <v>Valid</v>
      </c>
      <c r="V989" s="2" t="s">
        <v>2830</v>
      </c>
    </row>
    <row r="990" spans="1:22" hidden="1" x14ac:dyDescent="0.3">
      <c r="A990" s="2" t="s">
        <v>2831</v>
      </c>
      <c r="B990" s="12">
        <f t="shared" si="45"/>
        <v>46238.587378807868</v>
      </c>
      <c r="C990" s="13">
        <v>46238.587378807868</v>
      </c>
      <c r="D990" s="2" t="s">
        <v>1645</v>
      </c>
      <c r="E990" s="2" t="str">
        <f t="shared" si="47"/>
        <v>Email Available</v>
      </c>
      <c r="F990" s="2" t="s">
        <v>1553</v>
      </c>
      <c r="G990" s="2" t="s">
        <v>36</v>
      </c>
      <c r="H990" s="2" t="s">
        <v>37</v>
      </c>
      <c r="I990" s="2" t="s">
        <v>38</v>
      </c>
      <c r="J990" s="2">
        <v>2</v>
      </c>
      <c r="K990" s="2">
        <v>21.99</v>
      </c>
      <c r="L990" s="2" t="s">
        <v>25</v>
      </c>
      <c r="M990" s="2">
        <v>8.8000000000000007</v>
      </c>
      <c r="N990" s="2">
        <v>5.99</v>
      </c>
      <c r="O990" s="2">
        <v>41.17</v>
      </c>
      <c r="P990" s="2" t="s">
        <v>40</v>
      </c>
      <c r="Q990" s="2" t="s">
        <v>90</v>
      </c>
      <c r="R990" s="2" t="s">
        <v>29</v>
      </c>
      <c r="S990" s="2" t="s">
        <v>75</v>
      </c>
      <c r="T990" s="2"/>
      <c r="U990" s="2" t="str">
        <f t="shared" si="46"/>
        <v>Not Required</v>
      </c>
      <c r="V990" s="2" t="s">
        <v>2832</v>
      </c>
    </row>
    <row r="991" spans="1:22" hidden="1" x14ac:dyDescent="0.3">
      <c r="A991" s="2" t="s">
        <v>2833</v>
      </c>
      <c r="B991" s="12">
        <f t="shared" si="45"/>
        <v>46238.581965868063</v>
      </c>
      <c r="C991" s="13">
        <v>46238.581965868063</v>
      </c>
      <c r="D991" s="2" t="s">
        <v>585</v>
      </c>
      <c r="E991" s="2" t="str">
        <f t="shared" si="47"/>
        <v>Email Available</v>
      </c>
      <c r="F991" s="2" t="s">
        <v>586</v>
      </c>
      <c r="G991" s="2" t="s">
        <v>206</v>
      </c>
      <c r="H991" s="2" t="s">
        <v>196</v>
      </c>
      <c r="I991" s="2" t="s">
        <v>207</v>
      </c>
      <c r="J991" s="2">
        <v>1</v>
      </c>
      <c r="K991" s="2">
        <v>24.99</v>
      </c>
      <c r="L991" s="2"/>
      <c r="M991" s="2">
        <v>0</v>
      </c>
      <c r="N991" s="2">
        <v>7.99</v>
      </c>
      <c r="O991" s="2">
        <v>32.979999999999997</v>
      </c>
      <c r="P991" s="2" t="s">
        <v>27</v>
      </c>
      <c r="Q991" s="2" t="s">
        <v>41</v>
      </c>
      <c r="R991" s="2" t="s">
        <v>99</v>
      </c>
      <c r="S991" s="2" t="s">
        <v>337</v>
      </c>
      <c r="T991" s="2"/>
      <c r="U991" s="2" t="str">
        <f t="shared" si="46"/>
        <v>Not Required</v>
      </c>
      <c r="V991" s="2" t="s">
        <v>2834</v>
      </c>
    </row>
    <row r="992" spans="1:22" hidden="1" x14ac:dyDescent="0.3">
      <c r="A992" s="2" t="s">
        <v>2835</v>
      </c>
      <c r="B992" s="12">
        <f t="shared" si="45"/>
        <v>46238.584404872687</v>
      </c>
      <c r="C992" s="13">
        <v>46238.584404872687</v>
      </c>
      <c r="D992" s="2" t="s">
        <v>1045</v>
      </c>
      <c r="E992" s="2" t="str">
        <f t="shared" si="47"/>
        <v>Email Available</v>
      </c>
      <c r="F992" s="2" t="s">
        <v>1046</v>
      </c>
      <c r="G992" s="2" t="s">
        <v>48</v>
      </c>
      <c r="H992" s="2" t="s">
        <v>49</v>
      </c>
      <c r="I992" s="2" t="s">
        <v>50</v>
      </c>
      <c r="J992" s="2">
        <v>2</v>
      </c>
      <c r="K992" s="2">
        <v>39.99</v>
      </c>
      <c r="L992" s="2"/>
      <c r="M992" s="2">
        <v>0</v>
      </c>
      <c r="N992" s="2">
        <v>0</v>
      </c>
      <c r="O992" s="2">
        <v>79.98</v>
      </c>
      <c r="P992" s="2" t="s">
        <v>51</v>
      </c>
      <c r="Q992" s="2" t="s">
        <v>28</v>
      </c>
      <c r="R992" s="2" t="s">
        <v>52</v>
      </c>
      <c r="S992" s="2" t="s">
        <v>30</v>
      </c>
      <c r="T992" s="2" t="s">
        <v>31</v>
      </c>
      <c r="U992" s="2" t="str">
        <f t="shared" si="46"/>
        <v>Valid</v>
      </c>
      <c r="V992" s="2" t="s">
        <v>2836</v>
      </c>
    </row>
    <row r="993" spans="1:22" hidden="1" x14ac:dyDescent="0.3">
      <c r="A993" s="2" t="s">
        <v>2837</v>
      </c>
      <c r="B993" s="12">
        <f t="shared" si="45"/>
        <v>46120</v>
      </c>
      <c r="C993" s="13" t="s">
        <v>142</v>
      </c>
      <c r="D993" s="2" t="s">
        <v>1098</v>
      </c>
      <c r="E993" s="2" t="str">
        <f t="shared" si="47"/>
        <v>Email Available</v>
      </c>
      <c r="F993" s="2" t="s">
        <v>1099</v>
      </c>
      <c r="G993" s="2" t="s">
        <v>65</v>
      </c>
      <c r="H993" s="2" t="s">
        <v>49</v>
      </c>
      <c r="I993" s="2" t="s">
        <v>453</v>
      </c>
      <c r="J993" s="2">
        <v>1</v>
      </c>
      <c r="K993" s="2">
        <v>14.99</v>
      </c>
      <c r="L993" s="2" t="s">
        <v>208</v>
      </c>
      <c r="M993" s="2">
        <v>2.25</v>
      </c>
      <c r="N993" s="2">
        <v>5.99</v>
      </c>
      <c r="O993" s="2">
        <v>18.73</v>
      </c>
      <c r="P993" s="2" t="s">
        <v>74</v>
      </c>
      <c r="Q993" s="2" t="s">
        <v>90</v>
      </c>
      <c r="R993" s="2" t="s">
        <v>52</v>
      </c>
      <c r="S993" s="2" t="s">
        <v>30</v>
      </c>
      <c r="T993" s="2" t="s">
        <v>91</v>
      </c>
      <c r="U993" s="2" t="str">
        <f t="shared" si="46"/>
        <v>Valid</v>
      </c>
      <c r="V993" s="2" t="s">
        <v>2838</v>
      </c>
    </row>
    <row r="994" spans="1:22" hidden="1" x14ac:dyDescent="0.3">
      <c r="A994" s="2" t="s">
        <v>2839</v>
      </c>
      <c r="B994" s="12">
        <f t="shared" si="45"/>
        <v>46238.589007037037</v>
      </c>
      <c r="C994" s="13">
        <v>46238.589007037037</v>
      </c>
      <c r="D994" s="2" t="s">
        <v>2840</v>
      </c>
      <c r="E994" s="2" t="str">
        <f t="shared" si="47"/>
        <v>Email Available</v>
      </c>
      <c r="F994" s="2" t="s">
        <v>634</v>
      </c>
      <c r="G994" s="2" t="s">
        <v>241</v>
      </c>
      <c r="H994" s="2" t="s">
        <v>242</v>
      </c>
      <c r="I994" s="2" t="s">
        <v>243</v>
      </c>
      <c r="J994" s="2">
        <v>1</v>
      </c>
      <c r="K994" s="2">
        <v>27.99</v>
      </c>
      <c r="L994" s="2" t="s">
        <v>121</v>
      </c>
      <c r="M994" s="2">
        <v>7</v>
      </c>
      <c r="N994" s="2">
        <v>4.99</v>
      </c>
      <c r="O994" s="2">
        <v>25.98</v>
      </c>
      <c r="P994" s="2" t="s">
        <v>51</v>
      </c>
      <c r="Q994" s="2" t="s">
        <v>114</v>
      </c>
      <c r="R994" s="2" t="s">
        <v>29</v>
      </c>
      <c r="S994" s="2" t="s">
        <v>30</v>
      </c>
      <c r="T994" s="2" t="s">
        <v>145</v>
      </c>
      <c r="U994" s="2" t="str">
        <f t="shared" si="46"/>
        <v>Valid</v>
      </c>
      <c r="V994" s="2" t="s">
        <v>2841</v>
      </c>
    </row>
    <row r="995" spans="1:22" hidden="1" x14ac:dyDescent="0.3">
      <c r="A995" s="2" t="s">
        <v>2842</v>
      </c>
      <c r="B995" s="12">
        <f t="shared" si="45"/>
        <v>46238.581046331019</v>
      </c>
      <c r="C995" s="13">
        <v>46238.581046331019</v>
      </c>
      <c r="D995" s="2" t="s">
        <v>2843</v>
      </c>
      <c r="E995" s="2" t="str">
        <f t="shared" si="47"/>
        <v>Email Available</v>
      </c>
      <c r="F995" s="2" t="s">
        <v>374</v>
      </c>
      <c r="G995" s="2" t="s">
        <v>65</v>
      </c>
      <c r="H995" s="2" t="s">
        <v>49</v>
      </c>
      <c r="I995" s="2" t="s">
        <v>453</v>
      </c>
      <c r="J995" s="2">
        <v>1</v>
      </c>
      <c r="K995" s="2">
        <v>14.99</v>
      </c>
      <c r="L995" s="2" t="s">
        <v>39</v>
      </c>
      <c r="M995" s="2">
        <v>0</v>
      </c>
      <c r="N995" s="2">
        <v>0</v>
      </c>
      <c r="O995" s="2">
        <v>14.99</v>
      </c>
      <c r="P995" s="2" t="s">
        <v>74</v>
      </c>
      <c r="Q995" s="2" t="s">
        <v>28</v>
      </c>
      <c r="R995" s="2" t="s">
        <v>52</v>
      </c>
      <c r="S995" s="2" t="s">
        <v>337</v>
      </c>
      <c r="T995" s="2"/>
      <c r="U995" s="2" t="str">
        <f t="shared" si="46"/>
        <v>Not Required</v>
      </c>
      <c r="V995" s="2" t="s">
        <v>2844</v>
      </c>
    </row>
    <row r="996" spans="1:22" hidden="1" x14ac:dyDescent="0.3">
      <c r="A996" s="2" t="s">
        <v>2845</v>
      </c>
      <c r="B996" s="12">
        <f t="shared" si="45"/>
        <v>46238.580531805557</v>
      </c>
      <c r="C996" s="13">
        <v>46238.580531805557</v>
      </c>
      <c r="D996" s="2" t="s">
        <v>345</v>
      </c>
      <c r="E996" s="2" t="str">
        <f t="shared" si="47"/>
        <v>Email Available</v>
      </c>
      <c r="F996" s="2" t="s">
        <v>452</v>
      </c>
      <c r="G996" s="2" t="s">
        <v>65</v>
      </c>
      <c r="H996" s="2" t="s">
        <v>49</v>
      </c>
      <c r="I996" s="2" t="s">
        <v>453</v>
      </c>
      <c r="J996" s="2">
        <v>2</v>
      </c>
      <c r="K996" s="2">
        <v>14.99</v>
      </c>
      <c r="L996" s="2" t="s">
        <v>208</v>
      </c>
      <c r="M996" s="2">
        <v>4.5</v>
      </c>
      <c r="N996" s="2">
        <v>5.99</v>
      </c>
      <c r="O996" s="2">
        <v>31.47</v>
      </c>
      <c r="P996" s="2" t="s">
        <v>68</v>
      </c>
      <c r="Q996" s="2" t="s">
        <v>41</v>
      </c>
      <c r="R996" s="2" t="s">
        <v>99</v>
      </c>
      <c r="S996" s="2" t="s">
        <v>30</v>
      </c>
      <c r="T996" s="2" t="s">
        <v>347</v>
      </c>
      <c r="U996" s="2" t="str">
        <f t="shared" si="46"/>
        <v>Valid</v>
      </c>
      <c r="V996" s="2" t="s">
        <v>2846</v>
      </c>
    </row>
    <row r="997" spans="1:22" hidden="1" x14ac:dyDescent="0.3">
      <c r="A997" s="2" t="s">
        <v>2847</v>
      </c>
      <c r="B997" s="12">
        <f t="shared" si="45"/>
        <v>46238.584556296293</v>
      </c>
      <c r="C997" s="13">
        <v>46238.584556296293</v>
      </c>
      <c r="D997" s="2" t="s">
        <v>569</v>
      </c>
      <c r="E997" s="2" t="str">
        <f t="shared" si="47"/>
        <v>Email Available</v>
      </c>
      <c r="F997" s="2" t="s">
        <v>570</v>
      </c>
      <c r="G997" s="2" t="s">
        <v>241</v>
      </c>
      <c r="H997" s="2" t="s">
        <v>242</v>
      </c>
      <c r="I997" s="2" t="s">
        <v>243</v>
      </c>
      <c r="J997" s="2">
        <v>1</v>
      </c>
      <c r="K997" s="2">
        <v>27.99</v>
      </c>
      <c r="L997" s="2"/>
      <c r="M997" s="2">
        <v>0</v>
      </c>
      <c r="N997" s="2">
        <v>7.99</v>
      </c>
      <c r="O997" s="2">
        <v>35.979999999999997</v>
      </c>
      <c r="P997" s="2" t="s">
        <v>51</v>
      </c>
      <c r="Q997" s="2" t="s">
        <v>41</v>
      </c>
      <c r="R997" s="2" t="s">
        <v>52</v>
      </c>
      <c r="S997" s="2" t="s">
        <v>337</v>
      </c>
      <c r="T997" s="2"/>
      <c r="U997" s="2" t="str">
        <f t="shared" si="46"/>
        <v>Not Required</v>
      </c>
      <c r="V997" s="2" t="s">
        <v>2848</v>
      </c>
    </row>
    <row r="998" spans="1:22" hidden="1" x14ac:dyDescent="0.3">
      <c r="A998" s="2" t="s">
        <v>2849</v>
      </c>
      <c r="B998" s="12">
        <f t="shared" si="45"/>
        <v>46238.582583750002</v>
      </c>
      <c r="C998" s="13">
        <v>46238.582583750002</v>
      </c>
      <c r="D998" s="2" t="s">
        <v>2850</v>
      </c>
      <c r="E998" s="2" t="str">
        <f t="shared" si="47"/>
        <v>Email Available</v>
      </c>
      <c r="F998" s="2" t="s">
        <v>2851</v>
      </c>
      <c r="G998" s="2" t="s">
        <v>187</v>
      </c>
      <c r="H998" s="2" t="s">
        <v>37</v>
      </c>
      <c r="I998" s="2" t="s">
        <v>188</v>
      </c>
      <c r="J998" s="2">
        <v>3</v>
      </c>
      <c r="K998" s="2">
        <v>11.99</v>
      </c>
      <c r="L998" s="2"/>
      <c r="M998" s="2">
        <v>0</v>
      </c>
      <c r="N998" s="2">
        <v>5.99</v>
      </c>
      <c r="O998" s="2">
        <v>41.96</v>
      </c>
      <c r="P998" s="2" t="s">
        <v>68</v>
      </c>
      <c r="Q998" s="2" t="s">
        <v>28</v>
      </c>
      <c r="R998" s="2" t="s">
        <v>52</v>
      </c>
      <c r="S998" s="2" t="s">
        <v>108</v>
      </c>
      <c r="T998" s="2"/>
      <c r="U998" s="2" t="str">
        <f t="shared" si="46"/>
        <v>Not Required</v>
      </c>
      <c r="V998" s="2" t="s">
        <v>2852</v>
      </c>
    </row>
    <row r="999" spans="1:22" hidden="1" x14ac:dyDescent="0.3">
      <c r="A999" s="2" t="s">
        <v>2853</v>
      </c>
      <c r="B999" s="12">
        <f t="shared" si="45"/>
        <v>46238.588335069442</v>
      </c>
      <c r="C999" s="13">
        <v>46238.588335069442</v>
      </c>
      <c r="D999" s="2" t="s">
        <v>853</v>
      </c>
      <c r="E999" s="2" t="str">
        <f t="shared" si="47"/>
        <v>Email Available</v>
      </c>
      <c r="F999" s="2" t="s">
        <v>854</v>
      </c>
      <c r="G999" s="2" t="s">
        <v>368</v>
      </c>
      <c r="H999" s="2" t="s">
        <v>88</v>
      </c>
      <c r="I999" s="2" t="s">
        <v>369</v>
      </c>
      <c r="J999" s="2">
        <v>1</v>
      </c>
      <c r="K999" s="2">
        <v>54.99</v>
      </c>
      <c r="L999" s="2" t="s">
        <v>67</v>
      </c>
      <c r="M999" s="2" t="s">
        <v>1524</v>
      </c>
      <c r="N999" s="2">
        <v>7.99</v>
      </c>
      <c r="O999" s="2">
        <v>57.48</v>
      </c>
      <c r="P999" s="2" t="s">
        <v>40</v>
      </c>
      <c r="Q999" s="2" t="s">
        <v>41</v>
      </c>
      <c r="R999" s="2" t="s">
        <v>29</v>
      </c>
      <c r="S999" s="2" t="s">
        <v>30</v>
      </c>
      <c r="T999" s="2" t="s">
        <v>31</v>
      </c>
      <c r="U999" s="2" t="str">
        <f t="shared" si="46"/>
        <v>Valid</v>
      </c>
      <c r="V999" s="2" t="s">
        <v>2854</v>
      </c>
    </row>
    <row r="1000" spans="1:22" hidden="1" x14ac:dyDescent="0.3">
      <c r="A1000" s="2" t="s">
        <v>2855</v>
      </c>
      <c r="B1000" s="12">
        <f t="shared" si="45"/>
        <v>46238.588843148151</v>
      </c>
      <c r="C1000" s="13">
        <v>46238.588843148151</v>
      </c>
      <c r="D1000" s="2" t="s">
        <v>2856</v>
      </c>
      <c r="E1000" s="2" t="str">
        <f t="shared" si="47"/>
        <v>Email Available</v>
      </c>
      <c r="F1000" s="2" t="s">
        <v>2857</v>
      </c>
      <c r="G1000" s="2" t="s">
        <v>266</v>
      </c>
      <c r="H1000" s="2" t="s">
        <v>37</v>
      </c>
      <c r="I1000" s="2" t="s">
        <v>267</v>
      </c>
      <c r="J1000" s="2">
        <v>1</v>
      </c>
      <c r="K1000" s="2">
        <v>15.49</v>
      </c>
      <c r="L1000" s="2" t="s">
        <v>208</v>
      </c>
      <c r="M1000" s="2">
        <v>2.3199999999999998</v>
      </c>
      <c r="N1000" s="2">
        <v>7.99</v>
      </c>
      <c r="O1000" s="2">
        <v>21.16</v>
      </c>
      <c r="P1000" s="2" t="s">
        <v>74</v>
      </c>
      <c r="Q1000" s="2" t="s">
        <v>90</v>
      </c>
      <c r="R1000" s="2" t="s">
        <v>52</v>
      </c>
      <c r="S1000" s="2" t="s">
        <v>75</v>
      </c>
      <c r="T1000" s="2"/>
      <c r="U1000" s="2" t="str">
        <f t="shared" si="46"/>
        <v>Not Required</v>
      </c>
      <c r="V1000" s="2" t="s">
        <v>2858</v>
      </c>
    </row>
    <row r="1001" spans="1:22" hidden="1" x14ac:dyDescent="0.3">
      <c r="A1001" s="2" t="s">
        <v>2859</v>
      </c>
      <c r="B1001" s="12">
        <f t="shared" si="45"/>
        <v>46238.585117905102</v>
      </c>
      <c r="C1001" s="13">
        <v>46238.585117905102</v>
      </c>
      <c r="D1001" s="2" t="s">
        <v>345</v>
      </c>
      <c r="E1001" s="2" t="str">
        <f t="shared" si="47"/>
        <v>Email Available</v>
      </c>
      <c r="F1001" s="2" t="s">
        <v>452</v>
      </c>
      <c r="G1001" s="2" t="s">
        <v>80</v>
      </c>
      <c r="H1001" s="2" t="s">
        <v>81</v>
      </c>
      <c r="I1001" s="2" t="s">
        <v>82</v>
      </c>
      <c r="J1001" s="2">
        <v>1</v>
      </c>
      <c r="K1001" s="2">
        <v>89.99</v>
      </c>
      <c r="L1001" s="2" t="s">
        <v>121</v>
      </c>
      <c r="M1001" s="2">
        <v>22.5</v>
      </c>
      <c r="N1001" s="2">
        <v>0</v>
      </c>
      <c r="O1001" s="2">
        <v>67.489999999999995</v>
      </c>
      <c r="P1001" s="2" t="s">
        <v>40</v>
      </c>
      <c r="Q1001" s="2" t="s">
        <v>28</v>
      </c>
      <c r="R1001" s="2" t="s">
        <v>52</v>
      </c>
      <c r="S1001" s="2" t="s">
        <v>30</v>
      </c>
      <c r="T1001" s="2" t="s">
        <v>351</v>
      </c>
      <c r="U1001" s="2" t="str">
        <f t="shared" si="46"/>
        <v>Valid</v>
      </c>
      <c r="V1001" s="2" t="s">
        <v>2860</v>
      </c>
    </row>
    <row r="1002" spans="1:22" hidden="1" x14ac:dyDescent="0.3">
      <c r="A1002" s="2" t="s">
        <v>2861</v>
      </c>
      <c r="B1002" s="12">
        <f t="shared" si="45"/>
        <v>46238.581144467593</v>
      </c>
      <c r="C1002" s="13">
        <v>46238.581144467593</v>
      </c>
      <c r="D1002" s="2" t="s">
        <v>565</v>
      </c>
      <c r="E1002" s="2" t="str">
        <f t="shared" si="47"/>
        <v>Email Available</v>
      </c>
      <c r="F1002" s="2" t="s">
        <v>566</v>
      </c>
      <c r="G1002" s="2" t="s">
        <v>226</v>
      </c>
      <c r="H1002" s="2" t="s">
        <v>23</v>
      </c>
      <c r="I1002" s="2" t="s">
        <v>227</v>
      </c>
      <c r="J1002" s="2">
        <v>1</v>
      </c>
      <c r="K1002" s="2">
        <v>17.989999999999998</v>
      </c>
      <c r="L1002" s="2" t="s">
        <v>208</v>
      </c>
      <c r="M1002" s="2">
        <v>2.7</v>
      </c>
      <c r="N1002" s="2">
        <v>5.99</v>
      </c>
      <c r="O1002" s="2">
        <v>21.28</v>
      </c>
      <c r="P1002" s="2" t="s">
        <v>74</v>
      </c>
      <c r="Q1002" s="2" t="s">
        <v>28</v>
      </c>
      <c r="R1002" s="2" t="s">
        <v>52</v>
      </c>
      <c r="S1002" s="2" t="s">
        <v>43</v>
      </c>
      <c r="T1002" s="2"/>
      <c r="U1002" s="2" t="str">
        <f t="shared" si="46"/>
        <v>Not Required</v>
      </c>
      <c r="V1002" s="2" t="s">
        <v>2862</v>
      </c>
    </row>
    <row r="1003" spans="1:22" hidden="1" x14ac:dyDescent="0.3">
      <c r="A1003" s="2" t="s">
        <v>2863</v>
      </c>
      <c r="B1003" s="12">
        <f t="shared" si="45"/>
        <v>46238.586920937501</v>
      </c>
      <c r="C1003" s="13">
        <v>46238.586920937501</v>
      </c>
      <c r="D1003" s="2" t="s">
        <v>629</v>
      </c>
      <c r="E1003" s="2" t="str">
        <f t="shared" si="47"/>
        <v>Email Available</v>
      </c>
      <c r="F1003" s="2" t="s">
        <v>630</v>
      </c>
      <c r="G1003" s="2" t="s">
        <v>105</v>
      </c>
      <c r="H1003" s="2" t="s">
        <v>106</v>
      </c>
      <c r="I1003" s="2" t="s">
        <v>107</v>
      </c>
      <c r="J1003" s="2">
        <v>1</v>
      </c>
      <c r="K1003" s="2">
        <v>19.989999999999998</v>
      </c>
      <c r="L1003" s="2" t="s">
        <v>233</v>
      </c>
      <c r="M1003" s="2">
        <v>3</v>
      </c>
      <c r="N1003" s="2">
        <v>7.99</v>
      </c>
      <c r="O1003" s="2">
        <v>24.98</v>
      </c>
      <c r="P1003" s="2" t="s">
        <v>27</v>
      </c>
      <c r="Q1003" s="2" t="s">
        <v>41</v>
      </c>
      <c r="R1003" s="2" t="s">
        <v>29</v>
      </c>
      <c r="S1003" s="2" t="s">
        <v>30</v>
      </c>
      <c r="T1003" s="2" t="s">
        <v>60</v>
      </c>
      <c r="U1003" s="2" t="str">
        <f t="shared" si="46"/>
        <v>Valid</v>
      </c>
      <c r="V1003" s="2" t="s">
        <v>2864</v>
      </c>
    </row>
    <row r="1004" spans="1:22" hidden="1" x14ac:dyDescent="0.3">
      <c r="A1004" s="2" t="s">
        <v>2865</v>
      </c>
      <c r="B1004" s="12">
        <f t="shared" si="45"/>
        <v>46238.583899178237</v>
      </c>
      <c r="C1004" s="13">
        <v>46238.583899178237</v>
      </c>
      <c r="D1004" s="2" t="s">
        <v>1847</v>
      </c>
      <c r="E1004" s="2" t="str">
        <f t="shared" si="47"/>
        <v>Email Available</v>
      </c>
      <c r="F1004" s="2" t="s">
        <v>1848</v>
      </c>
      <c r="G1004" s="2" t="s">
        <v>187</v>
      </c>
      <c r="H1004" s="2" t="s">
        <v>37</v>
      </c>
      <c r="I1004" s="2" t="s">
        <v>188</v>
      </c>
      <c r="J1004" s="2">
        <v>2</v>
      </c>
      <c r="K1004" s="2">
        <v>11.99</v>
      </c>
      <c r="L1004" s="2" t="s">
        <v>208</v>
      </c>
      <c r="M1004" s="2">
        <v>3.6</v>
      </c>
      <c r="N1004" s="2">
        <v>7.99</v>
      </c>
      <c r="O1004" s="2">
        <v>28.37</v>
      </c>
      <c r="P1004" s="2" t="s">
        <v>27</v>
      </c>
      <c r="Q1004" s="2" t="s">
        <v>41</v>
      </c>
      <c r="R1004" s="2" t="s">
        <v>52</v>
      </c>
      <c r="S1004" s="2" t="s">
        <v>30</v>
      </c>
      <c r="T1004" s="2" t="s">
        <v>91</v>
      </c>
      <c r="U1004" s="2" t="str">
        <f t="shared" si="46"/>
        <v>Valid</v>
      </c>
      <c r="V1004" s="2" t="s">
        <v>2866</v>
      </c>
    </row>
    <row r="1005" spans="1:22" hidden="1" x14ac:dyDescent="0.3">
      <c r="A1005" s="2" t="s">
        <v>2867</v>
      </c>
      <c r="B1005" s="12">
        <f t="shared" si="45"/>
        <v>46238.586921122682</v>
      </c>
      <c r="C1005" s="13">
        <v>46238.586921122682</v>
      </c>
      <c r="D1005" s="2" t="s">
        <v>2868</v>
      </c>
      <c r="E1005" s="2" t="str">
        <f t="shared" si="47"/>
        <v>Email Available</v>
      </c>
      <c r="F1005" s="2" t="s">
        <v>2869</v>
      </c>
      <c r="G1005" s="2" t="s">
        <v>187</v>
      </c>
      <c r="H1005" s="2" t="s">
        <v>37</v>
      </c>
      <c r="I1005" s="2" t="s">
        <v>188</v>
      </c>
      <c r="J1005" s="2">
        <v>1</v>
      </c>
      <c r="K1005" s="2">
        <v>11.99</v>
      </c>
      <c r="L1005" s="2"/>
      <c r="M1005" s="2">
        <v>0</v>
      </c>
      <c r="N1005" s="2">
        <v>5.99</v>
      </c>
      <c r="O1005" s="2">
        <v>17.98</v>
      </c>
      <c r="P1005" s="2" t="s">
        <v>51</v>
      </c>
      <c r="Q1005" s="2" t="s">
        <v>114</v>
      </c>
      <c r="R1005" s="2" t="s">
        <v>52</v>
      </c>
      <c r="S1005" s="2" t="s">
        <v>30</v>
      </c>
      <c r="T1005" s="2" t="s">
        <v>69</v>
      </c>
      <c r="U1005" s="2" t="str">
        <f t="shared" si="46"/>
        <v>Valid</v>
      </c>
      <c r="V1005" s="2" t="s">
        <v>2870</v>
      </c>
    </row>
    <row r="1006" spans="1:22" hidden="1" x14ac:dyDescent="0.3">
      <c r="A1006" s="2" t="s">
        <v>2871</v>
      </c>
      <c r="B1006" s="12">
        <f t="shared" si="45"/>
        <v>46238.580335254628</v>
      </c>
      <c r="C1006" s="13">
        <v>46238.580335254628</v>
      </c>
      <c r="D1006" s="2" t="s">
        <v>2872</v>
      </c>
      <c r="E1006" s="2" t="str">
        <f t="shared" si="47"/>
        <v>Email Available</v>
      </c>
      <c r="F1006" s="2" t="s">
        <v>2873</v>
      </c>
      <c r="G1006" s="2" t="s">
        <v>2874</v>
      </c>
      <c r="H1006" s="2" t="s">
        <v>106</v>
      </c>
      <c r="I1006" s="2" t="s">
        <v>107</v>
      </c>
      <c r="J1006" s="2">
        <v>1</v>
      </c>
      <c r="K1006" s="2">
        <v>19.989999999999998</v>
      </c>
      <c r="L1006" s="2" t="s">
        <v>39</v>
      </c>
      <c r="M1006" s="2">
        <v>0</v>
      </c>
      <c r="N1006" s="2">
        <v>0</v>
      </c>
      <c r="O1006" s="2" t="s">
        <v>458</v>
      </c>
      <c r="P1006" s="2" t="s">
        <v>51</v>
      </c>
      <c r="Q1006" s="2" t="s">
        <v>41</v>
      </c>
      <c r="R1006" s="2" t="s">
        <v>29</v>
      </c>
      <c r="S1006" s="2" t="s">
        <v>30</v>
      </c>
      <c r="T1006" s="2" t="s">
        <v>60</v>
      </c>
      <c r="U1006" s="2" t="str">
        <f t="shared" si="46"/>
        <v>Valid</v>
      </c>
      <c r="V1006" s="2" t="s">
        <v>2875</v>
      </c>
    </row>
    <row r="1007" spans="1:22" hidden="1" x14ac:dyDescent="0.3">
      <c r="A1007" s="2" t="s">
        <v>2876</v>
      </c>
      <c r="B1007" s="12">
        <f>DATE(VALUE(RIGHT(C1007,4)),MATCH(LEFT(C1007,3),{"Jan","Feb","Mar","Apr","May","Jun","Jul","Aug","Sep","Oct","Nov","Dec"},0),VALUE(MID(C1007,5,2)))</f>
        <v>46238</v>
      </c>
      <c r="C1007" s="13" t="s">
        <v>176</v>
      </c>
      <c r="D1007" s="2" t="s">
        <v>2877</v>
      </c>
      <c r="E1007" s="2" t="str">
        <f t="shared" si="47"/>
        <v>Email Available</v>
      </c>
      <c r="F1007" s="2" t="s">
        <v>2878</v>
      </c>
      <c r="G1007" s="2" t="s">
        <v>87</v>
      </c>
      <c r="H1007" s="2" t="s">
        <v>88</v>
      </c>
      <c r="I1007" s="2" t="s">
        <v>89</v>
      </c>
      <c r="J1007" s="2">
        <v>1</v>
      </c>
      <c r="K1007" s="2">
        <v>54.99</v>
      </c>
      <c r="L1007" s="2" t="s">
        <v>121</v>
      </c>
      <c r="M1007" s="2">
        <v>13.75</v>
      </c>
      <c r="N1007" s="2">
        <v>5.99</v>
      </c>
      <c r="O1007" s="2">
        <v>47.23</v>
      </c>
      <c r="P1007" s="2" t="s">
        <v>74</v>
      </c>
      <c r="Q1007" s="2" t="s">
        <v>41</v>
      </c>
      <c r="R1007" s="2" t="s">
        <v>52</v>
      </c>
      <c r="S1007" s="2" t="s">
        <v>30</v>
      </c>
      <c r="T1007" s="2" t="s">
        <v>60</v>
      </c>
      <c r="U1007" s="2" t="str">
        <f t="shared" si="46"/>
        <v>Valid</v>
      </c>
      <c r="V1007" s="2" t="s">
        <v>2879</v>
      </c>
    </row>
    <row r="1008" spans="1:22" x14ac:dyDescent="0.3">
      <c r="A1008" s="2" t="s">
        <v>2880</v>
      </c>
      <c r="B1008" s="12">
        <f t="shared" si="45"/>
        <v>46238.583001458333</v>
      </c>
      <c r="C1008" s="13">
        <v>46238.583001458333</v>
      </c>
      <c r="D1008" s="2" t="s">
        <v>2881</v>
      </c>
      <c r="E1008" s="2" t="str">
        <f t="shared" si="47"/>
        <v>Missing Email</v>
      </c>
      <c r="F1008" s="2"/>
      <c r="G1008" s="2" t="s">
        <v>171</v>
      </c>
      <c r="H1008" s="2" t="s">
        <v>106</v>
      </c>
      <c r="I1008" s="2" t="s">
        <v>172</v>
      </c>
      <c r="J1008" s="2">
        <v>2</v>
      </c>
      <c r="K1008" s="2" t="s">
        <v>173</v>
      </c>
      <c r="L1008" s="2"/>
      <c r="M1008" s="2" t="s">
        <v>189</v>
      </c>
      <c r="N1008" s="2">
        <v>4.99</v>
      </c>
      <c r="O1008" s="2">
        <v>70.97</v>
      </c>
      <c r="P1008" s="2" t="s">
        <v>51</v>
      </c>
      <c r="Q1008" s="2" t="s">
        <v>41</v>
      </c>
      <c r="R1008" s="2" t="s">
        <v>52</v>
      </c>
      <c r="S1008" s="2" t="s">
        <v>30</v>
      </c>
      <c r="T1008" s="2" t="s">
        <v>145</v>
      </c>
      <c r="U1008" s="2" t="str">
        <f t="shared" si="46"/>
        <v>Valid</v>
      </c>
      <c r="V1008" s="2" t="s">
        <v>2302</v>
      </c>
    </row>
    <row r="1009" spans="1:22" hidden="1" x14ac:dyDescent="0.3">
      <c r="A1009" s="2" t="s">
        <v>2882</v>
      </c>
      <c r="B1009" s="12">
        <f t="shared" si="45"/>
        <v>46238.57926554398</v>
      </c>
      <c r="C1009" s="13">
        <v>46238.57926554398</v>
      </c>
      <c r="D1009" s="2" t="s">
        <v>2856</v>
      </c>
      <c r="E1009" s="2" t="str">
        <f t="shared" si="47"/>
        <v>Email Available</v>
      </c>
      <c r="F1009" s="2" t="s">
        <v>2857</v>
      </c>
      <c r="G1009" s="2" t="s">
        <v>2883</v>
      </c>
      <c r="H1009" s="2" t="s">
        <v>106</v>
      </c>
      <c r="I1009" s="2" t="s">
        <v>172</v>
      </c>
      <c r="J1009" s="2">
        <v>1</v>
      </c>
      <c r="K1009" s="2">
        <v>32.99</v>
      </c>
      <c r="L1009" s="2"/>
      <c r="M1009" s="2">
        <v>0</v>
      </c>
      <c r="N1009" s="2">
        <v>4.99</v>
      </c>
      <c r="O1009" s="2">
        <v>37.979999999999997</v>
      </c>
      <c r="P1009" s="2" t="s">
        <v>27</v>
      </c>
      <c r="Q1009" s="2" t="s">
        <v>28</v>
      </c>
      <c r="R1009" s="2" t="s">
        <v>52</v>
      </c>
      <c r="S1009" s="2" t="s">
        <v>75</v>
      </c>
      <c r="T1009" s="2"/>
      <c r="U1009" s="2" t="str">
        <f t="shared" si="46"/>
        <v>Not Required</v>
      </c>
      <c r="V1009" s="2" t="s">
        <v>2884</v>
      </c>
    </row>
    <row r="1010" spans="1:22" hidden="1" x14ac:dyDescent="0.3">
      <c r="A1010" s="2" t="s">
        <v>2885</v>
      </c>
      <c r="B1010" s="12">
        <f t="shared" si="45"/>
        <v>46238.581271944437</v>
      </c>
      <c r="C1010" s="13">
        <v>46238.581271944437</v>
      </c>
      <c r="D1010" s="2" t="s">
        <v>496</v>
      </c>
      <c r="E1010" s="2" t="str">
        <f t="shared" si="47"/>
        <v>Email Available</v>
      </c>
      <c r="F1010" s="2" t="s">
        <v>497</v>
      </c>
      <c r="G1010" s="2" t="s">
        <v>65</v>
      </c>
      <c r="H1010" s="2" t="s">
        <v>49</v>
      </c>
      <c r="I1010" s="2" t="s">
        <v>66</v>
      </c>
      <c r="J1010" s="2">
        <v>2</v>
      </c>
      <c r="K1010" s="2">
        <v>14.99</v>
      </c>
      <c r="L1010" s="2"/>
      <c r="M1010" s="2">
        <v>0</v>
      </c>
      <c r="N1010" s="2">
        <v>7.99</v>
      </c>
      <c r="O1010" s="2">
        <v>37.97</v>
      </c>
      <c r="P1010" s="2" t="s">
        <v>68</v>
      </c>
      <c r="Q1010" s="2" t="s">
        <v>90</v>
      </c>
      <c r="R1010" s="2" t="s">
        <v>42</v>
      </c>
      <c r="S1010" s="2" t="s">
        <v>30</v>
      </c>
      <c r="T1010" s="2" t="s">
        <v>248</v>
      </c>
      <c r="U1010" s="2" t="str">
        <f t="shared" si="46"/>
        <v>Valid</v>
      </c>
      <c r="V1010" s="2" t="s">
        <v>2886</v>
      </c>
    </row>
    <row r="1011" spans="1:22" hidden="1" x14ac:dyDescent="0.3">
      <c r="A1011" s="2" t="s">
        <v>2889</v>
      </c>
      <c r="B1011" s="12">
        <f t="shared" si="45"/>
        <v>46238.581296192133</v>
      </c>
      <c r="C1011" s="13">
        <v>46238.581296192133</v>
      </c>
      <c r="D1011" s="2" t="s">
        <v>143</v>
      </c>
      <c r="E1011" s="2" t="str">
        <f t="shared" si="47"/>
        <v>Email Available</v>
      </c>
      <c r="F1011" s="2" t="s">
        <v>144</v>
      </c>
      <c r="G1011" s="2" t="s">
        <v>226</v>
      </c>
      <c r="H1011" s="2" t="s">
        <v>23</v>
      </c>
      <c r="I1011" s="2" t="s">
        <v>227</v>
      </c>
      <c r="J1011" s="2">
        <v>1</v>
      </c>
      <c r="K1011" s="2">
        <v>17.989999999999998</v>
      </c>
      <c r="L1011" s="2"/>
      <c r="M1011" s="2">
        <v>0</v>
      </c>
      <c r="N1011" s="2">
        <v>4.99</v>
      </c>
      <c r="O1011" s="2">
        <v>22.98</v>
      </c>
      <c r="P1011" s="2" t="s">
        <v>51</v>
      </c>
      <c r="Q1011" s="2" t="s">
        <v>90</v>
      </c>
      <c r="R1011" s="2" t="s">
        <v>52</v>
      </c>
      <c r="S1011" s="2" t="s">
        <v>30</v>
      </c>
      <c r="T1011" s="2" t="s">
        <v>347</v>
      </c>
      <c r="U1011" s="2" t="str">
        <f t="shared" si="46"/>
        <v>Valid</v>
      </c>
      <c r="V1011" s="2" t="s">
        <v>2890</v>
      </c>
    </row>
    <row r="1012" spans="1:22" hidden="1" x14ac:dyDescent="0.3">
      <c r="A1012" s="2" t="s">
        <v>2891</v>
      </c>
      <c r="B1012" s="12">
        <f t="shared" si="45"/>
        <v>46238.58057510417</v>
      </c>
      <c r="C1012" s="13">
        <v>46238.58057510417</v>
      </c>
      <c r="D1012" s="2" t="s">
        <v>621</v>
      </c>
      <c r="E1012" s="2" t="str">
        <f t="shared" si="47"/>
        <v>Email Available</v>
      </c>
      <c r="F1012" s="2" t="s">
        <v>622</v>
      </c>
      <c r="G1012" s="2" t="s">
        <v>187</v>
      </c>
      <c r="H1012" s="2" t="s">
        <v>37</v>
      </c>
      <c r="I1012" s="2" t="s">
        <v>188</v>
      </c>
      <c r="J1012" s="2">
        <v>1</v>
      </c>
      <c r="K1012" s="2">
        <v>11.99</v>
      </c>
      <c r="L1012" s="2"/>
      <c r="M1012" s="2">
        <v>0</v>
      </c>
      <c r="N1012" s="2">
        <v>4.99</v>
      </c>
      <c r="O1012" s="2">
        <v>16.98</v>
      </c>
      <c r="P1012" s="2" t="s">
        <v>68</v>
      </c>
      <c r="Q1012" s="2" t="s">
        <v>41</v>
      </c>
      <c r="R1012" s="2" t="s">
        <v>29</v>
      </c>
      <c r="S1012" s="2" t="s">
        <v>30</v>
      </c>
      <c r="T1012" s="2" t="s">
        <v>91</v>
      </c>
      <c r="U1012" s="2" t="str">
        <f t="shared" si="46"/>
        <v>Valid</v>
      </c>
      <c r="V1012" s="2" t="s">
        <v>2892</v>
      </c>
    </row>
    <row r="1013" spans="1:22" hidden="1" x14ac:dyDescent="0.3">
      <c r="A1013" s="2" t="s">
        <v>2893</v>
      </c>
      <c r="B1013" s="12">
        <f t="shared" si="45"/>
        <v>46238.584372395831</v>
      </c>
      <c r="C1013" s="13">
        <v>46238.584372395831</v>
      </c>
      <c r="D1013" s="2" t="s">
        <v>345</v>
      </c>
      <c r="E1013" s="2" t="str">
        <f t="shared" si="47"/>
        <v>Email Available</v>
      </c>
      <c r="F1013" s="2" t="s">
        <v>452</v>
      </c>
      <c r="G1013" s="2" t="s">
        <v>206</v>
      </c>
      <c r="H1013" s="2" t="s">
        <v>196</v>
      </c>
      <c r="I1013" s="2" t="s">
        <v>207</v>
      </c>
      <c r="J1013" s="2">
        <v>1</v>
      </c>
      <c r="K1013" s="2">
        <v>24.99</v>
      </c>
      <c r="L1013" s="2" t="s">
        <v>39</v>
      </c>
      <c r="M1013" s="2">
        <v>0</v>
      </c>
      <c r="N1013" s="2">
        <v>0</v>
      </c>
      <c r="O1013" s="2">
        <v>24.99</v>
      </c>
      <c r="P1013" s="2" t="s">
        <v>51</v>
      </c>
      <c r="Q1013" s="2" t="s">
        <v>28</v>
      </c>
      <c r="R1013" s="2" t="s">
        <v>52</v>
      </c>
      <c r="S1013" s="2" t="s">
        <v>30</v>
      </c>
      <c r="T1013" s="2" t="s">
        <v>31</v>
      </c>
      <c r="U1013" s="2" t="str">
        <f t="shared" si="46"/>
        <v>Valid</v>
      </c>
      <c r="V1013" s="2" t="s">
        <v>2894</v>
      </c>
    </row>
    <row r="1014" spans="1:22" hidden="1" x14ac:dyDescent="0.3">
      <c r="A1014" s="2" t="s">
        <v>2895</v>
      </c>
      <c r="B1014" s="12">
        <f t="shared" si="45"/>
        <v>46238.585933298607</v>
      </c>
      <c r="C1014" s="13">
        <v>46238.585933298607</v>
      </c>
      <c r="D1014" s="2" t="s">
        <v>1444</v>
      </c>
      <c r="E1014" s="2" t="str">
        <f t="shared" si="47"/>
        <v>Email Available</v>
      </c>
      <c r="F1014" s="2" t="s">
        <v>1445</v>
      </c>
      <c r="G1014" s="2" t="s">
        <v>187</v>
      </c>
      <c r="H1014" s="2" t="s">
        <v>37</v>
      </c>
      <c r="I1014" s="2" t="s">
        <v>188</v>
      </c>
      <c r="J1014" s="2">
        <v>1</v>
      </c>
      <c r="K1014" s="2">
        <v>11.99</v>
      </c>
      <c r="L1014" s="2" t="s">
        <v>67</v>
      </c>
      <c r="M1014" s="2">
        <v>1.2</v>
      </c>
      <c r="N1014" s="2">
        <v>7.99</v>
      </c>
      <c r="O1014" s="2">
        <v>18.78</v>
      </c>
      <c r="P1014" s="2" t="s">
        <v>51</v>
      </c>
      <c r="Q1014" s="2" t="s">
        <v>28</v>
      </c>
      <c r="R1014" s="2" t="s">
        <v>52</v>
      </c>
      <c r="S1014" s="2" t="s">
        <v>30</v>
      </c>
      <c r="T1014" s="2" t="s">
        <v>69</v>
      </c>
      <c r="U1014" s="2" t="str">
        <f t="shared" si="46"/>
        <v>Valid</v>
      </c>
      <c r="V1014" s="2" t="s">
        <v>2896</v>
      </c>
    </row>
    <row r="1015" spans="1:22" hidden="1" x14ac:dyDescent="0.3">
      <c r="A1015" s="2" t="s">
        <v>2897</v>
      </c>
      <c r="B1015" s="12">
        <f t="shared" si="45"/>
        <v>46238.579123784722</v>
      </c>
      <c r="C1015" s="13">
        <v>46238.579123784722</v>
      </c>
      <c r="D1015" s="2" t="s">
        <v>1420</v>
      </c>
      <c r="E1015" s="2" t="str">
        <f t="shared" si="47"/>
        <v>Email Available</v>
      </c>
      <c r="F1015" s="2" t="s">
        <v>1421</v>
      </c>
      <c r="G1015" s="2" t="s">
        <v>120</v>
      </c>
      <c r="H1015" s="2" t="s">
        <v>23</v>
      </c>
      <c r="I1015" s="2" t="s">
        <v>24</v>
      </c>
      <c r="J1015" s="2">
        <v>1</v>
      </c>
      <c r="K1015" s="2">
        <v>12.99</v>
      </c>
      <c r="L1015" s="2" t="s">
        <v>381</v>
      </c>
      <c r="M1015" s="2">
        <v>0</v>
      </c>
      <c r="N1015" s="2">
        <v>0</v>
      </c>
      <c r="O1015" s="2">
        <v>12.99</v>
      </c>
      <c r="P1015" s="2" t="s">
        <v>40</v>
      </c>
      <c r="Q1015" s="2" t="s">
        <v>28</v>
      </c>
      <c r="R1015" s="2" t="s">
        <v>52</v>
      </c>
      <c r="S1015" s="2" t="s">
        <v>108</v>
      </c>
      <c r="T1015" s="2"/>
      <c r="U1015" s="2" t="str">
        <f t="shared" si="46"/>
        <v>Not Required</v>
      </c>
      <c r="V1015" s="2" t="s">
        <v>2898</v>
      </c>
    </row>
    <row r="1016" spans="1:22" hidden="1" x14ac:dyDescent="0.3">
      <c r="A1016" s="2" t="s">
        <v>2899</v>
      </c>
      <c r="B1016" s="12">
        <f t="shared" si="45"/>
        <v>46238.582453402778</v>
      </c>
      <c r="C1016" s="13">
        <v>46238.582453402778</v>
      </c>
      <c r="D1016" s="2" t="s">
        <v>1020</v>
      </c>
      <c r="E1016" s="2" t="str">
        <f t="shared" si="47"/>
        <v>Email Available</v>
      </c>
      <c r="F1016" s="2" t="s">
        <v>1021</v>
      </c>
      <c r="G1016" s="2" t="s">
        <v>368</v>
      </c>
      <c r="H1016" s="2" t="s">
        <v>88</v>
      </c>
      <c r="I1016" s="2" t="s">
        <v>369</v>
      </c>
      <c r="J1016" s="2">
        <v>1</v>
      </c>
      <c r="K1016" s="2">
        <v>54.99</v>
      </c>
      <c r="L1016" s="2" t="s">
        <v>67</v>
      </c>
      <c r="M1016" s="2">
        <v>5.5</v>
      </c>
      <c r="N1016" s="2">
        <v>4.99</v>
      </c>
      <c r="O1016" s="2">
        <v>54.48</v>
      </c>
      <c r="P1016" s="2" t="s">
        <v>74</v>
      </c>
      <c r="Q1016" s="2" t="s">
        <v>41</v>
      </c>
      <c r="R1016" s="2" t="s">
        <v>52</v>
      </c>
      <c r="S1016" s="2" t="s">
        <v>30</v>
      </c>
      <c r="T1016" s="2" t="s">
        <v>91</v>
      </c>
      <c r="U1016" s="2" t="str">
        <f t="shared" si="46"/>
        <v>Valid</v>
      </c>
      <c r="V1016" s="2" t="s">
        <v>2900</v>
      </c>
    </row>
    <row r="1017" spans="1:22" hidden="1" x14ac:dyDescent="0.3">
      <c r="A1017" s="2" t="s">
        <v>2901</v>
      </c>
      <c r="B1017" s="12">
        <f t="shared" si="45"/>
        <v>46238.582513287038</v>
      </c>
      <c r="C1017" s="13">
        <v>46238.582513287038</v>
      </c>
      <c r="D1017" s="2" t="s">
        <v>288</v>
      </c>
      <c r="E1017" s="2" t="str">
        <f t="shared" si="47"/>
        <v>Email Available</v>
      </c>
      <c r="F1017" s="2" t="s">
        <v>289</v>
      </c>
      <c r="G1017" s="2" t="s">
        <v>368</v>
      </c>
      <c r="H1017" s="2" t="s">
        <v>88</v>
      </c>
      <c r="I1017" s="2" t="s">
        <v>369</v>
      </c>
      <c r="J1017" s="2">
        <v>1</v>
      </c>
      <c r="K1017" s="2">
        <v>54.99</v>
      </c>
      <c r="L1017" s="2"/>
      <c r="M1017" s="2">
        <v>0</v>
      </c>
      <c r="N1017" s="2">
        <v>5.99</v>
      </c>
      <c r="O1017" s="2">
        <v>60.98</v>
      </c>
      <c r="P1017" s="2" t="s">
        <v>51</v>
      </c>
      <c r="Q1017" s="2" t="s">
        <v>28</v>
      </c>
      <c r="R1017" s="2" t="s">
        <v>52</v>
      </c>
      <c r="S1017" s="2" t="s">
        <v>30</v>
      </c>
      <c r="T1017" s="2" t="s">
        <v>31</v>
      </c>
      <c r="U1017" s="2" t="str">
        <f t="shared" si="46"/>
        <v>Valid</v>
      </c>
      <c r="V1017" s="2" t="s">
        <v>2902</v>
      </c>
    </row>
    <row r="1018" spans="1:22" hidden="1" x14ac:dyDescent="0.3">
      <c r="A1018" s="2" t="s">
        <v>2903</v>
      </c>
      <c r="B1018" s="12">
        <f t="shared" si="45"/>
        <v>46238.580976122677</v>
      </c>
      <c r="C1018" s="13">
        <v>46238.580976122677</v>
      </c>
      <c r="D1018" s="2" t="s">
        <v>2904</v>
      </c>
      <c r="E1018" s="2" t="str">
        <f t="shared" si="47"/>
        <v>Email Available</v>
      </c>
      <c r="F1018" s="2" t="s">
        <v>2905</v>
      </c>
      <c r="G1018" s="2" t="s">
        <v>127</v>
      </c>
      <c r="H1018" s="2" t="s">
        <v>81</v>
      </c>
      <c r="I1018" s="2" t="s">
        <v>128</v>
      </c>
      <c r="J1018" s="2">
        <v>3</v>
      </c>
      <c r="K1018" s="2">
        <v>13.99</v>
      </c>
      <c r="L1018" s="2"/>
      <c r="M1018" s="2">
        <v>0</v>
      </c>
      <c r="N1018" s="2">
        <v>7.99</v>
      </c>
      <c r="O1018" s="2">
        <v>49.96</v>
      </c>
      <c r="P1018" s="2" t="s">
        <v>51</v>
      </c>
      <c r="Q1018" s="2" t="s">
        <v>28</v>
      </c>
      <c r="R1018" s="2" t="s">
        <v>52</v>
      </c>
      <c r="S1018" s="2" t="s">
        <v>30</v>
      </c>
      <c r="T1018" s="2" t="s">
        <v>248</v>
      </c>
      <c r="U1018" s="2" t="str">
        <f t="shared" si="46"/>
        <v>Valid</v>
      </c>
      <c r="V1018" s="2" t="s">
        <v>2906</v>
      </c>
    </row>
    <row r="1019" spans="1:22" hidden="1" x14ac:dyDescent="0.3">
      <c r="A1019" s="2" t="s">
        <v>2907</v>
      </c>
      <c r="B1019" s="12">
        <f t="shared" si="45"/>
        <v>46238.579405150464</v>
      </c>
      <c r="C1019" s="13">
        <v>46238.579405150464</v>
      </c>
      <c r="D1019" s="2" t="s">
        <v>2908</v>
      </c>
      <c r="E1019" s="2" t="str">
        <f t="shared" si="47"/>
        <v>Email Available</v>
      </c>
      <c r="F1019" s="2" t="s">
        <v>2909</v>
      </c>
      <c r="G1019" s="2" t="s">
        <v>80</v>
      </c>
      <c r="H1019" s="2" t="s">
        <v>81</v>
      </c>
      <c r="I1019" s="2" t="s">
        <v>82</v>
      </c>
      <c r="J1019" s="2">
        <v>1</v>
      </c>
      <c r="K1019" s="2">
        <v>89.99</v>
      </c>
      <c r="L1019" s="2"/>
      <c r="M1019" s="2">
        <v>0</v>
      </c>
      <c r="N1019" s="2">
        <v>0</v>
      </c>
      <c r="O1019" s="2">
        <v>89.99</v>
      </c>
      <c r="P1019" s="2" t="s">
        <v>40</v>
      </c>
      <c r="Q1019" s="2" t="s">
        <v>114</v>
      </c>
      <c r="R1019" s="2" t="s">
        <v>52</v>
      </c>
      <c r="S1019" s="2" t="s">
        <v>30</v>
      </c>
      <c r="T1019" s="2" t="s">
        <v>294</v>
      </c>
      <c r="U1019" s="2" t="str">
        <f t="shared" si="46"/>
        <v>Valid</v>
      </c>
      <c r="V1019" s="2" t="s">
        <v>2910</v>
      </c>
    </row>
    <row r="1020" spans="1:22" hidden="1" x14ac:dyDescent="0.3">
      <c r="A1020" s="2" t="s">
        <v>2911</v>
      </c>
      <c r="B1020" s="12">
        <f t="shared" ref="B1020:B1082" si="48">IF(ISNUMBER(C1020),C1020,DATEVALUE(SUBSTITUTE(TRIM(C1020),CHAR(160)," ")))</f>
        <v>46238.579639918979</v>
      </c>
      <c r="C1020" s="13">
        <v>46238.579639918979</v>
      </c>
      <c r="D1020" s="2" t="s">
        <v>181</v>
      </c>
      <c r="E1020" s="2" t="str">
        <f t="shared" si="47"/>
        <v>Email Available</v>
      </c>
      <c r="F1020" s="2" t="s">
        <v>182</v>
      </c>
      <c r="G1020" s="2" t="s">
        <v>284</v>
      </c>
      <c r="H1020" s="2" t="s">
        <v>23</v>
      </c>
      <c r="I1020" s="2" t="s">
        <v>285</v>
      </c>
      <c r="J1020" s="2">
        <v>2</v>
      </c>
      <c r="K1020" s="2">
        <v>24.99</v>
      </c>
      <c r="L1020" s="2" t="s">
        <v>39</v>
      </c>
      <c r="M1020" s="2">
        <v>0</v>
      </c>
      <c r="N1020" s="2">
        <v>0</v>
      </c>
      <c r="O1020" s="2">
        <v>49.98</v>
      </c>
      <c r="P1020" s="2" t="s">
        <v>51</v>
      </c>
      <c r="Q1020" s="2" t="s">
        <v>114</v>
      </c>
      <c r="R1020" s="2" t="s">
        <v>52</v>
      </c>
      <c r="S1020" s="2" t="s">
        <v>30</v>
      </c>
      <c r="T1020" s="2" t="s">
        <v>499</v>
      </c>
      <c r="U1020" s="2" t="str">
        <f t="shared" ref="U1020:U1082" si="49">IF(AND(S1020="United States",T1020=""),"Missing state",IF(T1020="","Not Required","Valid"))</f>
        <v>Valid</v>
      </c>
      <c r="V1020" s="2" t="s">
        <v>2912</v>
      </c>
    </row>
    <row r="1021" spans="1:22" hidden="1" x14ac:dyDescent="0.3">
      <c r="A1021" s="2" t="s">
        <v>2913</v>
      </c>
      <c r="B1021" s="12">
        <f t="shared" si="48"/>
        <v>46120</v>
      </c>
      <c r="C1021" s="13" t="s">
        <v>142</v>
      </c>
      <c r="D1021" s="2" t="s">
        <v>2422</v>
      </c>
      <c r="E1021" s="2" t="str">
        <f t="shared" si="47"/>
        <v>Email Available</v>
      </c>
      <c r="F1021" s="2" t="s">
        <v>2423</v>
      </c>
      <c r="G1021" s="2" t="s">
        <v>368</v>
      </c>
      <c r="H1021" s="2" t="s">
        <v>88</v>
      </c>
      <c r="I1021" s="2" t="s">
        <v>369</v>
      </c>
      <c r="J1021" s="2">
        <v>2</v>
      </c>
      <c r="K1021" s="2">
        <v>54.99</v>
      </c>
      <c r="L1021" s="2"/>
      <c r="M1021" s="2">
        <v>0</v>
      </c>
      <c r="N1021" s="2">
        <v>0</v>
      </c>
      <c r="O1021" s="2">
        <v>109.98</v>
      </c>
      <c r="P1021" s="2" t="s">
        <v>27</v>
      </c>
      <c r="Q1021" s="2" t="s">
        <v>28</v>
      </c>
      <c r="R1021" s="2" t="s">
        <v>52</v>
      </c>
      <c r="S1021" s="2" t="s">
        <v>228</v>
      </c>
      <c r="T1021" s="2"/>
      <c r="U1021" s="2" t="str">
        <f t="shared" si="49"/>
        <v>Not Required</v>
      </c>
      <c r="V1021" s="2" t="s">
        <v>2914</v>
      </c>
    </row>
    <row r="1022" spans="1:22" hidden="1" x14ac:dyDescent="0.3">
      <c r="A1022" s="2" t="s">
        <v>2915</v>
      </c>
      <c r="B1022" s="12">
        <f t="shared" si="48"/>
        <v>46238.588065324067</v>
      </c>
      <c r="C1022" s="13">
        <v>46238.588065324067</v>
      </c>
      <c r="D1022" s="2" t="s">
        <v>496</v>
      </c>
      <c r="E1022" s="2" t="str">
        <f t="shared" si="47"/>
        <v>Email Available</v>
      </c>
      <c r="F1022" s="2" t="s">
        <v>497</v>
      </c>
      <c r="G1022" s="2" t="s">
        <v>80</v>
      </c>
      <c r="H1022" s="2" t="s">
        <v>81</v>
      </c>
      <c r="I1022" s="2" t="s">
        <v>82</v>
      </c>
      <c r="J1022" s="2">
        <v>2</v>
      </c>
      <c r="K1022" s="2">
        <v>89.99</v>
      </c>
      <c r="L1022" s="2"/>
      <c r="M1022" s="2">
        <v>0</v>
      </c>
      <c r="N1022" s="2">
        <v>0</v>
      </c>
      <c r="O1022" s="2">
        <v>179.98</v>
      </c>
      <c r="P1022" s="2" t="s">
        <v>27</v>
      </c>
      <c r="Q1022" s="2" t="s">
        <v>41</v>
      </c>
      <c r="R1022" s="2" t="s">
        <v>52</v>
      </c>
      <c r="S1022" s="2" t="s">
        <v>30</v>
      </c>
      <c r="T1022" s="2" t="s">
        <v>60</v>
      </c>
      <c r="U1022" s="2" t="str">
        <f t="shared" si="49"/>
        <v>Valid</v>
      </c>
      <c r="V1022" s="2" t="s">
        <v>2916</v>
      </c>
    </row>
    <row r="1023" spans="1:22" hidden="1" x14ac:dyDescent="0.3">
      <c r="A1023" s="2" t="s">
        <v>2917</v>
      </c>
      <c r="B1023" s="12">
        <f t="shared" si="48"/>
        <v>46238.588677291656</v>
      </c>
      <c r="C1023" s="13">
        <v>46238.588677291656</v>
      </c>
      <c r="D1023" s="2" t="s">
        <v>2850</v>
      </c>
      <c r="E1023" s="2" t="str">
        <f t="shared" si="47"/>
        <v>Email Available</v>
      </c>
      <c r="F1023" s="2" t="s">
        <v>2851</v>
      </c>
      <c r="G1023" s="2" t="s">
        <v>266</v>
      </c>
      <c r="H1023" s="2" t="s">
        <v>37</v>
      </c>
      <c r="I1023" s="2" t="s">
        <v>267</v>
      </c>
      <c r="J1023" s="2">
        <v>1</v>
      </c>
      <c r="K1023" s="2" t="s">
        <v>324</v>
      </c>
      <c r="L1023" s="2" t="s">
        <v>25</v>
      </c>
      <c r="M1023" s="2">
        <v>3.1</v>
      </c>
      <c r="N1023" s="2">
        <v>5.99</v>
      </c>
      <c r="O1023" s="2">
        <v>18.38</v>
      </c>
      <c r="P1023" s="2" t="s">
        <v>51</v>
      </c>
      <c r="Q1023" s="2" t="s">
        <v>28</v>
      </c>
      <c r="R1023" s="2" t="s">
        <v>99</v>
      </c>
      <c r="S1023" s="2" t="s">
        <v>108</v>
      </c>
      <c r="T1023" s="2"/>
      <c r="U1023" s="2" t="str">
        <f t="shared" si="49"/>
        <v>Not Required</v>
      </c>
      <c r="V1023" s="2" t="s">
        <v>2918</v>
      </c>
    </row>
    <row r="1024" spans="1:22" hidden="1" x14ac:dyDescent="0.3">
      <c r="A1024" s="2" t="s">
        <v>2919</v>
      </c>
      <c r="B1024" s="12">
        <f t="shared" si="48"/>
        <v>46238.584830821761</v>
      </c>
      <c r="C1024" s="13">
        <v>46238.584830821761</v>
      </c>
      <c r="D1024" s="2" t="s">
        <v>231</v>
      </c>
      <c r="E1024" s="2" t="str">
        <f t="shared" si="47"/>
        <v>Email Available</v>
      </c>
      <c r="F1024" s="2" t="s">
        <v>232</v>
      </c>
      <c r="G1024" s="2" t="s">
        <v>266</v>
      </c>
      <c r="H1024" s="2" t="s">
        <v>37</v>
      </c>
      <c r="I1024" s="2" t="s">
        <v>267</v>
      </c>
      <c r="J1024" s="2">
        <v>1</v>
      </c>
      <c r="K1024" s="2">
        <v>15.49</v>
      </c>
      <c r="L1024" s="2" t="s">
        <v>121</v>
      </c>
      <c r="M1024" s="2">
        <v>3.87</v>
      </c>
      <c r="N1024" s="2">
        <v>5.99</v>
      </c>
      <c r="O1024" s="2">
        <v>17.61</v>
      </c>
      <c r="P1024" s="2" t="s">
        <v>74</v>
      </c>
      <c r="Q1024" s="2" t="s">
        <v>90</v>
      </c>
      <c r="R1024" s="2" t="s">
        <v>52</v>
      </c>
      <c r="S1024" s="2" t="s">
        <v>30</v>
      </c>
      <c r="T1024" s="2" t="s">
        <v>248</v>
      </c>
      <c r="U1024" s="2" t="str">
        <f t="shared" si="49"/>
        <v>Valid</v>
      </c>
      <c r="V1024" s="2" t="s">
        <v>2860</v>
      </c>
    </row>
    <row r="1025" spans="1:22" hidden="1" x14ac:dyDescent="0.3">
      <c r="A1025" s="2" t="s">
        <v>2923</v>
      </c>
      <c r="B1025" s="12">
        <f t="shared" si="48"/>
        <v>46238.585986064812</v>
      </c>
      <c r="C1025" s="13">
        <v>46238.585986064812</v>
      </c>
      <c r="D1025" s="2" t="s">
        <v>480</v>
      </c>
      <c r="E1025" s="2" t="str">
        <f t="shared" si="47"/>
        <v>Email Available</v>
      </c>
      <c r="F1025" s="2" t="s">
        <v>481</v>
      </c>
      <c r="G1025" s="2" t="s">
        <v>284</v>
      </c>
      <c r="H1025" s="2" t="s">
        <v>23</v>
      </c>
      <c r="I1025" s="2" t="s">
        <v>285</v>
      </c>
      <c r="J1025" s="2">
        <v>1</v>
      </c>
      <c r="K1025" s="2">
        <v>24.99</v>
      </c>
      <c r="L1025" s="2" t="s">
        <v>67</v>
      </c>
      <c r="M1025" s="2">
        <v>2.5</v>
      </c>
      <c r="N1025" s="2">
        <v>4.99</v>
      </c>
      <c r="O1025" s="2">
        <v>27.48</v>
      </c>
      <c r="P1025" s="2" t="s">
        <v>51</v>
      </c>
      <c r="Q1025" s="2" t="s">
        <v>28</v>
      </c>
      <c r="R1025" s="2" t="s">
        <v>29</v>
      </c>
      <c r="S1025" s="2" t="s">
        <v>75</v>
      </c>
      <c r="T1025" s="2"/>
      <c r="U1025" s="2" t="str">
        <f t="shared" si="49"/>
        <v>Not Required</v>
      </c>
      <c r="V1025" s="2" t="s">
        <v>2924</v>
      </c>
    </row>
    <row r="1026" spans="1:22" hidden="1" x14ac:dyDescent="0.3">
      <c r="A1026" s="2" t="s">
        <v>2925</v>
      </c>
      <c r="B1026" s="12">
        <f t="shared" si="48"/>
        <v>46238.582924050927</v>
      </c>
      <c r="C1026" s="13">
        <v>46238.582924050927</v>
      </c>
      <c r="D1026" s="2" t="s">
        <v>2033</v>
      </c>
      <c r="E1026" s="2" t="str">
        <f t="shared" si="47"/>
        <v>Email Available</v>
      </c>
      <c r="F1026" s="2" t="s">
        <v>2034</v>
      </c>
      <c r="G1026" s="2" t="s">
        <v>157</v>
      </c>
      <c r="H1026" s="2" t="s">
        <v>37</v>
      </c>
      <c r="I1026" s="2" t="s">
        <v>158</v>
      </c>
      <c r="J1026" s="2">
        <v>2</v>
      </c>
      <c r="K1026" s="2">
        <v>29.99</v>
      </c>
      <c r="L1026" s="2"/>
      <c r="M1026" s="2">
        <v>0</v>
      </c>
      <c r="N1026" s="2">
        <v>7.99</v>
      </c>
      <c r="O1026" s="2">
        <v>67.97</v>
      </c>
      <c r="P1026" s="2" t="s">
        <v>74</v>
      </c>
      <c r="Q1026" s="2" t="s">
        <v>28</v>
      </c>
      <c r="R1026" s="2" t="s">
        <v>42</v>
      </c>
      <c r="S1026" s="2" t="s">
        <v>30</v>
      </c>
      <c r="T1026" s="2" t="s">
        <v>69</v>
      </c>
      <c r="U1026" s="2" t="str">
        <f t="shared" si="49"/>
        <v>Valid</v>
      </c>
      <c r="V1026" s="2" t="s">
        <v>505</v>
      </c>
    </row>
    <row r="1027" spans="1:22" x14ac:dyDescent="0.3">
      <c r="A1027" s="2" t="s">
        <v>2926</v>
      </c>
      <c r="B1027" s="12">
        <f t="shared" si="48"/>
        <v>46238.583876597222</v>
      </c>
      <c r="C1027" s="13">
        <v>46238.583876597222</v>
      </c>
      <c r="D1027" s="2" t="s">
        <v>2927</v>
      </c>
      <c r="E1027" s="2" t="str">
        <f t="shared" ref="E1027:E1090" si="50">IF(TRIM(F1027)="","Missing Email","Email Available")</f>
        <v>Missing Email</v>
      </c>
      <c r="F1027" s="2"/>
      <c r="G1027" s="2" t="s">
        <v>2883</v>
      </c>
      <c r="H1027" s="2" t="s">
        <v>106</v>
      </c>
      <c r="I1027" s="2" t="s">
        <v>172</v>
      </c>
      <c r="J1027" s="2">
        <v>1</v>
      </c>
      <c r="K1027" s="2">
        <v>32.99</v>
      </c>
      <c r="L1027" s="2"/>
      <c r="M1027" s="2">
        <v>0</v>
      </c>
      <c r="N1027" s="2">
        <v>4.99</v>
      </c>
      <c r="O1027" s="2">
        <v>37.979999999999997</v>
      </c>
      <c r="P1027" s="2" t="s">
        <v>40</v>
      </c>
      <c r="Q1027" s="2" t="s">
        <v>28</v>
      </c>
      <c r="R1027" s="2" t="s">
        <v>52</v>
      </c>
      <c r="S1027" s="2" t="s">
        <v>30</v>
      </c>
      <c r="T1027" s="2" t="s">
        <v>145</v>
      </c>
      <c r="U1027" s="2" t="str">
        <f t="shared" si="49"/>
        <v>Valid</v>
      </c>
      <c r="V1027" s="2" t="s">
        <v>2928</v>
      </c>
    </row>
    <row r="1028" spans="1:22" hidden="1" x14ac:dyDescent="0.3">
      <c r="A1028" s="2" t="s">
        <v>2929</v>
      </c>
      <c r="B1028" s="12">
        <f t="shared" si="48"/>
        <v>46238.582926319446</v>
      </c>
      <c r="C1028" s="13">
        <v>46238.582926319446</v>
      </c>
      <c r="D1028" s="2" t="s">
        <v>2816</v>
      </c>
      <c r="E1028" s="2" t="str">
        <f t="shared" si="50"/>
        <v>Email Available</v>
      </c>
      <c r="F1028" s="2" t="s">
        <v>2817</v>
      </c>
      <c r="G1028" s="2" t="s">
        <v>206</v>
      </c>
      <c r="H1028" s="2" t="s">
        <v>196</v>
      </c>
      <c r="I1028" s="2" t="s">
        <v>207</v>
      </c>
      <c r="J1028" s="2">
        <v>2</v>
      </c>
      <c r="K1028" s="2" t="s">
        <v>1229</v>
      </c>
      <c r="L1028" s="2" t="s">
        <v>67</v>
      </c>
      <c r="M1028" s="2">
        <v>5</v>
      </c>
      <c r="N1028" s="2">
        <v>4.99</v>
      </c>
      <c r="O1028" s="2">
        <v>49.97</v>
      </c>
      <c r="P1028" s="2" t="s">
        <v>68</v>
      </c>
      <c r="Q1028" s="2" t="s">
        <v>114</v>
      </c>
      <c r="R1028" s="2" t="s">
        <v>99</v>
      </c>
      <c r="S1028" s="2" t="s">
        <v>30</v>
      </c>
      <c r="T1028" s="2" t="s">
        <v>31</v>
      </c>
      <c r="U1028" s="2" t="str">
        <f t="shared" si="49"/>
        <v>Valid</v>
      </c>
      <c r="V1028" s="2" t="s">
        <v>2930</v>
      </c>
    </row>
    <row r="1029" spans="1:22" hidden="1" x14ac:dyDescent="0.3">
      <c r="A1029" s="2" t="s">
        <v>2931</v>
      </c>
      <c r="B1029" s="12">
        <f t="shared" si="48"/>
        <v>46238.584921562498</v>
      </c>
      <c r="C1029" s="13">
        <v>46238.584921562498</v>
      </c>
      <c r="D1029" s="2" t="s">
        <v>169</v>
      </c>
      <c r="E1029" s="2" t="str">
        <f t="shared" si="50"/>
        <v>Email Available</v>
      </c>
      <c r="F1029" s="2" t="s">
        <v>170</v>
      </c>
      <c r="G1029" s="2" t="s">
        <v>157</v>
      </c>
      <c r="H1029" s="2" t="s">
        <v>37</v>
      </c>
      <c r="I1029" s="2" t="s">
        <v>158</v>
      </c>
      <c r="J1029" s="2">
        <v>1</v>
      </c>
      <c r="K1029" s="2">
        <v>29.99</v>
      </c>
      <c r="L1029" s="2" t="s">
        <v>39</v>
      </c>
      <c r="M1029" s="2">
        <v>0</v>
      </c>
      <c r="N1029" s="2">
        <v>0</v>
      </c>
      <c r="O1029" s="2">
        <v>29.99</v>
      </c>
      <c r="P1029" s="2" t="s">
        <v>40</v>
      </c>
      <c r="Q1029" s="2" t="s">
        <v>114</v>
      </c>
      <c r="R1029" s="2" t="s">
        <v>52</v>
      </c>
      <c r="S1029" s="2" t="s">
        <v>108</v>
      </c>
      <c r="T1029" s="2"/>
      <c r="U1029" s="2" t="str">
        <f t="shared" si="49"/>
        <v>Not Required</v>
      </c>
      <c r="V1029" s="2" t="s">
        <v>2932</v>
      </c>
    </row>
    <row r="1030" spans="1:22" hidden="1" x14ac:dyDescent="0.3">
      <c r="A1030" s="2" t="s">
        <v>2933</v>
      </c>
      <c r="B1030" s="12">
        <f t="shared" si="48"/>
        <v>46238.587533344908</v>
      </c>
      <c r="C1030" s="13">
        <v>46238.587533344908</v>
      </c>
      <c r="D1030" s="2" t="s">
        <v>2097</v>
      </c>
      <c r="E1030" s="2" t="str">
        <f t="shared" si="50"/>
        <v>Email Available</v>
      </c>
      <c r="F1030" s="2" t="s">
        <v>2470</v>
      </c>
      <c r="G1030" s="2" t="s">
        <v>58</v>
      </c>
      <c r="H1030" s="2" t="s">
        <v>23</v>
      </c>
      <c r="I1030" s="2" t="s">
        <v>59</v>
      </c>
      <c r="J1030" s="2">
        <v>2</v>
      </c>
      <c r="K1030" s="2">
        <v>9.99</v>
      </c>
      <c r="L1030" s="2" t="s">
        <v>121</v>
      </c>
      <c r="M1030" s="2">
        <v>5</v>
      </c>
      <c r="N1030" s="2">
        <v>4.99</v>
      </c>
      <c r="O1030" s="2">
        <v>19.97</v>
      </c>
      <c r="P1030" s="2" t="s">
        <v>27</v>
      </c>
      <c r="Q1030" s="2" t="s">
        <v>28</v>
      </c>
      <c r="R1030" s="2" t="s">
        <v>99</v>
      </c>
      <c r="S1030" s="2" t="s">
        <v>75</v>
      </c>
      <c r="T1030" s="2"/>
      <c r="U1030" s="2" t="str">
        <f t="shared" si="49"/>
        <v>Not Required</v>
      </c>
      <c r="V1030" s="2" t="s">
        <v>2934</v>
      </c>
    </row>
    <row r="1031" spans="1:22" hidden="1" x14ac:dyDescent="0.3">
      <c r="A1031" s="2" t="s">
        <v>2935</v>
      </c>
      <c r="B1031" s="12">
        <f t="shared" si="48"/>
        <v>46238.583274166667</v>
      </c>
      <c r="C1031" s="13">
        <v>46238.583274166667</v>
      </c>
      <c r="D1031" s="2" t="s">
        <v>540</v>
      </c>
      <c r="E1031" s="2" t="str">
        <f t="shared" si="50"/>
        <v>Email Available</v>
      </c>
      <c r="F1031" s="2" t="s">
        <v>541</v>
      </c>
      <c r="G1031" s="2" t="s">
        <v>65</v>
      </c>
      <c r="H1031" s="2" t="s">
        <v>49</v>
      </c>
      <c r="I1031" s="2" t="s">
        <v>453</v>
      </c>
      <c r="J1031" s="2">
        <v>1</v>
      </c>
      <c r="K1031" s="2">
        <v>14.99</v>
      </c>
      <c r="L1031" s="2"/>
      <c r="M1031" s="2">
        <v>0</v>
      </c>
      <c r="N1031" s="2">
        <v>5.99</v>
      </c>
      <c r="O1031" s="2">
        <v>20.98</v>
      </c>
      <c r="P1031" s="2" t="s">
        <v>40</v>
      </c>
      <c r="Q1031" s="2" t="s">
        <v>41</v>
      </c>
      <c r="R1031" s="2" t="s">
        <v>52</v>
      </c>
      <c r="S1031" s="2" t="s">
        <v>75</v>
      </c>
      <c r="T1031" s="2"/>
      <c r="U1031" s="2" t="str">
        <f t="shared" si="49"/>
        <v>Not Required</v>
      </c>
      <c r="V1031" s="2" t="s">
        <v>2936</v>
      </c>
    </row>
    <row r="1032" spans="1:22" hidden="1" x14ac:dyDescent="0.3">
      <c r="A1032" s="2" t="s">
        <v>2937</v>
      </c>
      <c r="B1032" s="12">
        <f t="shared" si="48"/>
        <v>46238</v>
      </c>
      <c r="C1032" s="13" t="s">
        <v>2780</v>
      </c>
      <c r="D1032" s="2" t="s">
        <v>2045</v>
      </c>
      <c r="E1032" s="2" t="str">
        <f t="shared" si="50"/>
        <v>Email Available</v>
      </c>
      <c r="F1032" s="2" t="s">
        <v>2046</v>
      </c>
      <c r="G1032" s="2" t="s">
        <v>127</v>
      </c>
      <c r="H1032" s="2" t="s">
        <v>81</v>
      </c>
      <c r="I1032" s="2" t="s">
        <v>128</v>
      </c>
      <c r="J1032" s="2">
        <v>1</v>
      </c>
      <c r="K1032" s="2">
        <v>13.99</v>
      </c>
      <c r="L1032" s="2" t="s">
        <v>25</v>
      </c>
      <c r="M1032" s="2">
        <v>2.8</v>
      </c>
      <c r="N1032" s="2">
        <v>7.99</v>
      </c>
      <c r="O1032" s="2">
        <v>19.18</v>
      </c>
      <c r="P1032" s="2" t="s">
        <v>68</v>
      </c>
      <c r="Q1032" s="2" t="s">
        <v>114</v>
      </c>
      <c r="R1032" s="2" t="s">
        <v>52</v>
      </c>
      <c r="S1032" s="2" t="s">
        <v>108</v>
      </c>
      <c r="T1032" s="2"/>
      <c r="U1032" s="2" t="str">
        <f t="shared" si="49"/>
        <v>Not Required</v>
      </c>
      <c r="V1032" s="2" t="s">
        <v>2938</v>
      </c>
    </row>
    <row r="1033" spans="1:22" hidden="1" x14ac:dyDescent="0.3">
      <c r="A1033" s="2" t="s">
        <v>2939</v>
      </c>
      <c r="B1033" s="12">
        <f t="shared" si="48"/>
        <v>46238.584946967603</v>
      </c>
      <c r="C1033" s="13">
        <v>46238.584946967603</v>
      </c>
      <c r="D1033" s="2" t="s">
        <v>685</v>
      </c>
      <c r="E1033" s="2" t="str">
        <f t="shared" si="50"/>
        <v>Email Available</v>
      </c>
      <c r="F1033" s="2" t="s">
        <v>485</v>
      </c>
      <c r="G1033" s="2" t="s">
        <v>127</v>
      </c>
      <c r="H1033" s="2" t="s">
        <v>81</v>
      </c>
      <c r="I1033" s="2" t="s">
        <v>128</v>
      </c>
      <c r="J1033" s="2">
        <v>1</v>
      </c>
      <c r="K1033" s="2">
        <v>13.99</v>
      </c>
      <c r="L1033" s="2" t="s">
        <v>208</v>
      </c>
      <c r="M1033" s="2">
        <v>2.1</v>
      </c>
      <c r="N1033" s="2">
        <v>4.99</v>
      </c>
      <c r="O1033" s="2">
        <v>16.88</v>
      </c>
      <c r="P1033" s="2" t="s">
        <v>27</v>
      </c>
      <c r="Q1033" s="2" t="s">
        <v>28</v>
      </c>
      <c r="R1033" s="2" t="s">
        <v>52</v>
      </c>
      <c r="S1033" s="2" t="s">
        <v>30</v>
      </c>
      <c r="T1033" s="2" t="s">
        <v>115</v>
      </c>
      <c r="U1033" s="2" t="str">
        <f t="shared" si="49"/>
        <v>Valid</v>
      </c>
      <c r="V1033" s="2" t="s">
        <v>2940</v>
      </c>
    </row>
    <row r="1034" spans="1:22" hidden="1" x14ac:dyDescent="0.3">
      <c r="A1034" s="2" t="s">
        <v>2941</v>
      </c>
      <c r="B1034" s="12">
        <f t="shared" si="48"/>
        <v>46238.580323368064</v>
      </c>
      <c r="C1034" s="13">
        <v>46238.580323368064</v>
      </c>
      <c r="D1034" s="2" t="s">
        <v>2495</v>
      </c>
      <c r="E1034" s="2" t="str">
        <f t="shared" si="50"/>
        <v>Email Available</v>
      </c>
      <c r="F1034" s="2" t="s">
        <v>86</v>
      </c>
      <c r="G1034" s="2" t="s">
        <v>112</v>
      </c>
      <c r="H1034" s="2" t="s">
        <v>81</v>
      </c>
      <c r="I1034" s="2" t="s">
        <v>113</v>
      </c>
      <c r="J1034" s="2">
        <v>3</v>
      </c>
      <c r="K1034" s="2">
        <v>22.99</v>
      </c>
      <c r="L1034" s="2" t="s">
        <v>39</v>
      </c>
      <c r="M1034" s="2">
        <v>0</v>
      </c>
      <c r="N1034" s="2">
        <v>0</v>
      </c>
      <c r="O1034" s="2">
        <v>68.97</v>
      </c>
      <c r="P1034" s="2" t="s">
        <v>74</v>
      </c>
      <c r="Q1034" s="2" t="s">
        <v>28</v>
      </c>
      <c r="R1034" s="2" t="s">
        <v>52</v>
      </c>
      <c r="S1034" s="2" t="s">
        <v>30</v>
      </c>
      <c r="T1034" s="2" t="s">
        <v>294</v>
      </c>
      <c r="U1034" s="2" t="str">
        <f t="shared" si="49"/>
        <v>Valid</v>
      </c>
      <c r="V1034" s="2" t="s">
        <v>2942</v>
      </c>
    </row>
    <row r="1035" spans="1:22" hidden="1" x14ac:dyDescent="0.3">
      <c r="A1035" s="2" t="s">
        <v>2943</v>
      </c>
      <c r="B1035" s="12">
        <f t="shared" si="48"/>
        <v>46238.579758645843</v>
      </c>
      <c r="C1035" s="13">
        <v>46238.579758645843</v>
      </c>
      <c r="D1035" s="2" t="s">
        <v>2944</v>
      </c>
      <c r="E1035" s="2" t="str">
        <f t="shared" si="50"/>
        <v>Email Available</v>
      </c>
      <c r="F1035" s="2" t="s">
        <v>2945</v>
      </c>
      <c r="G1035" s="2" t="s">
        <v>65</v>
      </c>
      <c r="H1035" s="2" t="s">
        <v>49</v>
      </c>
      <c r="I1035" s="2" t="s">
        <v>66</v>
      </c>
      <c r="J1035" s="2">
        <v>1</v>
      </c>
      <c r="K1035" s="2">
        <v>14.99</v>
      </c>
      <c r="L1035" s="2" t="s">
        <v>67</v>
      </c>
      <c r="M1035" s="2">
        <v>1.5</v>
      </c>
      <c r="N1035" s="2">
        <v>5.99</v>
      </c>
      <c r="O1035" s="2">
        <v>19.48</v>
      </c>
      <c r="P1035" s="2" t="s">
        <v>40</v>
      </c>
      <c r="Q1035" s="2" t="s">
        <v>28</v>
      </c>
      <c r="R1035" s="2" t="s">
        <v>52</v>
      </c>
      <c r="S1035" s="2" t="s">
        <v>337</v>
      </c>
      <c r="T1035" s="2"/>
      <c r="U1035" s="2" t="str">
        <f t="shared" si="49"/>
        <v>Not Required</v>
      </c>
      <c r="V1035" s="2" t="s">
        <v>2946</v>
      </c>
    </row>
    <row r="1036" spans="1:22" hidden="1" x14ac:dyDescent="0.3">
      <c r="A1036" s="2" t="s">
        <v>2947</v>
      </c>
      <c r="B1036" s="12">
        <f t="shared" si="48"/>
        <v>46238.583783217589</v>
      </c>
      <c r="C1036" s="13">
        <v>46238.583783217589</v>
      </c>
      <c r="D1036" s="2" t="s">
        <v>562</v>
      </c>
      <c r="E1036" s="2" t="str">
        <f t="shared" si="50"/>
        <v>Email Available</v>
      </c>
      <c r="F1036" s="2" t="s">
        <v>47</v>
      </c>
      <c r="G1036" s="2" t="s">
        <v>195</v>
      </c>
      <c r="H1036" s="2" t="s">
        <v>196</v>
      </c>
      <c r="I1036" s="2" t="s">
        <v>197</v>
      </c>
      <c r="J1036" s="2">
        <v>1</v>
      </c>
      <c r="K1036" s="2">
        <v>13.49</v>
      </c>
      <c r="L1036" s="2" t="s">
        <v>121</v>
      </c>
      <c r="M1036" s="2">
        <v>3.37</v>
      </c>
      <c r="N1036" s="2">
        <v>7.99</v>
      </c>
      <c r="O1036" s="2">
        <v>18.11</v>
      </c>
      <c r="P1036" s="2" t="s">
        <v>68</v>
      </c>
      <c r="Q1036" s="2" t="s">
        <v>28</v>
      </c>
      <c r="R1036" s="2" t="s">
        <v>42</v>
      </c>
      <c r="S1036" s="2" t="s">
        <v>30</v>
      </c>
      <c r="T1036" s="2" t="s">
        <v>454</v>
      </c>
      <c r="U1036" s="2" t="str">
        <f t="shared" si="49"/>
        <v>Valid</v>
      </c>
      <c r="V1036" s="2" t="s">
        <v>2948</v>
      </c>
    </row>
    <row r="1037" spans="1:22" hidden="1" x14ac:dyDescent="0.3">
      <c r="A1037" s="2" t="s">
        <v>2949</v>
      </c>
      <c r="B1037" s="12">
        <f>DATE(VALUE(RIGHT(C1037,4)),MATCH(LEFT(C1037,3),{"Jan","Feb","Mar","Apr","May","Jun","Jul","Aug","Sep","Oct","Nov","Dec"},0),VALUE(MID(C1037,5,2)))</f>
        <v>46238</v>
      </c>
      <c r="C1037" s="13" t="s">
        <v>176</v>
      </c>
      <c r="D1037" s="2" t="s">
        <v>2950</v>
      </c>
      <c r="E1037" s="2" t="str">
        <f t="shared" si="50"/>
        <v>Email Available</v>
      </c>
      <c r="F1037" s="2" t="s">
        <v>2951</v>
      </c>
      <c r="G1037" s="2" t="s">
        <v>368</v>
      </c>
      <c r="H1037" s="2" t="s">
        <v>88</v>
      </c>
      <c r="I1037" s="2" t="s">
        <v>369</v>
      </c>
      <c r="J1037" s="2">
        <v>3</v>
      </c>
      <c r="K1037" s="2">
        <v>54.99</v>
      </c>
      <c r="L1037" s="2"/>
      <c r="M1037" s="2">
        <v>0</v>
      </c>
      <c r="N1037" s="2">
        <v>0</v>
      </c>
      <c r="O1037" s="2">
        <v>164.97</v>
      </c>
      <c r="P1037" s="2" t="s">
        <v>27</v>
      </c>
      <c r="Q1037" s="2" t="s">
        <v>28</v>
      </c>
      <c r="R1037" s="2" t="s">
        <v>52</v>
      </c>
      <c r="S1037" s="2" t="s">
        <v>337</v>
      </c>
      <c r="T1037" s="2"/>
      <c r="U1037" s="2" t="str">
        <f t="shared" si="49"/>
        <v>Not Required</v>
      </c>
      <c r="V1037" s="2" t="s">
        <v>2952</v>
      </c>
    </row>
    <row r="1038" spans="1:22" hidden="1" x14ac:dyDescent="0.3">
      <c r="A1038" s="2" t="s">
        <v>2953</v>
      </c>
      <c r="B1038" s="12">
        <f t="shared" si="48"/>
        <v>46238.581684675934</v>
      </c>
      <c r="C1038" s="13">
        <v>46238.581684675934</v>
      </c>
      <c r="D1038" s="2" t="s">
        <v>2954</v>
      </c>
      <c r="E1038" s="2" t="str">
        <f t="shared" si="50"/>
        <v>Email Available</v>
      </c>
      <c r="F1038" s="2" t="s">
        <v>2955</v>
      </c>
      <c r="G1038" s="2" t="s">
        <v>272</v>
      </c>
      <c r="H1038" s="2" t="s">
        <v>23</v>
      </c>
      <c r="I1038" s="2" t="s">
        <v>273</v>
      </c>
      <c r="J1038" s="2">
        <v>2</v>
      </c>
      <c r="K1038" s="2">
        <v>18.989999999999998</v>
      </c>
      <c r="L1038" s="2" t="s">
        <v>25</v>
      </c>
      <c r="M1038" s="2" t="s">
        <v>2956</v>
      </c>
      <c r="N1038" s="2">
        <v>4.99</v>
      </c>
      <c r="O1038" s="2">
        <v>35.369999999999997</v>
      </c>
      <c r="P1038" s="2" t="s">
        <v>68</v>
      </c>
      <c r="Q1038" s="2" t="s">
        <v>28</v>
      </c>
      <c r="R1038" s="2" t="s">
        <v>52</v>
      </c>
      <c r="S1038" s="2" t="s">
        <v>43</v>
      </c>
      <c r="T1038" s="2"/>
      <c r="U1038" s="2" t="str">
        <f t="shared" si="49"/>
        <v>Not Required</v>
      </c>
      <c r="V1038" s="2" t="s">
        <v>2957</v>
      </c>
    </row>
    <row r="1039" spans="1:22" hidden="1" x14ac:dyDescent="0.3">
      <c r="A1039" s="2" t="s">
        <v>2958</v>
      </c>
      <c r="B1039" s="12">
        <f t="shared" si="48"/>
        <v>46238.580320763889</v>
      </c>
      <c r="C1039" s="13">
        <v>46238.580320763889</v>
      </c>
      <c r="D1039" s="2" t="s">
        <v>1033</v>
      </c>
      <c r="E1039" s="2" t="str">
        <f t="shared" si="50"/>
        <v>Email Available</v>
      </c>
      <c r="F1039" s="2" t="s">
        <v>1034</v>
      </c>
      <c r="G1039" s="2" t="s">
        <v>226</v>
      </c>
      <c r="H1039" s="2" t="s">
        <v>23</v>
      </c>
      <c r="I1039" s="2" t="s">
        <v>227</v>
      </c>
      <c r="J1039" s="2">
        <v>2</v>
      </c>
      <c r="K1039" s="2">
        <v>17.989999999999998</v>
      </c>
      <c r="L1039" s="2" t="s">
        <v>25</v>
      </c>
      <c r="M1039" s="2">
        <v>7.2</v>
      </c>
      <c r="N1039" s="2">
        <v>4.99</v>
      </c>
      <c r="O1039" s="2">
        <v>33.770000000000003</v>
      </c>
      <c r="P1039" s="2" t="s">
        <v>74</v>
      </c>
      <c r="Q1039" s="2" t="s">
        <v>28</v>
      </c>
      <c r="R1039" s="2" t="s">
        <v>29</v>
      </c>
      <c r="S1039" s="2" t="s">
        <v>30</v>
      </c>
      <c r="T1039" s="2" t="s">
        <v>294</v>
      </c>
      <c r="U1039" s="2" t="str">
        <f t="shared" si="49"/>
        <v>Valid</v>
      </c>
      <c r="V1039" s="2" t="s">
        <v>1745</v>
      </c>
    </row>
    <row r="1040" spans="1:22" hidden="1" x14ac:dyDescent="0.3">
      <c r="A1040" s="2" t="s">
        <v>2959</v>
      </c>
      <c r="B1040" s="12">
        <f t="shared" si="48"/>
        <v>46238.585100856479</v>
      </c>
      <c r="C1040" s="13">
        <v>46238.585100856479</v>
      </c>
      <c r="D1040" s="2" t="s">
        <v>1306</v>
      </c>
      <c r="E1040" s="2" t="str">
        <f t="shared" si="50"/>
        <v>Email Available</v>
      </c>
      <c r="F1040" s="2" t="s">
        <v>1307</v>
      </c>
      <c r="G1040" s="2" t="s">
        <v>195</v>
      </c>
      <c r="H1040" s="2" t="s">
        <v>196</v>
      </c>
      <c r="I1040" s="2" t="s">
        <v>197</v>
      </c>
      <c r="J1040" s="2">
        <v>1</v>
      </c>
      <c r="K1040" s="2">
        <v>13.49</v>
      </c>
      <c r="L1040" s="2" t="s">
        <v>25</v>
      </c>
      <c r="M1040" s="2">
        <v>2.7</v>
      </c>
      <c r="N1040" s="2">
        <v>5.99</v>
      </c>
      <c r="O1040" s="2" t="s">
        <v>2960</v>
      </c>
      <c r="P1040" s="2" t="s">
        <v>51</v>
      </c>
      <c r="Q1040" s="2" t="s">
        <v>41</v>
      </c>
      <c r="R1040" s="2" t="s">
        <v>52</v>
      </c>
      <c r="S1040" s="2" t="s">
        <v>75</v>
      </c>
      <c r="T1040" s="2"/>
      <c r="U1040" s="2" t="str">
        <f t="shared" si="49"/>
        <v>Not Required</v>
      </c>
      <c r="V1040" s="2" t="s">
        <v>2961</v>
      </c>
    </row>
    <row r="1041" spans="1:22" hidden="1" x14ac:dyDescent="0.3">
      <c r="A1041" s="2" t="s">
        <v>2962</v>
      </c>
      <c r="B1041" s="12">
        <f t="shared" si="48"/>
        <v>46238.580472268521</v>
      </c>
      <c r="C1041" s="13">
        <v>46238.580472268521</v>
      </c>
      <c r="D1041" s="2" t="s">
        <v>1520</v>
      </c>
      <c r="E1041" s="2" t="str">
        <f t="shared" si="50"/>
        <v>Email Available</v>
      </c>
      <c r="F1041" s="2" t="s">
        <v>1521</v>
      </c>
      <c r="G1041" s="2" t="s">
        <v>58</v>
      </c>
      <c r="H1041" s="2" t="s">
        <v>23</v>
      </c>
      <c r="I1041" s="2" t="s">
        <v>59</v>
      </c>
      <c r="J1041" s="2">
        <v>1</v>
      </c>
      <c r="K1041" s="2">
        <v>9.99</v>
      </c>
      <c r="L1041" s="2"/>
      <c r="M1041" s="2">
        <v>0</v>
      </c>
      <c r="N1041" s="2">
        <v>5.99</v>
      </c>
      <c r="O1041" s="2">
        <v>15.98</v>
      </c>
      <c r="P1041" s="2" t="s">
        <v>74</v>
      </c>
      <c r="Q1041" s="2" t="s">
        <v>41</v>
      </c>
      <c r="R1041" s="2" t="s">
        <v>52</v>
      </c>
      <c r="S1041" s="2" t="s">
        <v>30</v>
      </c>
      <c r="T1041" s="2" t="s">
        <v>248</v>
      </c>
      <c r="U1041" s="2" t="str">
        <f t="shared" si="49"/>
        <v>Valid</v>
      </c>
      <c r="V1041" s="2" t="s">
        <v>2963</v>
      </c>
    </row>
    <row r="1042" spans="1:22" hidden="1" x14ac:dyDescent="0.3">
      <c r="A1042" s="2" t="s">
        <v>2964</v>
      </c>
      <c r="B1042" s="12">
        <f t="shared" si="48"/>
        <v>46238.586642696762</v>
      </c>
      <c r="C1042" s="13">
        <v>46238.586642696762</v>
      </c>
      <c r="D1042" s="2" t="s">
        <v>420</v>
      </c>
      <c r="E1042" s="2" t="str">
        <f t="shared" si="50"/>
        <v>Email Available</v>
      </c>
      <c r="F1042" s="2" t="s">
        <v>421</v>
      </c>
      <c r="G1042" s="2" t="s">
        <v>226</v>
      </c>
      <c r="H1042" s="2" t="s">
        <v>23</v>
      </c>
      <c r="I1042" s="2" t="s">
        <v>227</v>
      </c>
      <c r="J1042" s="2">
        <v>1</v>
      </c>
      <c r="K1042" s="2">
        <v>17.989999999999998</v>
      </c>
      <c r="L1042" s="2" t="s">
        <v>2965</v>
      </c>
      <c r="M1042" s="2">
        <v>3.6</v>
      </c>
      <c r="N1042" s="2">
        <v>5.99</v>
      </c>
      <c r="O1042" s="2">
        <v>20.38</v>
      </c>
      <c r="P1042" s="2" t="s">
        <v>40</v>
      </c>
      <c r="Q1042" s="2" t="s">
        <v>28</v>
      </c>
      <c r="R1042" s="2" t="s">
        <v>42</v>
      </c>
      <c r="S1042" s="2" t="s">
        <v>337</v>
      </c>
      <c r="T1042" s="2"/>
      <c r="U1042" s="2" t="str">
        <f t="shared" si="49"/>
        <v>Not Required</v>
      </c>
      <c r="V1042" s="2" t="s">
        <v>2966</v>
      </c>
    </row>
    <row r="1043" spans="1:22" hidden="1" x14ac:dyDescent="0.3">
      <c r="A1043" s="2" t="s">
        <v>2967</v>
      </c>
      <c r="B1043" s="12">
        <f t="shared" si="48"/>
        <v>46238.582053472222</v>
      </c>
      <c r="C1043" s="13">
        <v>46238.582053472222</v>
      </c>
      <c r="D1043" s="2" t="s">
        <v>200</v>
      </c>
      <c r="E1043" s="2" t="str">
        <f t="shared" si="50"/>
        <v>Email Available</v>
      </c>
      <c r="F1043" s="2" t="s">
        <v>201</v>
      </c>
      <c r="G1043" s="2" t="s">
        <v>315</v>
      </c>
      <c r="H1043" s="2" t="s">
        <v>37</v>
      </c>
      <c r="I1043" s="2" t="s">
        <v>316</v>
      </c>
      <c r="J1043" s="2">
        <v>1</v>
      </c>
      <c r="K1043" s="2">
        <v>8.99</v>
      </c>
      <c r="L1043" s="2" t="s">
        <v>39</v>
      </c>
      <c r="M1043" s="2">
        <v>0</v>
      </c>
      <c r="N1043" s="2">
        <v>0</v>
      </c>
      <c r="O1043" s="2">
        <v>8.99</v>
      </c>
      <c r="P1043" s="2" t="s">
        <v>27</v>
      </c>
      <c r="Q1043" s="2" t="s">
        <v>90</v>
      </c>
      <c r="R1043" s="2" t="s">
        <v>52</v>
      </c>
      <c r="S1043" s="2" t="s">
        <v>30</v>
      </c>
      <c r="T1043" s="2" t="s">
        <v>53</v>
      </c>
      <c r="U1043" s="2" t="str">
        <f t="shared" si="49"/>
        <v>Valid</v>
      </c>
      <c r="V1043" s="2" t="s">
        <v>2968</v>
      </c>
    </row>
    <row r="1044" spans="1:22" x14ac:dyDescent="0.3">
      <c r="A1044" s="2" t="s">
        <v>2969</v>
      </c>
      <c r="B1044" s="12">
        <f t="shared" si="48"/>
        <v>46238.586377962973</v>
      </c>
      <c r="C1044" s="13">
        <v>46238.586377962973</v>
      </c>
      <c r="D1044" s="2" t="s">
        <v>524</v>
      </c>
      <c r="E1044" s="2" t="str">
        <f t="shared" si="50"/>
        <v>Missing Email</v>
      </c>
      <c r="F1044" s="2"/>
      <c r="G1044" s="2" t="s">
        <v>206</v>
      </c>
      <c r="H1044" s="2" t="s">
        <v>196</v>
      </c>
      <c r="I1044" s="2" t="s">
        <v>207</v>
      </c>
      <c r="J1044" s="2">
        <v>1</v>
      </c>
      <c r="K1044" s="2">
        <v>24.99</v>
      </c>
      <c r="L1044" s="2" t="s">
        <v>121</v>
      </c>
      <c r="M1044" s="2">
        <v>6.25</v>
      </c>
      <c r="N1044" s="2">
        <v>5.99</v>
      </c>
      <c r="O1044" s="2">
        <v>24.73</v>
      </c>
      <c r="P1044" s="2" t="s">
        <v>40</v>
      </c>
      <c r="Q1044" s="2" t="s">
        <v>28</v>
      </c>
      <c r="R1044" s="2" t="s">
        <v>52</v>
      </c>
      <c r="S1044" s="2" t="s">
        <v>30</v>
      </c>
      <c r="T1044" s="2" t="s">
        <v>115</v>
      </c>
      <c r="U1044" s="2" t="str">
        <f t="shared" si="49"/>
        <v>Valid</v>
      </c>
      <c r="V1044" s="2" t="s">
        <v>2970</v>
      </c>
    </row>
    <row r="1045" spans="1:22" hidden="1" x14ac:dyDescent="0.3">
      <c r="A1045" s="2" t="s">
        <v>2971</v>
      </c>
      <c r="B1045" s="12">
        <f t="shared" si="48"/>
        <v>46238.582257928239</v>
      </c>
      <c r="C1045" s="13">
        <v>46238.582257928239</v>
      </c>
      <c r="D1045" s="2" t="s">
        <v>1007</v>
      </c>
      <c r="E1045" s="2" t="str">
        <f t="shared" si="50"/>
        <v>Email Available</v>
      </c>
      <c r="F1045" s="2" t="s">
        <v>1008</v>
      </c>
      <c r="G1045" s="2" t="s">
        <v>151</v>
      </c>
      <c r="H1045" s="2" t="s">
        <v>49</v>
      </c>
      <c r="I1045" s="2" t="s">
        <v>152</v>
      </c>
      <c r="J1045" s="2">
        <v>4</v>
      </c>
      <c r="K1045" s="2">
        <v>34.99</v>
      </c>
      <c r="L1045" s="2" t="s">
        <v>25</v>
      </c>
      <c r="M1045" s="2">
        <v>27.99</v>
      </c>
      <c r="N1045" s="2">
        <v>0</v>
      </c>
      <c r="O1045" s="2">
        <v>111.97</v>
      </c>
      <c r="P1045" s="2" t="s">
        <v>40</v>
      </c>
      <c r="Q1045" s="2" t="s">
        <v>90</v>
      </c>
      <c r="R1045" s="2" t="s">
        <v>52</v>
      </c>
      <c r="S1045" s="2" t="s">
        <v>43</v>
      </c>
      <c r="T1045" s="2"/>
      <c r="U1045" s="2" t="str">
        <f t="shared" si="49"/>
        <v>Not Required</v>
      </c>
      <c r="V1045" s="2" t="s">
        <v>2972</v>
      </c>
    </row>
    <row r="1046" spans="1:22" hidden="1" x14ac:dyDescent="0.3">
      <c r="A1046" s="2" t="s">
        <v>2973</v>
      </c>
      <c r="B1046" s="12">
        <f t="shared" si="48"/>
        <v>46238.588448182869</v>
      </c>
      <c r="C1046" s="13">
        <v>46238.588448182869</v>
      </c>
      <c r="D1046" s="2" t="s">
        <v>2059</v>
      </c>
      <c r="E1046" s="2" t="str">
        <f t="shared" si="50"/>
        <v>Email Available</v>
      </c>
      <c r="F1046" s="2" t="s">
        <v>2179</v>
      </c>
      <c r="G1046" s="2" t="s">
        <v>127</v>
      </c>
      <c r="H1046" s="2" t="s">
        <v>81</v>
      </c>
      <c r="I1046" s="2" t="s">
        <v>128</v>
      </c>
      <c r="J1046" s="2">
        <v>1</v>
      </c>
      <c r="K1046" s="2">
        <v>13.99</v>
      </c>
      <c r="L1046" s="2"/>
      <c r="M1046" s="2">
        <v>0</v>
      </c>
      <c r="N1046" s="2">
        <v>7.99</v>
      </c>
      <c r="O1046" s="2">
        <v>21.98</v>
      </c>
      <c r="P1046" s="2" t="s">
        <v>40</v>
      </c>
      <c r="Q1046" s="2" t="s">
        <v>28</v>
      </c>
      <c r="R1046" s="2" t="s">
        <v>52</v>
      </c>
      <c r="S1046" s="2" t="s">
        <v>30</v>
      </c>
      <c r="T1046" s="2" t="s">
        <v>31</v>
      </c>
      <c r="U1046" s="2" t="str">
        <f t="shared" si="49"/>
        <v>Valid</v>
      </c>
      <c r="V1046" s="2" t="s">
        <v>2974</v>
      </c>
    </row>
    <row r="1047" spans="1:22" hidden="1" x14ac:dyDescent="0.3">
      <c r="A1047" s="2" t="s">
        <v>2975</v>
      </c>
      <c r="B1047" s="12">
        <f t="shared" si="48"/>
        <v>46120</v>
      </c>
      <c r="C1047" s="13" t="s">
        <v>142</v>
      </c>
      <c r="D1047" s="2" t="s">
        <v>2261</v>
      </c>
      <c r="E1047" s="2" t="str">
        <f t="shared" si="50"/>
        <v>Email Available</v>
      </c>
      <c r="F1047" s="2" t="s">
        <v>2262</v>
      </c>
      <c r="G1047" s="2" t="s">
        <v>2976</v>
      </c>
      <c r="H1047" s="2" t="s">
        <v>196</v>
      </c>
      <c r="I1047" s="2" t="s">
        <v>197</v>
      </c>
      <c r="J1047" s="2">
        <v>1</v>
      </c>
      <c r="K1047" s="2">
        <v>13.49</v>
      </c>
      <c r="L1047" s="2" t="s">
        <v>67</v>
      </c>
      <c r="M1047" s="2">
        <v>1.35</v>
      </c>
      <c r="N1047" s="2">
        <v>7.99</v>
      </c>
      <c r="O1047" s="2">
        <v>20.13</v>
      </c>
      <c r="P1047" s="2" t="s">
        <v>51</v>
      </c>
      <c r="Q1047" s="2" t="s">
        <v>114</v>
      </c>
      <c r="R1047" s="2" t="s">
        <v>52</v>
      </c>
      <c r="S1047" s="2" t="s">
        <v>75</v>
      </c>
      <c r="T1047" s="2"/>
      <c r="U1047" s="2" t="str">
        <f t="shared" si="49"/>
        <v>Not Required</v>
      </c>
      <c r="V1047" s="2" t="s">
        <v>2977</v>
      </c>
    </row>
    <row r="1048" spans="1:22" hidden="1" x14ac:dyDescent="0.3">
      <c r="A1048" s="2" t="s">
        <v>2978</v>
      </c>
      <c r="B1048" s="12">
        <f t="shared" si="48"/>
        <v>46238.584408402778</v>
      </c>
      <c r="C1048" s="13">
        <v>46238.584408402778</v>
      </c>
      <c r="D1048" s="2" t="s">
        <v>1302</v>
      </c>
      <c r="E1048" s="2" t="str">
        <f t="shared" si="50"/>
        <v>Email Available</v>
      </c>
      <c r="F1048" s="2" t="s">
        <v>1303</v>
      </c>
      <c r="G1048" s="2" t="s">
        <v>157</v>
      </c>
      <c r="H1048" s="2" t="s">
        <v>37</v>
      </c>
      <c r="I1048" s="2" t="s">
        <v>158</v>
      </c>
      <c r="J1048" s="2">
        <v>1</v>
      </c>
      <c r="K1048" s="2">
        <v>29.99</v>
      </c>
      <c r="L1048" s="2" t="s">
        <v>67</v>
      </c>
      <c r="M1048" s="2">
        <v>3</v>
      </c>
      <c r="N1048" s="2">
        <v>7.99</v>
      </c>
      <c r="O1048" s="2">
        <v>34.979999999999997</v>
      </c>
      <c r="P1048" s="2" t="s">
        <v>40</v>
      </c>
      <c r="Q1048" s="2" t="s">
        <v>28</v>
      </c>
      <c r="R1048" s="2" t="s">
        <v>52</v>
      </c>
      <c r="S1048" s="2" t="s">
        <v>43</v>
      </c>
      <c r="T1048" s="2"/>
      <c r="U1048" s="2" t="str">
        <f t="shared" si="49"/>
        <v>Not Required</v>
      </c>
      <c r="V1048" s="2" t="s">
        <v>2979</v>
      </c>
    </row>
    <row r="1049" spans="1:22" hidden="1" x14ac:dyDescent="0.3">
      <c r="A1049" s="2" t="s">
        <v>2980</v>
      </c>
      <c r="B1049" s="12">
        <f t="shared" si="48"/>
        <v>46238.58172021991</v>
      </c>
      <c r="C1049" s="13">
        <v>46238.58172021991</v>
      </c>
      <c r="D1049" s="2" t="s">
        <v>2298</v>
      </c>
      <c r="E1049" s="2" t="str">
        <f t="shared" si="50"/>
        <v>Email Available</v>
      </c>
      <c r="F1049" s="2" t="s">
        <v>2299</v>
      </c>
      <c r="G1049" s="2" t="s">
        <v>48</v>
      </c>
      <c r="H1049" s="2" t="s">
        <v>49</v>
      </c>
      <c r="I1049" s="2" t="s">
        <v>50</v>
      </c>
      <c r="J1049" s="2">
        <v>1</v>
      </c>
      <c r="K1049" s="2">
        <v>39.99</v>
      </c>
      <c r="L1049" s="2"/>
      <c r="M1049" s="2">
        <v>0</v>
      </c>
      <c r="N1049" s="2">
        <v>7.99</v>
      </c>
      <c r="O1049" s="2">
        <v>47.98</v>
      </c>
      <c r="P1049" s="2" t="s">
        <v>51</v>
      </c>
      <c r="Q1049" s="2" t="s">
        <v>90</v>
      </c>
      <c r="R1049" s="2" t="s">
        <v>52</v>
      </c>
      <c r="S1049" s="2" t="s">
        <v>30</v>
      </c>
      <c r="T1049" s="2" t="s">
        <v>145</v>
      </c>
      <c r="U1049" s="2" t="str">
        <f t="shared" si="49"/>
        <v>Valid</v>
      </c>
      <c r="V1049" s="2" t="s">
        <v>2981</v>
      </c>
    </row>
    <row r="1050" spans="1:22" hidden="1" x14ac:dyDescent="0.3">
      <c r="A1050" s="2" t="s">
        <v>2982</v>
      </c>
      <c r="B1050" s="12">
        <f t="shared" si="48"/>
        <v>46238.579020196761</v>
      </c>
      <c r="C1050" s="13">
        <v>46238.579020196761</v>
      </c>
      <c r="D1050" s="2" t="s">
        <v>345</v>
      </c>
      <c r="E1050" s="2" t="str">
        <f t="shared" si="50"/>
        <v>Email Available</v>
      </c>
      <c r="F1050" s="2" t="s">
        <v>452</v>
      </c>
      <c r="G1050" s="2" t="s">
        <v>284</v>
      </c>
      <c r="H1050" s="2" t="s">
        <v>23</v>
      </c>
      <c r="I1050" s="2" t="s">
        <v>285</v>
      </c>
      <c r="J1050" s="2">
        <v>2</v>
      </c>
      <c r="K1050" s="2">
        <v>24.99</v>
      </c>
      <c r="L1050" s="2" t="s">
        <v>39</v>
      </c>
      <c r="M1050" s="2">
        <v>0</v>
      </c>
      <c r="N1050" s="2">
        <v>0</v>
      </c>
      <c r="O1050" s="2" t="s">
        <v>2983</v>
      </c>
      <c r="P1050" s="2" t="s">
        <v>27</v>
      </c>
      <c r="Q1050" s="2" t="s">
        <v>41</v>
      </c>
      <c r="R1050" s="2" t="s">
        <v>52</v>
      </c>
      <c r="S1050" s="2" t="s">
        <v>30</v>
      </c>
      <c r="T1050" s="2" t="s">
        <v>60</v>
      </c>
      <c r="U1050" s="2" t="str">
        <f t="shared" si="49"/>
        <v>Valid</v>
      </c>
      <c r="V1050" s="2" t="s">
        <v>2984</v>
      </c>
    </row>
    <row r="1051" spans="1:22" hidden="1" x14ac:dyDescent="0.3">
      <c r="A1051" s="2" t="s">
        <v>2985</v>
      </c>
      <c r="B1051" s="12">
        <f t="shared" si="48"/>
        <v>46238.582601516202</v>
      </c>
      <c r="C1051" s="13">
        <v>46238.582601516202</v>
      </c>
      <c r="D1051" s="2" t="s">
        <v>384</v>
      </c>
      <c r="E1051" s="2" t="str">
        <f t="shared" si="50"/>
        <v>Email Available</v>
      </c>
      <c r="F1051" s="2" t="s">
        <v>385</v>
      </c>
      <c r="G1051" s="2" t="s">
        <v>187</v>
      </c>
      <c r="H1051" s="2" t="s">
        <v>37</v>
      </c>
      <c r="I1051" s="2" t="s">
        <v>188</v>
      </c>
      <c r="J1051" s="2">
        <v>1</v>
      </c>
      <c r="K1051" s="2" t="s">
        <v>409</v>
      </c>
      <c r="L1051" s="2"/>
      <c r="M1051" s="2">
        <v>0</v>
      </c>
      <c r="N1051" s="2">
        <v>7.99</v>
      </c>
      <c r="O1051" s="2">
        <v>19.98</v>
      </c>
      <c r="P1051" s="2" t="s">
        <v>68</v>
      </c>
      <c r="Q1051" s="2" t="s">
        <v>28</v>
      </c>
      <c r="R1051" s="2" t="s">
        <v>99</v>
      </c>
      <c r="S1051" s="2" t="s">
        <v>75</v>
      </c>
      <c r="T1051" s="2"/>
      <c r="U1051" s="2" t="str">
        <f t="shared" si="49"/>
        <v>Not Required</v>
      </c>
      <c r="V1051" s="2" t="s">
        <v>2986</v>
      </c>
    </row>
    <row r="1052" spans="1:22" hidden="1" x14ac:dyDescent="0.3">
      <c r="A1052" s="2" t="s">
        <v>2987</v>
      </c>
      <c r="B1052" s="12">
        <f t="shared" si="48"/>
        <v>46238</v>
      </c>
      <c r="C1052" s="13" t="s">
        <v>255</v>
      </c>
      <c r="D1052" s="2" t="s">
        <v>2988</v>
      </c>
      <c r="E1052" s="2" t="str">
        <f t="shared" si="50"/>
        <v>Email Available</v>
      </c>
      <c r="F1052" s="2" t="s">
        <v>2989</v>
      </c>
      <c r="G1052" s="2" t="s">
        <v>65</v>
      </c>
      <c r="H1052" s="2" t="s">
        <v>49</v>
      </c>
      <c r="I1052" s="2" t="s">
        <v>453</v>
      </c>
      <c r="J1052" s="2">
        <v>1</v>
      </c>
      <c r="K1052" s="2">
        <v>14.99</v>
      </c>
      <c r="L1052" s="2" t="s">
        <v>208</v>
      </c>
      <c r="M1052" s="2" t="s">
        <v>2313</v>
      </c>
      <c r="N1052" s="2">
        <v>4.99</v>
      </c>
      <c r="O1052" s="2">
        <v>17.73</v>
      </c>
      <c r="P1052" s="2" t="s">
        <v>68</v>
      </c>
      <c r="Q1052" s="2" t="s">
        <v>114</v>
      </c>
      <c r="R1052" s="2" t="s">
        <v>42</v>
      </c>
      <c r="S1052" s="2" t="s">
        <v>30</v>
      </c>
      <c r="T1052" s="2" t="s">
        <v>145</v>
      </c>
      <c r="U1052" s="2" t="str">
        <f t="shared" si="49"/>
        <v>Valid</v>
      </c>
      <c r="V1052" s="2" t="s">
        <v>2990</v>
      </c>
    </row>
    <row r="1053" spans="1:22" hidden="1" x14ac:dyDescent="0.3">
      <c r="A1053" s="2" t="s">
        <v>2991</v>
      </c>
      <c r="B1053" s="12">
        <f t="shared" si="48"/>
        <v>46238</v>
      </c>
      <c r="C1053" s="13" t="s">
        <v>148</v>
      </c>
      <c r="D1053" s="2" t="s">
        <v>2992</v>
      </c>
      <c r="E1053" s="2" t="str">
        <f t="shared" si="50"/>
        <v>Email Available</v>
      </c>
      <c r="F1053" s="2" t="s">
        <v>2993</v>
      </c>
      <c r="G1053" s="2" t="s">
        <v>187</v>
      </c>
      <c r="H1053" s="2" t="s">
        <v>37</v>
      </c>
      <c r="I1053" s="2" t="s">
        <v>188</v>
      </c>
      <c r="J1053" s="2">
        <v>2</v>
      </c>
      <c r="K1053" s="2">
        <v>11.99</v>
      </c>
      <c r="L1053" s="2" t="s">
        <v>67</v>
      </c>
      <c r="M1053" s="2">
        <v>2.4</v>
      </c>
      <c r="N1053" s="2">
        <v>5.99</v>
      </c>
      <c r="O1053" s="2">
        <v>27.57</v>
      </c>
      <c r="P1053" s="2" t="s">
        <v>40</v>
      </c>
      <c r="Q1053" s="2" t="s">
        <v>28</v>
      </c>
      <c r="R1053" s="2" t="s">
        <v>52</v>
      </c>
      <c r="S1053" s="2" t="s">
        <v>30</v>
      </c>
      <c r="T1053" s="2" t="s">
        <v>53</v>
      </c>
      <c r="U1053" s="2" t="str">
        <f t="shared" si="49"/>
        <v>Valid</v>
      </c>
      <c r="V1053" s="2" t="s">
        <v>2994</v>
      </c>
    </row>
    <row r="1054" spans="1:22" hidden="1" x14ac:dyDescent="0.3">
      <c r="A1054" s="2" t="s">
        <v>2995</v>
      </c>
      <c r="B1054" s="12">
        <f t="shared" si="48"/>
        <v>46238</v>
      </c>
      <c r="C1054" s="13" t="s">
        <v>344</v>
      </c>
      <c r="D1054" s="2" t="s">
        <v>1193</v>
      </c>
      <c r="E1054" s="2" t="str">
        <f t="shared" si="50"/>
        <v>Email Available</v>
      </c>
      <c r="F1054" s="2" t="s">
        <v>1194</v>
      </c>
      <c r="G1054" s="2" t="s">
        <v>112</v>
      </c>
      <c r="H1054" s="2" t="s">
        <v>81</v>
      </c>
      <c r="I1054" s="2" t="s">
        <v>113</v>
      </c>
      <c r="J1054" s="2">
        <v>3</v>
      </c>
      <c r="K1054" s="2">
        <v>22.99</v>
      </c>
      <c r="L1054" s="2" t="s">
        <v>121</v>
      </c>
      <c r="M1054" s="2">
        <v>17.239999999999998</v>
      </c>
      <c r="N1054" s="2">
        <v>4.99</v>
      </c>
      <c r="O1054" s="2">
        <v>56.72</v>
      </c>
      <c r="P1054" s="2" t="s">
        <v>40</v>
      </c>
      <c r="Q1054" s="2" t="s">
        <v>28</v>
      </c>
      <c r="R1054" s="2" t="s">
        <v>52</v>
      </c>
      <c r="S1054" s="2" t="s">
        <v>30</v>
      </c>
      <c r="T1054" s="2" t="s">
        <v>1412</v>
      </c>
      <c r="U1054" s="2" t="str">
        <f t="shared" si="49"/>
        <v>Valid</v>
      </c>
      <c r="V1054" s="2" t="s">
        <v>2996</v>
      </c>
    </row>
    <row r="1055" spans="1:22" hidden="1" x14ac:dyDescent="0.3">
      <c r="A1055" s="2" t="s">
        <v>2997</v>
      </c>
      <c r="B1055" s="12">
        <f t="shared" si="48"/>
        <v>46238.584735486111</v>
      </c>
      <c r="C1055" s="13">
        <v>46238.584735486111</v>
      </c>
      <c r="D1055" s="2" t="s">
        <v>2998</v>
      </c>
      <c r="E1055" s="2" t="str">
        <f t="shared" si="50"/>
        <v>Email Available</v>
      </c>
      <c r="F1055" s="2" t="s">
        <v>2262</v>
      </c>
      <c r="G1055" s="2" t="s">
        <v>120</v>
      </c>
      <c r="H1055" s="2" t="s">
        <v>23</v>
      </c>
      <c r="I1055" s="2" t="s">
        <v>24</v>
      </c>
      <c r="J1055" s="2">
        <v>2</v>
      </c>
      <c r="K1055" s="2">
        <v>12.99</v>
      </c>
      <c r="L1055" s="2"/>
      <c r="M1055" s="2">
        <v>0</v>
      </c>
      <c r="N1055" s="2">
        <v>5.99</v>
      </c>
      <c r="O1055" s="2">
        <v>31.97</v>
      </c>
      <c r="P1055" s="2" t="s">
        <v>51</v>
      </c>
      <c r="Q1055" s="2" t="s">
        <v>28</v>
      </c>
      <c r="R1055" s="2" t="s">
        <v>42</v>
      </c>
      <c r="S1055" s="2" t="s">
        <v>75</v>
      </c>
      <c r="T1055" s="2"/>
      <c r="U1055" s="2" t="str">
        <f t="shared" si="49"/>
        <v>Not Required</v>
      </c>
      <c r="V1055" s="2" t="s">
        <v>2830</v>
      </c>
    </row>
    <row r="1056" spans="1:22" hidden="1" x14ac:dyDescent="0.3">
      <c r="A1056" s="2" t="s">
        <v>2999</v>
      </c>
      <c r="B1056" s="12">
        <f t="shared" si="48"/>
        <v>46238.586066736112</v>
      </c>
      <c r="C1056" s="13">
        <v>46238.586066736112</v>
      </c>
      <c r="D1056" s="2" t="s">
        <v>360</v>
      </c>
      <c r="E1056" s="2" t="str">
        <f t="shared" si="50"/>
        <v>Email Available</v>
      </c>
      <c r="F1056" s="2" t="s">
        <v>361</v>
      </c>
      <c r="G1056" s="2" t="s">
        <v>187</v>
      </c>
      <c r="H1056" s="2" t="s">
        <v>37</v>
      </c>
      <c r="I1056" s="2" t="s">
        <v>188</v>
      </c>
      <c r="J1056" s="2">
        <v>2</v>
      </c>
      <c r="K1056" s="2">
        <v>11.99</v>
      </c>
      <c r="L1056" s="2" t="s">
        <v>67</v>
      </c>
      <c r="M1056" s="2">
        <v>2.4</v>
      </c>
      <c r="N1056" s="2">
        <v>5.99</v>
      </c>
      <c r="O1056" s="2">
        <v>27.57</v>
      </c>
      <c r="P1056" s="2" t="s">
        <v>51</v>
      </c>
      <c r="Q1056" s="2" t="s">
        <v>90</v>
      </c>
      <c r="R1056" s="2" t="s">
        <v>52</v>
      </c>
      <c r="S1056" s="2" t="s">
        <v>228</v>
      </c>
      <c r="T1056" s="2"/>
      <c r="U1056" s="2" t="str">
        <f t="shared" si="49"/>
        <v>Not Required</v>
      </c>
      <c r="V1056" s="2" t="s">
        <v>3000</v>
      </c>
    </row>
    <row r="1057" spans="1:22" hidden="1" x14ac:dyDescent="0.3">
      <c r="A1057" s="2" t="s">
        <v>3001</v>
      </c>
      <c r="B1057" s="12">
        <f t="shared" si="48"/>
        <v>46238.580351504628</v>
      </c>
      <c r="C1057" s="13">
        <v>46238.580351504628</v>
      </c>
      <c r="D1057" s="2" t="s">
        <v>1339</v>
      </c>
      <c r="E1057" s="2" t="str">
        <f t="shared" si="50"/>
        <v>Email Available</v>
      </c>
      <c r="F1057" s="2" t="s">
        <v>1340</v>
      </c>
      <c r="G1057" s="2" t="s">
        <v>272</v>
      </c>
      <c r="H1057" s="2" t="s">
        <v>23</v>
      </c>
      <c r="I1057" s="2" t="s">
        <v>273</v>
      </c>
      <c r="J1057" s="2">
        <v>2</v>
      </c>
      <c r="K1057" s="2">
        <v>18.989999999999998</v>
      </c>
      <c r="L1057" s="2"/>
      <c r="M1057" s="2">
        <v>0</v>
      </c>
      <c r="N1057" s="2">
        <v>5.99</v>
      </c>
      <c r="O1057" s="2">
        <v>43.97</v>
      </c>
      <c r="P1057" s="2" t="s">
        <v>51</v>
      </c>
      <c r="Q1057" s="2" t="s">
        <v>28</v>
      </c>
      <c r="R1057" s="2" t="s">
        <v>52</v>
      </c>
      <c r="S1057" s="2" t="s">
        <v>43</v>
      </c>
      <c r="T1057" s="2"/>
      <c r="U1057" s="2" t="str">
        <f t="shared" si="49"/>
        <v>Not Required</v>
      </c>
      <c r="V1057" s="2" t="s">
        <v>3002</v>
      </c>
    </row>
    <row r="1058" spans="1:22" hidden="1" x14ac:dyDescent="0.3">
      <c r="A1058" s="2" t="s">
        <v>3003</v>
      </c>
      <c r="B1058" s="12">
        <f t="shared" si="48"/>
        <v>46238</v>
      </c>
      <c r="C1058" s="13" t="s">
        <v>1209</v>
      </c>
      <c r="D1058" s="2" t="s">
        <v>3004</v>
      </c>
      <c r="E1058" s="2" t="str">
        <f t="shared" si="50"/>
        <v>Email Available</v>
      </c>
      <c r="F1058" s="2" t="s">
        <v>1947</v>
      </c>
      <c r="G1058" s="2" t="s">
        <v>171</v>
      </c>
      <c r="H1058" s="2" t="s">
        <v>106</v>
      </c>
      <c r="I1058" s="2" t="s">
        <v>172</v>
      </c>
      <c r="J1058" s="2">
        <v>1</v>
      </c>
      <c r="K1058" s="2">
        <v>32.99</v>
      </c>
      <c r="L1058" s="2" t="s">
        <v>25</v>
      </c>
      <c r="M1058" s="2">
        <v>6.6</v>
      </c>
      <c r="N1058" s="2">
        <v>7.99</v>
      </c>
      <c r="O1058" s="2">
        <v>34.380000000000003</v>
      </c>
      <c r="P1058" s="2" t="s">
        <v>74</v>
      </c>
      <c r="Q1058" s="2" t="s">
        <v>114</v>
      </c>
      <c r="R1058" s="2" t="s">
        <v>52</v>
      </c>
      <c r="S1058" s="2" t="s">
        <v>30</v>
      </c>
      <c r="T1058" s="2" t="s">
        <v>454</v>
      </c>
      <c r="U1058" s="2" t="str">
        <f t="shared" si="49"/>
        <v>Valid</v>
      </c>
      <c r="V1058" s="2" t="s">
        <v>3005</v>
      </c>
    </row>
    <row r="1059" spans="1:22" hidden="1" x14ac:dyDescent="0.3">
      <c r="A1059" s="2" t="s">
        <v>3006</v>
      </c>
      <c r="B1059" s="12">
        <f t="shared" si="48"/>
        <v>46238.585960578697</v>
      </c>
      <c r="C1059" s="13">
        <v>46238.585960578697</v>
      </c>
      <c r="D1059" s="2" t="s">
        <v>1098</v>
      </c>
      <c r="E1059" s="2" t="str">
        <f t="shared" si="50"/>
        <v>Email Available</v>
      </c>
      <c r="F1059" s="2" t="s">
        <v>1099</v>
      </c>
      <c r="G1059" s="2" t="s">
        <v>112</v>
      </c>
      <c r="H1059" s="2" t="s">
        <v>81</v>
      </c>
      <c r="I1059" s="2" t="s">
        <v>113</v>
      </c>
      <c r="J1059" s="2">
        <v>1</v>
      </c>
      <c r="K1059" s="2">
        <v>22.99</v>
      </c>
      <c r="L1059" s="2"/>
      <c r="M1059" s="2">
        <v>0</v>
      </c>
      <c r="N1059" s="2">
        <v>5.99</v>
      </c>
      <c r="O1059" s="2">
        <v>28.98</v>
      </c>
      <c r="P1059" s="2" t="s">
        <v>51</v>
      </c>
      <c r="Q1059" s="2" t="s">
        <v>28</v>
      </c>
      <c r="R1059" s="2" t="s">
        <v>99</v>
      </c>
      <c r="S1059" s="2" t="s">
        <v>30</v>
      </c>
      <c r="T1059" s="2" t="s">
        <v>351</v>
      </c>
      <c r="U1059" s="2" t="str">
        <f t="shared" si="49"/>
        <v>Valid</v>
      </c>
      <c r="V1059" s="2" t="s">
        <v>3007</v>
      </c>
    </row>
    <row r="1060" spans="1:22" hidden="1" x14ac:dyDescent="0.3">
      <c r="A1060" s="2" t="s">
        <v>3008</v>
      </c>
      <c r="B1060" s="12">
        <f t="shared" si="48"/>
        <v>46238.579964699071</v>
      </c>
      <c r="C1060" s="13">
        <v>46238.579964699071</v>
      </c>
      <c r="D1060" s="2" t="s">
        <v>327</v>
      </c>
      <c r="E1060" s="2" t="str">
        <f t="shared" si="50"/>
        <v>Email Available</v>
      </c>
      <c r="F1060" s="2" t="s">
        <v>328</v>
      </c>
      <c r="G1060" s="2" t="s">
        <v>272</v>
      </c>
      <c r="H1060" s="2" t="s">
        <v>23</v>
      </c>
      <c r="I1060" s="2" t="s">
        <v>273</v>
      </c>
      <c r="J1060" s="2">
        <v>1</v>
      </c>
      <c r="K1060" s="2" t="s">
        <v>639</v>
      </c>
      <c r="L1060" s="2"/>
      <c r="M1060" s="2">
        <v>0</v>
      </c>
      <c r="N1060" s="2">
        <v>7.99</v>
      </c>
      <c r="O1060" s="2">
        <v>26.98</v>
      </c>
      <c r="P1060" s="2" t="s">
        <v>40</v>
      </c>
      <c r="Q1060" s="2" t="s">
        <v>28</v>
      </c>
      <c r="R1060" s="2" t="s">
        <v>52</v>
      </c>
      <c r="S1060" s="2" t="s">
        <v>228</v>
      </c>
      <c r="T1060" s="2"/>
      <c r="U1060" s="2" t="str">
        <f t="shared" si="49"/>
        <v>Not Required</v>
      </c>
      <c r="V1060" s="2" t="s">
        <v>3009</v>
      </c>
    </row>
    <row r="1061" spans="1:22" hidden="1" x14ac:dyDescent="0.3">
      <c r="A1061" s="2" t="s">
        <v>3010</v>
      </c>
      <c r="B1061" s="12">
        <f t="shared" si="48"/>
        <v>46238.588906238423</v>
      </c>
      <c r="C1061" s="13">
        <v>46238.588906238423</v>
      </c>
      <c r="D1061" s="2" t="s">
        <v>1564</v>
      </c>
      <c r="E1061" s="2" t="str">
        <f t="shared" si="50"/>
        <v>Email Available</v>
      </c>
      <c r="F1061" s="2" t="s">
        <v>1565</v>
      </c>
      <c r="G1061" s="2" t="s">
        <v>133</v>
      </c>
      <c r="H1061" s="2" t="s">
        <v>106</v>
      </c>
      <c r="I1061" s="2" t="s">
        <v>134</v>
      </c>
      <c r="J1061" s="2">
        <v>1</v>
      </c>
      <c r="K1061" s="2">
        <v>16.989999999999998</v>
      </c>
      <c r="L1061" s="2" t="s">
        <v>39</v>
      </c>
      <c r="M1061" s="2">
        <v>0</v>
      </c>
      <c r="N1061" s="2">
        <v>0</v>
      </c>
      <c r="O1061" s="2">
        <v>16.989999999999998</v>
      </c>
      <c r="P1061" s="2" t="s">
        <v>68</v>
      </c>
      <c r="Q1061" s="2" t="s">
        <v>90</v>
      </c>
      <c r="R1061" s="2" t="s">
        <v>52</v>
      </c>
      <c r="S1061" s="2" t="s">
        <v>30</v>
      </c>
      <c r="T1061" s="2" t="s">
        <v>91</v>
      </c>
      <c r="U1061" s="2" t="str">
        <f t="shared" si="49"/>
        <v>Valid</v>
      </c>
      <c r="V1061" s="2" t="s">
        <v>3011</v>
      </c>
    </row>
    <row r="1062" spans="1:22" hidden="1" x14ac:dyDescent="0.3">
      <c r="A1062" s="2" t="s">
        <v>3012</v>
      </c>
      <c r="B1062" s="12">
        <f t="shared" si="48"/>
        <v>46238.586876388887</v>
      </c>
      <c r="C1062" s="13">
        <v>46238.586876388887</v>
      </c>
      <c r="D1062" s="2" t="s">
        <v>239</v>
      </c>
      <c r="E1062" s="2" t="str">
        <f t="shared" si="50"/>
        <v>Email Available</v>
      </c>
      <c r="F1062" s="2" t="s">
        <v>240</v>
      </c>
      <c r="G1062" s="2" t="s">
        <v>65</v>
      </c>
      <c r="H1062" s="2" t="s">
        <v>49</v>
      </c>
      <c r="I1062" s="2" t="s">
        <v>453</v>
      </c>
      <c r="J1062" s="2">
        <v>1</v>
      </c>
      <c r="K1062" s="2">
        <v>14.99</v>
      </c>
      <c r="L1062" s="2"/>
      <c r="M1062" s="2">
        <v>0</v>
      </c>
      <c r="N1062" s="2">
        <v>7.99</v>
      </c>
      <c r="O1062" s="2">
        <v>22.98</v>
      </c>
      <c r="P1062" s="2" t="s">
        <v>74</v>
      </c>
      <c r="Q1062" s="2" t="s">
        <v>28</v>
      </c>
      <c r="R1062" s="2" t="s">
        <v>29</v>
      </c>
      <c r="S1062" s="2" t="s">
        <v>75</v>
      </c>
      <c r="T1062" s="2"/>
      <c r="U1062" s="2" t="str">
        <f t="shared" si="49"/>
        <v>Not Required</v>
      </c>
      <c r="V1062" s="2" t="s">
        <v>3013</v>
      </c>
    </row>
    <row r="1063" spans="1:22" hidden="1" x14ac:dyDescent="0.3">
      <c r="A1063" s="2" t="s">
        <v>3014</v>
      </c>
      <c r="B1063" s="12">
        <f t="shared" si="48"/>
        <v>46238.585030868053</v>
      </c>
      <c r="C1063" s="13">
        <v>46238.585030868053</v>
      </c>
      <c r="D1063" s="2" t="s">
        <v>1239</v>
      </c>
      <c r="E1063" s="2" t="str">
        <f t="shared" si="50"/>
        <v>Email Available</v>
      </c>
      <c r="F1063" s="2" t="s">
        <v>1240</v>
      </c>
      <c r="G1063" s="2" t="s">
        <v>157</v>
      </c>
      <c r="H1063" s="2" t="s">
        <v>37</v>
      </c>
      <c r="I1063" s="2" t="s">
        <v>158</v>
      </c>
      <c r="J1063" s="2">
        <v>1</v>
      </c>
      <c r="K1063" s="2">
        <v>29.99</v>
      </c>
      <c r="L1063" s="2" t="s">
        <v>208</v>
      </c>
      <c r="M1063" s="2">
        <v>4.5</v>
      </c>
      <c r="N1063" s="2">
        <v>5.99</v>
      </c>
      <c r="O1063" s="2">
        <v>31.48</v>
      </c>
      <c r="P1063" s="2" t="s">
        <v>51</v>
      </c>
      <c r="Q1063" s="2" t="s">
        <v>41</v>
      </c>
      <c r="R1063" s="2" t="s">
        <v>52</v>
      </c>
      <c r="S1063" s="2" t="s">
        <v>30</v>
      </c>
      <c r="T1063" s="2" t="s">
        <v>91</v>
      </c>
      <c r="U1063" s="2" t="str">
        <f t="shared" si="49"/>
        <v>Valid</v>
      </c>
      <c r="V1063" s="2" t="s">
        <v>3015</v>
      </c>
    </row>
    <row r="1064" spans="1:22" hidden="1" x14ac:dyDescent="0.3">
      <c r="A1064" s="2" t="s">
        <v>3016</v>
      </c>
      <c r="B1064" s="12">
        <f t="shared" si="48"/>
        <v>46238.585142870368</v>
      </c>
      <c r="C1064" s="13">
        <v>46238.585142870368</v>
      </c>
      <c r="D1064" s="2" t="s">
        <v>405</v>
      </c>
      <c r="E1064" s="2" t="str">
        <f t="shared" si="50"/>
        <v>Email Available</v>
      </c>
      <c r="F1064" s="2" t="s">
        <v>406</v>
      </c>
      <c r="G1064" s="2" t="s">
        <v>171</v>
      </c>
      <c r="H1064" s="2" t="s">
        <v>106</v>
      </c>
      <c r="I1064" s="2" t="s">
        <v>172</v>
      </c>
      <c r="J1064" s="2">
        <v>1</v>
      </c>
      <c r="K1064" s="2">
        <v>32.99</v>
      </c>
      <c r="L1064" s="2"/>
      <c r="M1064" s="2" t="s">
        <v>189</v>
      </c>
      <c r="N1064" s="2">
        <v>5.99</v>
      </c>
      <c r="O1064" s="2">
        <v>38.979999999999997</v>
      </c>
      <c r="P1064" s="2" t="s">
        <v>27</v>
      </c>
      <c r="Q1064" s="2" t="s">
        <v>90</v>
      </c>
      <c r="R1064" s="2" t="s">
        <v>29</v>
      </c>
      <c r="S1064" s="2" t="s">
        <v>30</v>
      </c>
      <c r="T1064" s="2" t="s">
        <v>248</v>
      </c>
      <c r="U1064" s="2" t="str">
        <f t="shared" si="49"/>
        <v>Valid</v>
      </c>
      <c r="V1064" s="2" t="s">
        <v>3017</v>
      </c>
    </row>
    <row r="1065" spans="1:22" hidden="1" x14ac:dyDescent="0.3">
      <c r="A1065" s="2" t="s">
        <v>3018</v>
      </c>
      <c r="B1065" s="12">
        <f t="shared" si="48"/>
        <v>46238</v>
      </c>
      <c r="C1065" s="13" t="s">
        <v>2075</v>
      </c>
      <c r="D1065" s="2" t="s">
        <v>288</v>
      </c>
      <c r="E1065" s="2" t="str">
        <f t="shared" si="50"/>
        <v>Email Available</v>
      </c>
      <c r="F1065" s="2" t="s">
        <v>289</v>
      </c>
      <c r="G1065" s="2" t="s">
        <v>226</v>
      </c>
      <c r="H1065" s="2" t="s">
        <v>23</v>
      </c>
      <c r="I1065" s="2" t="s">
        <v>227</v>
      </c>
      <c r="J1065" s="2">
        <v>1</v>
      </c>
      <c r="K1065" s="2">
        <v>17.989999999999998</v>
      </c>
      <c r="L1065" s="2" t="s">
        <v>25</v>
      </c>
      <c r="M1065" s="2">
        <v>3.6</v>
      </c>
      <c r="N1065" s="2">
        <v>7.99</v>
      </c>
      <c r="O1065" s="2">
        <v>22.38</v>
      </c>
      <c r="P1065" s="2" t="s">
        <v>74</v>
      </c>
      <c r="Q1065" s="2" t="s">
        <v>28</v>
      </c>
      <c r="R1065" s="2" t="s">
        <v>52</v>
      </c>
      <c r="S1065" s="2" t="s">
        <v>30</v>
      </c>
      <c r="T1065" s="2" t="s">
        <v>115</v>
      </c>
      <c r="U1065" s="2" t="str">
        <f t="shared" si="49"/>
        <v>Valid</v>
      </c>
      <c r="V1065" s="2" t="s">
        <v>3019</v>
      </c>
    </row>
    <row r="1066" spans="1:22" hidden="1" x14ac:dyDescent="0.3">
      <c r="A1066" s="2" t="s">
        <v>3020</v>
      </c>
      <c r="B1066" s="12">
        <f t="shared" si="48"/>
        <v>46238</v>
      </c>
      <c r="C1066" s="13" t="s">
        <v>148</v>
      </c>
      <c r="D1066" s="2" t="s">
        <v>3021</v>
      </c>
      <c r="E1066" s="2" t="str">
        <f t="shared" si="50"/>
        <v>Email Available</v>
      </c>
      <c r="F1066" s="2" t="s">
        <v>3022</v>
      </c>
      <c r="G1066" s="2" t="s">
        <v>206</v>
      </c>
      <c r="H1066" s="2" t="s">
        <v>196</v>
      </c>
      <c r="I1066" s="2" t="s">
        <v>207</v>
      </c>
      <c r="J1066" s="2">
        <v>1</v>
      </c>
      <c r="K1066" s="2">
        <v>24.99</v>
      </c>
      <c r="L1066" s="2" t="s">
        <v>208</v>
      </c>
      <c r="M1066" s="2">
        <v>3.75</v>
      </c>
      <c r="N1066" s="2">
        <v>7.99</v>
      </c>
      <c r="O1066" s="2">
        <v>29.23</v>
      </c>
      <c r="P1066" s="2" t="s">
        <v>68</v>
      </c>
      <c r="Q1066" s="2" t="s">
        <v>28</v>
      </c>
      <c r="R1066" s="2" t="s">
        <v>99</v>
      </c>
      <c r="S1066" s="2" t="s">
        <v>108</v>
      </c>
      <c r="T1066" s="2"/>
      <c r="U1066" s="2" t="str">
        <f t="shared" si="49"/>
        <v>Not Required</v>
      </c>
      <c r="V1066" s="2" t="s">
        <v>3023</v>
      </c>
    </row>
    <row r="1067" spans="1:22" hidden="1" x14ac:dyDescent="0.3">
      <c r="A1067" s="2" t="s">
        <v>3024</v>
      </c>
      <c r="B1067" s="12">
        <f t="shared" si="48"/>
        <v>46120</v>
      </c>
      <c r="C1067" s="13" t="s">
        <v>142</v>
      </c>
      <c r="D1067" s="2" t="s">
        <v>3025</v>
      </c>
      <c r="E1067" s="2" t="str">
        <f t="shared" si="50"/>
        <v>Email Available</v>
      </c>
      <c r="F1067" s="2" t="s">
        <v>3026</v>
      </c>
      <c r="G1067" s="2" t="s">
        <v>171</v>
      </c>
      <c r="H1067" s="2" t="s">
        <v>106</v>
      </c>
      <c r="I1067" s="2" t="s">
        <v>172</v>
      </c>
      <c r="J1067" s="2">
        <v>1</v>
      </c>
      <c r="K1067" s="2">
        <v>32.99</v>
      </c>
      <c r="L1067" s="2"/>
      <c r="M1067" s="2">
        <v>0</v>
      </c>
      <c r="N1067" s="2">
        <v>5.99</v>
      </c>
      <c r="O1067" s="2" t="s">
        <v>3027</v>
      </c>
      <c r="P1067" s="2" t="s">
        <v>51</v>
      </c>
      <c r="Q1067" s="2" t="s">
        <v>28</v>
      </c>
      <c r="R1067" s="2" t="s">
        <v>52</v>
      </c>
      <c r="S1067" s="2" t="s">
        <v>337</v>
      </c>
      <c r="T1067" s="2"/>
      <c r="U1067" s="2" t="str">
        <f t="shared" si="49"/>
        <v>Not Required</v>
      </c>
      <c r="V1067" s="2" t="s">
        <v>3028</v>
      </c>
    </row>
    <row r="1068" spans="1:22" x14ac:dyDescent="0.3">
      <c r="A1068" s="2" t="s">
        <v>3029</v>
      </c>
      <c r="B1068" s="12">
        <f t="shared" si="48"/>
        <v>46238.583610196758</v>
      </c>
      <c r="C1068" s="13">
        <v>46238.583610196758</v>
      </c>
      <c r="D1068" s="2" t="s">
        <v>582</v>
      </c>
      <c r="E1068" s="2" t="str">
        <f t="shared" si="50"/>
        <v>Missing Email</v>
      </c>
      <c r="F1068" s="2"/>
      <c r="G1068" s="2" t="s">
        <v>65</v>
      </c>
      <c r="H1068" s="2" t="s">
        <v>49</v>
      </c>
      <c r="I1068" s="2" t="s">
        <v>66</v>
      </c>
      <c r="J1068" s="2">
        <v>1</v>
      </c>
      <c r="K1068" s="2">
        <v>14.99</v>
      </c>
      <c r="L1068" s="2" t="s">
        <v>39</v>
      </c>
      <c r="M1068" s="2">
        <v>0</v>
      </c>
      <c r="N1068" s="2">
        <v>0</v>
      </c>
      <c r="O1068" s="2">
        <v>14.99</v>
      </c>
      <c r="P1068" s="2" t="s">
        <v>40</v>
      </c>
      <c r="Q1068" s="2" t="s">
        <v>28</v>
      </c>
      <c r="R1068" s="2" t="s">
        <v>29</v>
      </c>
      <c r="S1068" s="2" t="s">
        <v>30</v>
      </c>
      <c r="T1068" s="2" t="s">
        <v>60</v>
      </c>
      <c r="U1068" s="2" t="str">
        <f t="shared" si="49"/>
        <v>Valid</v>
      </c>
      <c r="V1068" s="2" t="s">
        <v>3030</v>
      </c>
    </row>
    <row r="1069" spans="1:22" hidden="1" x14ac:dyDescent="0.3">
      <c r="A1069" s="2" t="s">
        <v>3033</v>
      </c>
      <c r="B1069" s="12">
        <f t="shared" si="48"/>
        <v>46238.585138750001</v>
      </c>
      <c r="C1069" s="13">
        <v>46238.585138750001</v>
      </c>
      <c r="D1069" s="2" t="s">
        <v>3034</v>
      </c>
      <c r="E1069" s="2" t="str">
        <f t="shared" si="50"/>
        <v>Email Available</v>
      </c>
      <c r="F1069" s="2" t="s">
        <v>3035</v>
      </c>
      <c r="G1069" s="2" t="s">
        <v>226</v>
      </c>
      <c r="H1069" s="2" t="s">
        <v>23</v>
      </c>
      <c r="I1069" s="2" t="s">
        <v>227</v>
      </c>
      <c r="J1069" s="2">
        <v>1</v>
      </c>
      <c r="K1069" s="2">
        <v>17.989999999999998</v>
      </c>
      <c r="L1069" s="2"/>
      <c r="M1069" s="2">
        <v>0</v>
      </c>
      <c r="N1069" s="2">
        <v>5.99</v>
      </c>
      <c r="O1069" s="2">
        <v>23.98</v>
      </c>
      <c r="P1069" s="2" t="s">
        <v>40</v>
      </c>
      <c r="Q1069" s="2" t="s">
        <v>90</v>
      </c>
      <c r="R1069" s="2" t="s">
        <v>99</v>
      </c>
      <c r="S1069" s="2" t="s">
        <v>30</v>
      </c>
      <c r="T1069" s="2" t="s">
        <v>294</v>
      </c>
      <c r="U1069" s="2" t="str">
        <f t="shared" si="49"/>
        <v>Valid</v>
      </c>
      <c r="V1069" s="2" t="s">
        <v>3036</v>
      </c>
    </row>
    <row r="1070" spans="1:22" hidden="1" x14ac:dyDescent="0.3">
      <c r="A1070" s="2" t="s">
        <v>3037</v>
      </c>
      <c r="B1070" s="12">
        <f t="shared" si="48"/>
        <v>46238.580235254631</v>
      </c>
      <c r="C1070" s="13">
        <v>46238.580235254631</v>
      </c>
      <c r="D1070" s="2" t="s">
        <v>829</v>
      </c>
      <c r="E1070" s="2" t="str">
        <f t="shared" si="50"/>
        <v>Email Available</v>
      </c>
      <c r="F1070" s="2" t="s">
        <v>830</v>
      </c>
      <c r="G1070" s="2" t="s">
        <v>241</v>
      </c>
      <c r="H1070" s="2" t="s">
        <v>242</v>
      </c>
      <c r="I1070" s="2" t="s">
        <v>243</v>
      </c>
      <c r="J1070" s="2">
        <v>1</v>
      </c>
      <c r="K1070" s="2">
        <v>27.99</v>
      </c>
      <c r="L1070" s="2" t="s">
        <v>67</v>
      </c>
      <c r="M1070" s="2" t="s">
        <v>2693</v>
      </c>
      <c r="N1070" s="2">
        <v>7.99</v>
      </c>
      <c r="O1070" s="2">
        <v>33.18</v>
      </c>
      <c r="P1070" s="2" t="s">
        <v>74</v>
      </c>
      <c r="Q1070" s="2" t="s">
        <v>28</v>
      </c>
      <c r="R1070" s="2" t="s">
        <v>29</v>
      </c>
      <c r="S1070" s="2" t="s">
        <v>30</v>
      </c>
      <c r="T1070" s="2" t="s">
        <v>499</v>
      </c>
      <c r="U1070" s="2" t="str">
        <f t="shared" si="49"/>
        <v>Valid</v>
      </c>
      <c r="V1070" s="2" t="s">
        <v>3038</v>
      </c>
    </row>
    <row r="1071" spans="1:22" hidden="1" x14ac:dyDescent="0.3">
      <c r="A1071" s="2" t="s">
        <v>3039</v>
      </c>
      <c r="B1071" s="12">
        <f t="shared" si="48"/>
        <v>46238.580859953698</v>
      </c>
      <c r="C1071" s="13">
        <v>46238.580859953698</v>
      </c>
      <c r="D1071" s="2" t="s">
        <v>181</v>
      </c>
      <c r="E1071" s="2" t="str">
        <f t="shared" si="50"/>
        <v>Email Available</v>
      </c>
      <c r="F1071" s="2" t="s">
        <v>182</v>
      </c>
      <c r="G1071" s="2" t="s">
        <v>187</v>
      </c>
      <c r="H1071" s="2" t="s">
        <v>37</v>
      </c>
      <c r="I1071" s="2" t="s">
        <v>188</v>
      </c>
      <c r="J1071" s="2">
        <v>1</v>
      </c>
      <c r="K1071" s="2">
        <v>11.99</v>
      </c>
      <c r="L1071" s="2" t="s">
        <v>67</v>
      </c>
      <c r="M1071" s="2">
        <v>1.2</v>
      </c>
      <c r="N1071" s="2">
        <v>5.99</v>
      </c>
      <c r="O1071" s="2">
        <v>16.78</v>
      </c>
      <c r="P1071" s="2" t="s">
        <v>27</v>
      </c>
      <c r="Q1071" s="2" t="s">
        <v>28</v>
      </c>
      <c r="R1071" s="2" t="s">
        <v>42</v>
      </c>
      <c r="S1071" s="2" t="s">
        <v>30</v>
      </c>
      <c r="T1071" s="2" t="s">
        <v>145</v>
      </c>
      <c r="U1071" s="2" t="str">
        <f t="shared" si="49"/>
        <v>Valid</v>
      </c>
      <c r="V1071" s="2" t="s">
        <v>3040</v>
      </c>
    </row>
    <row r="1072" spans="1:22" hidden="1" x14ac:dyDescent="0.3">
      <c r="A1072" s="2" t="s">
        <v>3041</v>
      </c>
      <c r="B1072" s="12">
        <f t="shared" si="48"/>
        <v>46238.58768744213</v>
      </c>
      <c r="C1072" s="13">
        <v>46238.58768744213</v>
      </c>
      <c r="D1072" s="2" t="s">
        <v>1530</v>
      </c>
      <c r="E1072" s="2" t="str">
        <f t="shared" si="50"/>
        <v>Email Available</v>
      </c>
      <c r="F1072" s="2" t="s">
        <v>1531</v>
      </c>
      <c r="G1072" s="2" t="s">
        <v>58</v>
      </c>
      <c r="H1072" s="2" t="s">
        <v>23</v>
      </c>
      <c r="I1072" s="2" t="s">
        <v>59</v>
      </c>
      <c r="J1072" s="2">
        <v>1</v>
      </c>
      <c r="K1072" s="2">
        <v>9.99</v>
      </c>
      <c r="L1072" s="2"/>
      <c r="M1072" s="2" t="s">
        <v>189</v>
      </c>
      <c r="N1072" s="2">
        <v>5.99</v>
      </c>
      <c r="O1072" s="2">
        <v>15.98</v>
      </c>
      <c r="P1072" s="2" t="s">
        <v>68</v>
      </c>
      <c r="Q1072" s="2" t="s">
        <v>28</v>
      </c>
      <c r="R1072" s="2" t="s">
        <v>99</v>
      </c>
      <c r="S1072" s="2" t="s">
        <v>43</v>
      </c>
      <c r="T1072" s="2"/>
      <c r="U1072" s="2" t="str">
        <f t="shared" si="49"/>
        <v>Not Required</v>
      </c>
      <c r="V1072" s="2" t="s">
        <v>1568</v>
      </c>
    </row>
    <row r="1073" spans="1:22" hidden="1" x14ac:dyDescent="0.3">
      <c r="A1073" s="2" t="s">
        <v>3042</v>
      </c>
      <c r="B1073" s="12">
        <f t="shared" si="48"/>
        <v>46238.580247962956</v>
      </c>
      <c r="C1073" s="13">
        <v>46238.580247962956</v>
      </c>
      <c r="D1073" s="2" t="s">
        <v>993</v>
      </c>
      <c r="E1073" s="2" t="str">
        <f t="shared" si="50"/>
        <v>Email Available</v>
      </c>
      <c r="F1073" s="2" t="s">
        <v>678</v>
      </c>
      <c r="G1073" s="2" t="s">
        <v>272</v>
      </c>
      <c r="H1073" s="2" t="s">
        <v>23</v>
      </c>
      <c r="I1073" s="2" t="s">
        <v>273</v>
      </c>
      <c r="J1073" s="2">
        <v>2</v>
      </c>
      <c r="K1073" s="2">
        <v>18.989999999999998</v>
      </c>
      <c r="L1073" s="2"/>
      <c r="M1073" s="2">
        <v>0</v>
      </c>
      <c r="N1073" s="2">
        <v>4.99</v>
      </c>
      <c r="O1073" s="2">
        <v>42.97</v>
      </c>
      <c r="P1073" s="2" t="s">
        <v>68</v>
      </c>
      <c r="Q1073" s="2" t="s">
        <v>28</v>
      </c>
      <c r="R1073" s="2" t="s">
        <v>52</v>
      </c>
      <c r="S1073" s="2" t="s">
        <v>30</v>
      </c>
      <c r="T1073" s="2" t="s">
        <v>248</v>
      </c>
      <c r="U1073" s="2" t="str">
        <f t="shared" si="49"/>
        <v>Valid</v>
      </c>
      <c r="V1073" s="2" t="s">
        <v>3043</v>
      </c>
    </row>
    <row r="1074" spans="1:22" hidden="1" x14ac:dyDescent="0.3">
      <c r="A1074" s="2" t="s">
        <v>3044</v>
      </c>
      <c r="B1074" s="12">
        <f t="shared" si="48"/>
        <v>46238.583211493053</v>
      </c>
      <c r="C1074" s="13">
        <v>46238.583211493053</v>
      </c>
      <c r="D1074" s="2" t="s">
        <v>3045</v>
      </c>
      <c r="E1074" s="2" t="str">
        <f t="shared" si="50"/>
        <v>Email Available</v>
      </c>
      <c r="F1074" s="2" t="s">
        <v>3046</v>
      </c>
      <c r="G1074" s="2" t="s">
        <v>266</v>
      </c>
      <c r="H1074" s="2" t="s">
        <v>37</v>
      </c>
      <c r="I1074" s="2" t="s">
        <v>267</v>
      </c>
      <c r="J1074" s="2">
        <v>1</v>
      </c>
      <c r="K1074" s="2">
        <v>15.49</v>
      </c>
      <c r="L1074" s="2" t="s">
        <v>25</v>
      </c>
      <c r="M1074" s="2">
        <v>3.1</v>
      </c>
      <c r="N1074" s="2">
        <v>5.99</v>
      </c>
      <c r="O1074" s="2">
        <v>18.38</v>
      </c>
      <c r="P1074" s="2" t="s">
        <v>27</v>
      </c>
      <c r="Q1074" s="2" t="s">
        <v>90</v>
      </c>
      <c r="R1074" s="2" t="s">
        <v>29</v>
      </c>
      <c r="S1074" s="2" t="s">
        <v>30</v>
      </c>
      <c r="T1074" s="2" t="s">
        <v>351</v>
      </c>
      <c r="U1074" s="2" t="str">
        <f t="shared" si="49"/>
        <v>Valid</v>
      </c>
      <c r="V1074" s="2" t="s">
        <v>3047</v>
      </c>
    </row>
    <row r="1075" spans="1:22" hidden="1" x14ac:dyDescent="0.3">
      <c r="A1075" s="2" t="s">
        <v>3048</v>
      </c>
      <c r="B1075" s="12">
        <f t="shared" si="48"/>
        <v>46238.58036417824</v>
      </c>
      <c r="C1075" s="13">
        <v>46238.58036417824</v>
      </c>
      <c r="D1075" s="2" t="s">
        <v>733</v>
      </c>
      <c r="E1075" s="2" t="str">
        <f t="shared" si="50"/>
        <v>Email Available</v>
      </c>
      <c r="F1075" s="2" t="s">
        <v>734</v>
      </c>
      <c r="G1075" s="2" t="s">
        <v>266</v>
      </c>
      <c r="H1075" s="2" t="s">
        <v>37</v>
      </c>
      <c r="I1075" s="2" t="s">
        <v>267</v>
      </c>
      <c r="J1075" s="2">
        <v>1</v>
      </c>
      <c r="K1075" s="2">
        <v>15.49</v>
      </c>
      <c r="L1075" s="2" t="s">
        <v>39</v>
      </c>
      <c r="M1075" s="2">
        <v>0</v>
      </c>
      <c r="N1075" s="2">
        <v>0</v>
      </c>
      <c r="O1075" s="2">
        <v>15.49</v>
      </c>
      <c r="P1075" s="2" t="s">
        <v>27</v>
      </c>
      <c r="Q1075" s="2" t="s">
        <v>114</v>
      </c>
      <c r="R1075" s="2" t="s">
        <v>42</v>
      </c>
      <c r="S1075" s="2" t="s">
        <v>108</v>
      </c>
      <c r="T1075" s="2"/>
      <c r="U1075" s="2" t="str">
        <f t="shared" si="49"/>
        <v>Not Required</v>
      </c>
      <c r="V1075" s="2" t="s">
        <v>3049</v>
      </c>
    </row>
    <row r="1076" spans="1:22" hidden="1" x14ac:dyDescent="0.3">
      <c r="A1076" s="2" t="s">
        <v>3050</v>
      </c>
      <c r="B1076" s="12">
        <f t="shared" si="48"/>
        <v>46120</v>
      </c>
      <c r="C1076" s="13" t="s">
        <v>142</v>
      </c>
      <c r="D1076" s="2" t="s">
        <v>574</v>
      </c>
      <c r="E1076" s="2" t="str">
        <f t="shared" si="50"/>
        <v>Email Available</v>
      </c>
      <c r="F1076" s="2" t="s">
        <v>575</v>
      </c>
      <c r="G1076" s="2" t="s">
        <v>187</v>
      </c>
      <c r="H1076" s="2" t="s">
        <v>37</v>
      </c>
      <c r="I1076" s="2" t="s">
        <v>188</v>
      </c>
      <c r="J1076" s="2">
        <v>2</v>
      </c>
      <c r="K1076" s="2">
        <v>11.99</v>
      </c>
      <c r="L1076" s="2" t="s">
        <v>67</v>
      </c>
      <c r="M1076" s="2">
        <v>2.4</v>
      </c>
      <c r="N1076" s="2">
        <v>5.99</v>
      </c>
      <c r="O1076" s="2">
        <v>27.57</v>
      </c>
      <c r="P1076" s="2" t="s">
        <v>68</v>
      </c>
      <c r="Q1076" s="2" t="s">
        <v>90</v>
      </c>
      <c r="R1076" s="2" t="s">
        <v>52</v>
      </c>
      <c r="S1076" s="2" t="s">
        <v>108</v>
      </c>
      <c r="T1076" s="2"/>
      <c r="U1076" s="2" t="str">
        <f t="shared" si="49"/>
        <v>Not Required</v>
      </c>
      <c r="V1076" s="2" t="s">
        <v>3051</v>
      </c>
    </row>
    <row r="1077" spans="1:22" hidden="1" x14ac:dyDescent="0.3">
      <c r="A1077" s="2" t="s">
        <v>3052</v>
      </c>
      <c r="B1077" s="12">
        <f t="shared" si="48"/>
        <v>46238</v>
      </c>
      <c r="C1077" s="13" t="s">
        <v>148</v>
      </c>
      <c r="D1077" s="2" t="s">
        <v>993</v>
      </c>
      <c r="E1077" s="2" t="str">
        <f t="shared" si="50"/>
        <v>Email Available</v>
      </c>
      <c r="F1077" s="2" t="s">
        <v>678</v>
      </c>
      <c r="G1077" s="2" t="s">
        <v>266</v>
      </c>
      <c r="H1077" s="2" t="s">
        <v>37</v>
      </c>
      <c r="I1077" s="2" t="s">
        <v>267</v>
      </c>
      <c r="J1077" s="2">
        <v>1</v>
      </c>
      <c r="K1077" s="2">
        <v>15.49</v>
      </c>
      <c r="L1077" s="2" t="s">
        <v>25</v>
      </c>
      <c r="M1077" s="2">
        <v>3.1</v>
      </c>
      <c r="N1077" s="2">
        <v>7.99</v>
      </c>
      <c r="O1077" s="2">
        <v>20.38</v>
      </c>
      <c r="P1077" s="2" t="s">
        <v>27</v>
      </c>
      <c r="Q1077" s="2" t="s">
        <v>41</v>
      </c>
      <c r="R1077" s="2" t="s">
        <v>99</v>
      </c>
      <c r="S1077" s="2" t="s">
        <v>30</v>
      </c>
      <c r="T1077" s="2" t="s">
        <v>248</v>
      </c>
      <c r="U1077" s="2" t="str">
        <f t="shared" si="49"/>
        <v>Valid</v>
      </c>
      <c r="V1077" s="2" t="s">
        <v>3053</v>
      </c>
    </row>
    <row r="1078" spans="1:22" hidden="1" x14ac:dyDescent="0.3">
      <c r="A1078" s="2" t="s">
        <v>3054</v>
      </c>
      <c r="B1078" s="12">
        <f t="shared" si="48"/>
        <v>46238.581128726852</v>
      </c>
      <c r="C1078" s="13">
        <v>46238.581128726852</v>
      </c>
      <c r="D1078" s="2" t="s">
        <v>78</v>
      </c>
      <c r="E1078" s="2" t="str">
        <f t="shared" si="50"/>
        <v>Email Available</v>
      </c>
      <c r="F1078" s="2" t="s">
        <v>79</v>
      </c>
      <c r="G1078" s="2" t="s">
        <v>133</v>
      </c>
      <c r="H1078" s="2" t="s">
        <v>106</v>
      </c>
      <c r="I1078" s="2" t="s">
        <v>134</v>
      </c>
      <c r="J1078" s="2">
        <v>1</v>
      </c>
      <c r="K1078" s="2">
        <v>16.989999999999998</v>
      </c>
      <c r="L1078" s="2" t="s">
        <v>39</v>
      </c>
      <c r="M1078" s="2">
        <v>0</v>
      </c>
      <c r="N1078" s="2">
        <v>0</v>
      </c>
      <c r="O1078" s="2" t="s">
        <v>999</v>
      </c>
      <c r="P1078" s="2" t="s">
        <v>40</v>
      </c>
      <c r="Q1078" s="2" t="s">
        <v>114</v>
      </c>
      <c r="R1078" s="2" t="s">
        <v>29</v>
      </c>
      <c r="S1078" s="2" t="s">
        <v>75</v>
      </c>
      <c r="T1078" s="2"/>
      <c r="U1078" s="2" t="str">
        <f t="shared" si="49"/>
        <v>Not Required</v>
      </c>
      <c r="V1078" s="2" t="s">
        <v>3055</v>
      </c>
    </row>
    <row r="1079" spans="1:22" hidden="1" x14ac:dyDescent="0.3">
      <c r="A1079" s="2" t="s">
        <v>3056</v>
      </c>
      <c r="B1079" s="12">
        <f t="shared" si="48"/>
        <v>46238.589184699071</v>
      </c>
      <c r="C1079" s="13">
        <v>46238.589184699071</v>
      </c>
      <c r="D1079" s="2" t="s">
        <v>354</v>
      </c>
      <c r="E1079" s="2" t="str">
        <f t="shared" si="50"/>
        <v>Email Available</v>
      </c>
      <c r="F1079" s="2" t="s">
        <v>355</v>
      </c>
      <c r="G1079" s="2" t="s">
        <v>80</v>
      </c>
      <c r="H1079" s="2" t="s">
        <v>81</v>
      </c>
      <c r="I1079" s="2" t="s">
        <v>82</v>
      </c>
      <c r="J1079" s="2">
        <v>2</v>
      </c>
      <c r="K1079" s="2">
        <v>89.99</v>
      </c>
      <c r="L1079" s="2"/>
      <c r="M1079" s="2">
        <v>0</v>
      </c>
      <c r="N1079" s="2">
        <v>0</v>
      </c>
      <c r="O1079" s="2">
        <v>179.98</v>
      </c>
      <c r="P1079" s="2" t="s">
        <v>51</v>
      </c>
      <c r="Q1079" s="2" t="s">
        <v>114</v>
      </c>
      <c r="R1079" s="2" t="s">
        <v>42</v>
      </c>
      <c r="S1079" s="2" t="s">
        <v>228</v>
      </c>
      <c r="T1079" s="2"/>
      <c r="U1079" s="2" t="str">
        <f t="shared" si="49"/>
        <v>Not Required</v>
      </c>
      <c r="V1079" s="2" t="s">
        <v>3057</v>
      </c>
    </row>
    <row r="1080" spans="1:22" hidden="1" x14ac:dyDescent="0.3">
      <c r="A1080" s="2" t="s">
        <v>3058</v>
      </c>
      <c r="B1080" s="12">
        <f t="shared" si="48"/>
        <v>46238.581189074073</v>
      </c>
      <c r="C1080" s="13">
        <v>46238.581189074073</v>
      </c>
      <c r="D1080" s="2" t="s">
        <v>169</v>
      </c>
      <c r="E1080" s="2" t="str">
        <f t="shared" si="50"/>
        <v>Email Available</v>
      </c>
      <c r="F1080" s="2" t="s">
        <v>170</v>
      </c>
      <c r="G1080" s="2" t="s">
        <v>87</v>
      </c>
      <c r="H1080" s="2" t="s">
        <v>88</v>
      </c>
      <c r="I1080" s="2" t="s">
        <v>89</v>
      </c>
      <c r="J1080" s="2">
        <v>2</v>
      </c>
      <c r="K1080" s="2">
        <v>54.99</v>
      </c>
      <c r="L1080" s="2"/>
      <c r="M1080" s="2" t="s">
        <v>189</v>
      </c>
      <c r="N1080" s="2">
        <v>0</v>
      </c>
      <c r="O1080" s="2">
        <v>109.98</v>
      </c>
      <c r="P1080" s="2" t="s">
        <v>68</v>
      </c>
      <c r="Q1080" s="2" t="s">
        <v>28</v>
      </c>
      <c r="R1080" s="2" t="s">
        <v>52</v>
      </c>
      <c r="S1080" s="2" t="s">
        <v>108</v>
      </c>
      <c r="T1080" s="2"/>
      <c r="U1080" s="2" t="str">
        <f t="shared" si="49"/>
        <v>Not Required</v>
      </c>
      <c r="V1080" s="2" t="s">
        <v>3059</v>
      </c>
    </row>
    <row r="1081" spans="1:22" hidden="1" x14ac:dyDescent="0.3">
      <c r="A1081" s="2" t="s">
        <v>3060</v>
      </c>
      <c r="B1081" s="12">
        <f t="shared" si="48"/>
        <v>46238.579763159723</v>
      </c>
      <c r="C1081" s="13">
        <v>46238.579763159723</v>
      </c>
      <c r="D1081" s="2" t="s">
        <v>3061</v>
      </c>
      <c r="E1081" s="2" t="str">
        <f t="shared" si="50"/>
        <v>Email Available</v>
      </c>
      <c r="F1081" s="2" t="s">
        <v>166</v>
      </c>
      <c r="G1081" s="2" t="s">
        <v>80</v>
      </c>
      <c r="H1081" s="2" t="s">
        <v>81</v>
      </c>
      <c r="I1081" s="2" t="s">
        <v>82</v>
      </c>
      <c r="J1081" s="2">
        <v>1</v>
      </c>
      <c r="K1081" s="2">
        <v>89.99</v>
      </c>
      <c r="L1081" s="2"/>
      <c r="M1081" s="2">
        <v>0</v>
      </c>
      <c r="N1081" s="2">
        <v>0</v>
      </c>
      <c r="O1081" s="2">
        <v>89.99</v>
      </c>
      <c r="P1081" s="2" t="s">
        <v>74</v>
      </c>
      <c r="Q1081" s="2" t="s">
        <v>28</v>
      </c>
      <c r="R1081" s="2" t="s">
        <v>99</v>
      </c>
      <c r="S1081" s="2" t="s">
        <v>30</v>
      </c>
      <c r="T1081" s="2" t="s">
        <v>145</v>
      </c>
      <c r="U1081" s="2" t="str">
        <f t="shared" si="49"/>
        <v>Valid</v>
      </c>
      <c r="V1081" s="2" t="s">
        <v>3062</v>
      </c>
    </row>
    <row r="1082" spans="1:22" hidden="1" x14ac:dyDescent="0.3">
      <c r="A1082" s="2" t="s">
        <v>3063</v>
      </c>
      <c r="B1082" s="12">
        <f t="shared" si="48"/>
        <v>46238.579308136577</v>
      </c>
      <c r="C1082" s="13">
        <v>46238.579308136577</v>
      </c>
      <c r="D1082" s="2" t="s">
        <v>3064</v>
      </c>
      <c r="E1082" s="2" t="str">
        <f t="shared" si="50"/>
        <v>Email Available</v>
      </c>
      <c r="F1082" s="2" t="s">
        <v>3065</v>
      </c>
      <c r="G1082" s="2" t="s">
        <v>157</v>
      </c>
      <c r="H1082" s="2" t="s">
        <v>37</v>
      </c>
      <c r="I1082" s="2" t="s">
        <v>158</v>
      </c>
      <c r="J1082" s="2">
        <v>2</v>
      </c>
      <c r="K1082" s="2">
        <v>29.99</v>
      </c>
      <c r="L1082" s="2"/>
      <c r="M1082" s="2">
        <v>0</v>
      </c>
      <c r="N1082" s="2">
        <v>7.99</v>
      </c>
      <c r="O1082" s="2">
        <v>67.97</v>
      </c>
      <c r="P1082" s="2" t="s">
        <v>74</v>
      </c>
      <c r="Q1082" s="2" t="s">
        <v>28</v>
      </c>
      <c r="R1082" s="2" t="s">
        <v>52</v>
      </c>
      <c r="S1082" s="2" t="s">
        <v>30</v>
      </c>
      <c r="T1082" s="2" t="s">
        <v>53</v>
      </c>
      <c r="U1082" s="2" t="str">
        <f t="shared" si="49"/>
        <v>Valid</v>
      </c>
      <c r="V1082" s="2" t="s">
        <v>3066</v>
      </c>
    </row>
    <row r="1083" spans="1:22" hidden="1" x14ac:dyDescent="0.3">
      <c r="A1083" s="2" t="s">
        <v>3067</v>
      </c>
      <c r="B1083" s="12">
        <f t="shared" ref="B1083:B1146" si="51">IF(ISNUMBER(C1083),C1083,DATEVALUE(SUBSTITUTE(TRIM(C1083),CHAR(160)," ")))</f>
        <v>46238</v>
      </c>
      <c r="C1083" s="13" t="s">
        <v>148</v>
      </c>
      <c r="D1083" s="2" t="s">
        <v>1368</v>
      </c>
      <c r="E1083" s="2" t="str">
        <f t="shared" si="50"/>
        <v>Email Available</v>
      </c>
      <c r="F1083" s="2" t="s">
        <v>1369</v>
      </c>
      <c r="G1083" s="2" t="s">
        <v>315</v>
      </c>
      <c r="H1083" s="2" t="s">
        <v>37</v>
      </c>
      <c r="I1083" s="2" t="s">
        <v>316</v>
      </c>
      <c r="J1083" s="2">
        <v>1</v>
      </c>
      <c r="K1083" s="2" t="s">
        <v>2267</v>
      </c>
      <c r="L1083" s="2" t="s">
        <v>121</v>
      </c>
      <c r="M1083" s="2">
        <v>2.25</v>
      </c>
      <c r="N1083" s="2">
        <v>5.99</v>
      </c>
      <c r="O1083" s="2">
        <v>12.73</v>
      </c>
      <c r="P1083" s="2" t="s">
        <v>51</v>
      </c>
      <c r="Q1083" s="2" t="s">
        <v>90</v>
      </c>
      <c r="R1083" s="2" t="s">
        <v>52</v>
      </c>
      <c r="S1083" s="2" t="s">
        <v>43</v>
      </c>
      <c r="T1083" s="2"/>
      <c r="U1083" s="2" t="str">
        <f t="shared" ref="U1083:U1146" si="52">IF(AND(S1083="United States",T1083=""),"Missing state",IF(T1083="","Not Required","Valid"))</f>
        <v>Not Required</v>
      </c>
      <c r="V1083" s="2" t="s">
        <v>3068</v>
      </c>
    </row>
    <row r="1084" spans="1:22" hidden="1" x14ac:dyDescent="0.3">
      <c r="A1084" s="2" t="s">
        <v>3069</v>
      </c>
      <c r="B1084" s="12">
        <f t="shared" si="51"/>
        <v>46120</v>
      </c>
      <c r="C1084" s="13" t="s">
        <v>142</v>
      </c>
      <c r="D1084" s="2" t="s">
        <v>118</v>
      </c>
      <c r="E1084" s="2" t="str">
        <f t="shared" si="50"/>
        <v>Email Available</v>
      </c>
      <c r="F1084" s="2" t="s">
        <v>119</v>
      </c>
      <c r="G1084" s="2" t="s">
        <v>157</v>
      </c>
      <c r="H1084" s="2" t="s">
        <v>37</v>
      </c>
      <c r="I1084" s="2" t="s">
        <v>158</v>
      </c>
      <c r="J1084" s="2">
        <v>1</v>
      </c>
      <c r="K1084" s="2">
        <v>29.99</v>
      </c>
      <c r="L1084" s="2" t="s">
        <v>25</v>
      </c>
      <c r="M1084" s="2">
        <v>6</v>
      </c>
      <c r="N1084" s="2">
        <v>5.99</v>
      </c>
      <c r="O1084" s="2">
        <v>29.98</v>
      </c>
      <c r="P1084" s="2" t="s">
        <v>27</v>
      </c>
      <c r="Q1084" s="2" t="s">
        <v>28</v>
      </c>
      <c r="R1084" s="2" t="s">
        <v>42</v>
      </c>
      <c r="S1084" s="2" t="s">
        <v>108</v>
      </c>
      <c r="T1084" s="2"/>
      <c r="U1084" s="2" t="str">
        <f t="shared" si="52"/>
        <v>Not Required</v>
      </c>
      <c r="V1084" s="2" t="s">
        <v>3070</v>
      </c>
    </row>
    <row r="1085" spans="1:22" hidden="1" x14ac:dyDescent="0.3">
      <c r="A1085" s="2" t="s">
        <v>3071</v>
      </c>
      <c r="B1085" s="12">
        <f t="shared" si="51"/>
        <v>46238.581997754627</v>
      </c>
      <c r="C1085" s="13">
        <v>46238.581997754627</v>
      </c>
      <c r="D1085" s="2" t="s">
        <v>1325</v>
      </c>
      <c r="E1085" s="2" t="str">
        <f t="shared" si="50"/>
        <v>Email Available</v>
      </c>
      <c r="F1085" s="2" t="s">
        <v>1326</v>
      </c>
      <c r="G1085" s="2" t="s">
        <v>36</v>
      </c>
      <c r="H1085" s="2" t="s">
        <v>37</v>
      </c>
      <c r="I1085" s="2" t="s">
        <v>38</v>
      </c>
      <c r="J1085" s="2">
        <v>1</v>
      </c>
      <c r="K1085" s="2">
        <v>21.99</v>
      </c>
      <c r="L1085" s="2" t="s">
        <v>67</v>
      </c>
      <c r="M1085" s="2" t="s">
        <v>3072</v>
      </c>
      <c r="N1085" s="2">
        <v>7.99</v>
      </c>
      <c r="O1085" s="2">
        <v>27.78</v>
      </c>
      <c r="P1085" s="2" t="s">
        <v>27</v>
      </c>
      <c r="Q1085" s="2" t="s">
        <v>41</v>
      </c>
      <c r="R1085" s="2" t="s">
        <v>52</v>
      </c>
      <c r="S1085" s="2" t="s">
        <v>30</v>
      </c>
      <c r="T1085" s="2" t="s">
        <v>454</v>
      </c>
      <c r="U1085" s="2" t="str">
        <f t="shared" si="52"/>
        <v>Valid</v>
      </c>
      <c r="V1085" s="2" t="s">
        <v>3073</v>
      </c>
    </row>
    <row r="1086" spans="1:22" x14ac:dyDescent="0.3">
      <c r="A1086" s="2" t="s">
        <v>3074</v>
      </c>
      <c r="B1086" s="12">
        <f t="shared" si="51"/>
        <v>46238.58124172454</v>
      </c>
      <c r="C1086" s="13">
        <v>46238.58124172454</v>
      </c>
      <c r="D1086" s="2"/>
      <c r="E1086" s="2" t="str">
        <f t="shared" si="50"/>
        <v>Missing Email</v>
      </c>
      <c r="F1086" s="2"/>
      <c r="G1086" s="2" t="s">
        <v>36</v>
      </c>
      <c r="H1086" s="2" t="s">
        <v>37</v>
      </c>
      <c r="I1086" s="2" t="s">
        <v>38</v>
      </c>
      <c r="J1086" s="2">
        <v>1</v>
      </c>
      <c r="K1086" s="2">
        <v>21.99</v>
      </c>
      <c r="L1086" s="2" t="s">
        <v>381</v>
      </c>
      <c r="M1086" s="2">
        <v>0</v>
      </c>
      <c r="N1086" s="2">
        <v>0</v>
      </c>
      <c r="O1086" s="2">
        <v>21.99</v>
      </c>
      <c r="P1086" s="2" t="s">
        <v>68</v>
      </c>
      <c r="Q1086" s="2" t="s">
        <v>114</v>
      </c>
      <c r="R1086" s="2" t="s">
        <v>52</v>
      </c>
      <c r="S1086" s="2" t="s">
        <v>30</v>
      </c>
      <c r="T1086" s="2" t="s">
        <v>454</v>
      </c>
      <c r="U1086" s="2" t="str">
        <f t="shared" si="52"/>
        <v>Valid</v>
      </c>
      <c r="V1086" s="2" t="s">
        <v>3075</v>
      </c>
    </row>
    <row r="1087" spans="1:22" hidden="1" x14ac:dyDescent="0.3">
      <c r="A1087" s="2" t="s">
        <v>3076</v>
      </c>
      <c r="B1087" s="12">
        <f t="shared" si="51"/>
        <v>46238.582639074077</v>
      </c>
      <c r="C1087" s="13">
        <v>46238.582639074077</v>
      </c>
      <c r="D1087" s="2" t="s">
        <v>3077</v>
      </c>
      <c r="E1087" s="2" t="str">
        <f t="shared" si="50"/>
        <v>Email Available</v>
      </c>
      <c r="F1087" s="2" t="s">
        <v>425</v>
      </c>
      <c r="G1087" s="2" t="s">
        <v>58</v>
      </c>
      <c r="H1087" s="2" t="s">
        <v>23</v>
      </c>
      <c r="I1087" s="2" t="s">
        <v>59</v>
      </c>
      <c r="J1087" s="2">
        <v>2</v>
      </c>
      <c r="K1087" s="2">
        <v>9.99</v>
      </c>
      <c r="L1087" s="2"/>
      <c r="M1087" s="2">
        <v>0</v>
      </c>
      <c r="N1087" s="2">
        <v>4.99</v>
      </c>
      <c r="O1087" s="2" t="s">
        <v>2642</v>
      </c>
      <c r="P1087" s="2" t="s">
        <v>68</v>
      </c>
      <c r="Q1087" s="2" t="s">
        <v>28</v>
      </c>
      <c r="R1087" s="2" t="s">
        <v>52</v>
      </c>
      <c r="S1087" s="2" t="s">
        <v>30</v>
      </c>
      <c r="T1087" s="2" t="s">
        <v>454</v>
      </c>
      <c r="U1087" s="2" t="str">
        <f t="shared" si="52"/>
        <v>Valid</v>
      </c>
      <c r="V1087" s="2" t="s">
        <v>3078</v>
      </c>
    </row>
    <row r="1088" spans="1:22" hidden="1" x14ac:dyDescent="0.3">
      <c r="A1088" s="2" t="s">
        <v>3079</v>
      </c>
      <c r="B1088" s="12">
        <f t="shared" si="51"/>
        <v>46238.583674386573</v>
      </c>
      <c r="C1088" s="13">
        <v>46238.583674386573</v>
      </c>
      <c r="D1088" s="2" t="s">
        <v>3080</v>
      </c>
      <c r="E1088" s="2" t="str">
        <f t="shared" si="50"/>
        <v>Email Available</v>
      </c>
      <c r="F1088" s="2" t="s">
        <v>3081</v>
      </c>
      <c r="G1088" s="2" t="s">
        <v>151</v>
      </c>
      <c r="H1088" s="2" t="s">
        <v>49</v>
      </c>
      <c r="I1088" s="2" t="s">
        <v>152</v>
      </c>
      <c r="J1088" s="2">
        <v>1</v>
      </c>
      <c r="K1088" s="2">
        <v>34.99</v>
      </c>
      <c r="L1088" s="2"/>
      <c r="M1088" s="2">
        <v>0</v>
      </c>
      <c r="N1088" s="2">
        <v>4.99</v>
      </c>
      <c r="O1088" s="2">
        <v>39.979999999999997</v>
      </c>
      <c r="P1088" s="2" t="s">
        <v>51</v>
      </c>
      <c r="Q1088" s="2" t="s">
        <v>28</v>
      </c>
      <c r="R1088" s="2" t="s">
        <v>52</v>
      </c>
      <c r="S1088" s="2" t="s">
        <v>108</v>
      </c>
      <c r="T1088" s="2"/>
      <c r="U1088" s="2" t="str">
        <f t="shared" si="52"/>
        <v>Not Required</v>
      </c>
      <c r="V1088" s="2" t="s">
        <v>3082</v>
      </c>
    </row>
    <row r="1089" spans="1:22" hidden="1" x14ac:dyDescent="0.3">
      <c r="A1089" s="2" t="s">
        <v>3083</v>
      </c>
      <c r="B1089" s="12">
        <f t="shared" si="51"/>
        <v>46238.581698923612</v>
      </c>
      <c r="C1089" s="13">
        <v>46238.581698923612</v>
      </c>
      <c r="D1089" s="2" t="s">
        <v>2448</v>
      </c>
      <c r="E1089" s="2" t="str">
        <f t="shared" si="50"/>
        <v>Email Available</v>
      </c>
      <c r="F1089" s="2" t="s">
        <v>2449</v>
      </c>
      <c r="G1089" s="2" t="s">
        <v>65</v>
      </c>
      <c r="H1089" s="2" t="s">
        <v>49</v>
      </c>
      <c r="I1089" s="2" t="s">
        <v>453</v>
      </c>
      <c r="J1089" s="2">
        <v>1</v>
      </c>
      <c r="K1089" s="2">
        <v>14.99</v>
      </c>
      <c r="L1089" s="2" t="s">
        <v>121</v>
      </c>
      <c r="M1089" s="2">
        <v>3.75</v>
      </c>
      <c r="N1089" s="2">
        <v>4.99</v>
      </c>
      <c r="O1089" s="2" t="s">
        <v>3084</v>
      </c>
      <c r="P1089" s="2" t="s">
        <v>40</v>
      </c>
      <c r="Q1089" s="2" t="s">
        <v>90</v>
      </c>
      <c r="R1089" s="2" t="s">
        <v>52</v>
      </c>
      <c r="S1089" s="2" t="s">
        <v>30</v>
      </c>
      <c r="T1089" s="2" t="s">
        <v>53</v>
      </c>
      <c r="U1089" s="2" t="str">
        <f t="shared" si="52"/>
        <v>Valid</v>
      </c>
      <c r="V1089" s="2" t="s">
        <v>3085</v>
      </c>
    </row>
    <row r="1090" spans="1:22" hidden="1" x14ac:dyDescent="0.3">
      <c r="A1090" s="2" t="s">
        <v>3086</v>
      </c>
      <c r="B1090" s="12">
        <f t="shared" si="51"/>
        <v>46238.580601226851</v>
      </c>
      <c r="C1090" s="13">
        <v>46238.580601226851</v>
      </c>
      <c r="D1090" s="2" t="s">
        <v>1113</v>
      </c>
      <c r="E1090" s="2" t="str">
        <f t="shared" si="50"/>
        <v>Email Available</v>
      </c>
      <c r="F1090" s="2" t="s">
        <v>1114</v>
      </c>
      <c r="G1090" s="2" t="s">
        <v>105</v>
      </c>
      <c r="H1090" s="2" t="s">
        <v>106</v>
      </c>
      <c r="I1090" s="2" t="s">
        <v>107</v>
      </c>
      <c r="J1090" s="2">
        <v>2</v>
      </c>
      <c r="K1090" s="2">
        <v>19.989999999999998</v>
      </c>
      <c r="L1090" s="2"/>
      <c r="M1090" s="2">
        <v>0</v>
      </c>
      <c r="N1090" s="2">
        <v>5.99</v>
      </c>
      <c r="O1090" s="2">
        <v>45.97</v>
      </c>
      <c r="P1090" s="2" t="s">
        <v>27</v>
      </c>
      <c r="Q1090" s="2" t="s">
        <v>28</v>
      </c>
      <c r="R1090" s="2" t="s">
        <v>52</v>
      </c>
      <c r="S1090" s="2" t="s">
        <v>30</v>
      </c>
      <c r="T1090" s="2" t="s">
        <v>91</v>
      </c>
      <c r="U1090" s="2" t="str">
        <f t="shared" si="52"/>
        <v>Valid</v>
      </c>
      <c r="V1090" s="2" t="s">
        <v>3087</v>
      </c>
    </row>
    <row r="1091" spans="1:22" hidden="1" x14ac:dyDescent="0.3">
      <c r="A1091" s="2" t="s">
        <v>3088</v>
      </c>
      <c r="B1091" s="12">
        <f t="shared" si="51"/>
        <v>46238.579333935188</v>
      </c>
      <c r="C1091" s="13">
        <v>46238.579333935188</v>
      </c>
      <c r="D1091" s="2" t="s">
        <v>480</v>
      </c>
      <c r="E1091" s="2" t="str">
        <f t="shared" ref="E1091:E1154" si="53">IF(TRIM(F1091)="","Missing Email","Email Available")</f>
        <v>Email Available</v>
      </c>
      <c r="F1091" s="2" t="s">
        <v>481</v>
      </c>
      <c r="G1091" s="2" t="s">
        <v>36</v>
      </c>
      <c r="H1091" s="2" t="s">
        <v>37</v>
      </c>
      <c r="I1091" s="2" t="s">
        <v>38</v>
      </c>
      <c r="J1091" s="2">
        <v>2</v>
      </c>
      <c r="K1091" s="2">
        <v>21.99</v>
      </c>
      <c r="L1091" s="2" t="s">
        <v>208</v>
      </c>
      <c r="M1091" s="2">
        <v>6.6</v>
      </c>
      <c r="N1091" s="2">
        <v>7.99</v>
      </c>
      <c r="O1091" s="2">
        <v>45.37</v>
      </c>
      <c r="P1091" s="2" t="s">
        <v>40</v>
      </c>
      <c r="Q1091" s="2" t="s">
        <v>28</v>
      </c>
      <c r="R1091" s="2" t="s">
        <v>52</v>
      </c>
      <c r="S1091" s="2" t="s">
        <v>75</v>
      </c>
      <c r="T1091" s="2"/>
      <c r="U1091" s="2" t="str">
        <f t="shared" si="52"/>
        <v>Not Required</v>
      </c>
      <c r="V1091" s="2" t="s">
        <v>3089</v>
      </c>
    </row>
    <row r="1092" spans="1:22" hidden="1" x14ac:dyDescent="0.3">
      <c r="A1092" s="2" t="s">
        <v>3090</v>
      </c>
      <c r="B1092" s="12">
        <f t="shared" si="51"/>
        <v>46238.583780381938</v>
      </c>
      <c r="C1092" s="13">
        <v>46238.583780381938</v>
      </c>
      <c r="D1092" s="2" t="s">
        <v>1362</v>
      </c>
      <c r="E1092" s="2" t="str">
        <f t="shared" si="53"/>
        <v>Email Available</v>
      </c>
      <c r="F1092" s="2" t="s">
        <v>1363</v>
      </c>
      <c r="G1092" s="2" t="s">
        <v>127</v>
      </c>
      <c r="H1092" s="2" t="s">
        <v>81</v>
      </c>
      <c r="I1092" s="2" t="s">
        <v>128</v>
      </c>
      <c r="J1092" s="2">
        <v>1</v>
      </c>
      <c r="K1092" s="2">
        <v>13.99</v>
      </c>
      <c r="L1092" s="2" t="s">
        <v>25</v>
      </c>
      <c r="M1092" s="2">
        <v>2.8</v>
      </c>
      <c r="N1092" s="2">
        <v>4.99</v>
      </c>
      <c r="O1092" s="2">
        <v>16.18</v>
      </c>
      <c r="P1092" s="2" t="s">
        <v>51</v>
      </c>
      <c r="Q1092" s="2" t="s">
        <v>28</v>
      </c>
      <c r="R1092" s="2" t="s">
        <v>52</v>
      </c>
      <c r="S1092" s="2" t="s">
        <v>30</v>
      </c>
      <c r="T1092" s="2" t="s">
        <v>248</v>
      </c>
      <c r="U1092" s="2" t="str">
        <f t="shared" si="52"/>
        <v>Valid</v>
      </c>
      <c r="V1092" s="2" t="s">
        <v>3091</v>
      </c>
    </row>
    <row r="1093" spans="1:22" hidden="1" x14ac:dyDescent="0.3">
      <c r="A1093" s="2" t="s">
        <v>3092</v>
      </c>
      <c r="B1093" s="12">
        <f t="shared" si="51"/>
        <v>46238.583201828696</v>
      </c>
      <c r="C1093" s="13">
        <v>46238.583201828696</v>
      </c>
      <c r="D1093" s="2" t="s">
        <v>2318</v>
      </c>
      <c r="E1093" s="2" t="str">
        <f t="shared" si="53"/>
        <v>Email Available</v>
      </c>
      <c r="F1093" s="2" t="s">
        <v>2319</v>
      </c>
      <c r="G1093" s="2" t="s">
        <v>226</v>
      </c>
      <c r="H1093" s="2" t="s">
        <v>23</v>
      </c>
      <c r="I1093" s="2" t="s">
        <v>227</v>
      </c>
      <c r="J1093" s="2">
        <v>2</v>
      </c>
      <c r="K1093" s="2">
        <v>17.989999999999998</v>
      </c>
      <c r="L1093" s="2"/>
      <c r="M1093" s="2">
        <v>0</v>
      </c>
      <c r="N1093" s="2">
        <v>7.99</v>
      </c>
      <c r="O1093" s="2">
        <v>43.97</v>
      </c>
      <c r="P1093" s="2" t="s">
        <v>51</v>
      </c>
      <c r="Q1093" s="2" t="s">
        <v>41</v>
      </c>
      <c r="R1093" s="2" t="s">
        <v>52</v>
      </c>
      <c r="S1093" s="2" t="s">
        <v>108</v>
      </c>
      <c r="T1093" s="2"/>
      <c r="U1093" s="2" t="str">
        <f t="shared" si="52"/>
        <v>Not Required</v>
      </c>
      <c r="V1093" s="2" t="s">
        <v>3093</v>
      </c>
    </row>
    <row r="1094" spans="1:22" hidden="1" x14ac:dyDescent="0.3">
      <c r="A1094" s="2" t="s">
        <v>3094</v>
      </c>
      <c r="B1094" s="12">
        <f t="shared" si="51"/>
        <v>46238.588347337973</v>
      </c>
      <c r="C1094" s="13">
        <v>46238.588347337973</v>
      </c>
      <c r="D1094" s="2" t="s">
        <v>2318</v>
      </c>
      <c r="E1094" s="2" t="str">
        <f t="shared" si="53"/>
        <v>Email Available</v>
      </c>
      <c r="F1094" s="2" t="s">
        <v>2319</v>
      </c>
      <c r="G1094" s="2" t="s">
        <v>133</v>
      </c>
      <c r="H1094" s="2" t="s">
        <v>106</v>
      </c>
      <c r="I1094" s="2" t="s">
        <v>134</v>
      </c>
      <c r="J1094" s="2">
        <v>1</v>
      </c>
      <c r="K1094" s="2">
        <v>16.989999999999998</v>
      </c>
      <c r="L1094" s="2"/>
      <c r="M1094" s="2">
        <v>0</v>
      </c>
      <c r="N1094" s="2">
        <v>5.99</v>
      </c>
      <c r="O1094" s="2">
        <v>22.98</v>
      </c>
      <c r="P1094" s="2" t="s">
        <v>27</v>
      </c>
      <c r="Q1094" s="2" t="s">
        <v>28</v>
      </c>
      <c r="R1094" s="2" t="s">
        <v>99</v>
      </c>
      <c r="S1094" s="2" t="s">
        <v>108</v>
      </c>
      <c r="T1094" s="2"/>
      <c r="U1094" s="2" t="str">
        <f t="shared" si="52"/>
        <v>Not Required</v>
      </c>
      <c r="V1094" s="2" t="s">
        <v>3095</v>
      </c>
    </row>
    <row r="1095" spans="1:22" hidden="1" x14ac:dyDescent="0.3">
      <c r="A1095" s="2" t="s">
        <v>3096</v>
      </c>
      <c r="B1095" s="12">
        <f t="shared" si="51"/>
        <v>46238.586757349527</v>
      </c>
      <c r="C1095" s="13">
        <v>46238.586757349527</v>
      </c>
      <c r="D1095" s="2" t="s">
        <v>1807</v>
      </c>
      <c r="E1095" s="2" t="str">
        <f t="shared" si="53"/>
        <v>Email Available</v>
      </c>
      <c r="F1095" s="2" t="s">
        <v>1808</v>
      </c>
      <c r="G1095" s="2" t="s">
        <v>120</v>
      </c>
      <c r="H1095" s="2" t="s">
        <v>23</v>
      </c>
      <c r="I1095" s="2" t="s">
        <v>24</v>
      </c>
      <c r="J1095" s="2">
        <v>1</v>
      </c>
      <c r="K1095" s="2">
        <v>12.99</v>
      </c>
      <c r="L1095" s="2"/>
      <c r="M1095" s="2">
        <v>0</v>
      </c>
      <c r="N1095" s="2">
        <v>5.99</v>
      </c>
      <c r="O1095" s="2">
        <v>18.98</v>
      </c>
      <c r="P1095" s="2" t="s">
        <v>51</v>
      </c>
      <c r="Q1095" s="2" t="s">
        <v>90</v>
      </c>
      <c r="R1095" s="2" t="s">
        <v>52</v>
      </c>
      <c r="S1095" s="2" t="s">
        <v>30</v>
      </c>
      <c r="T1095" s="2" t="s">
        <v>454</v>
      </c>
      <c r="U1095" s="2" t="str">
        <f t="shared" si="52"/>
        <v>Valid</v>
      </c>
      <c r="V1095" s="2" t="s">
        <v>3097</v>
      </c>
    </row>
    <row r="1096" spans="1:22" hidden="1" x14ac:dyDescent="0.3">
      <c r="A1096" s="2" t="s">
        <v>3098</v>
      </c>
      <c r="B1096" s="12">
        <f t="shared" si="51"/>
        <v>46238.581669409723</v>
      </c>
      <c r="C1096" s="13">
        <v>46238.581669409723</v>
      </c>
      <c r="D1096" s="2" t="s">
        <v>610</v>
      </c>
      <c r="E1096" s="2" t="str">
        <f t="shared" si="53"/>
        <v>Email Available</v>
      </c>
      <c r="F1096" s="2" t="s">
        <v>611</v>
      </c>
      <c r="G1096" s="2" t="s">
        <v>120</v>
      </c>
      <c r="H1096" s="2" t="s">
        <v>23</v>
      </c>
      <c r="I1096" s="2" t="s">
        <v>24</v>
      </c>
      <c r="J1096" s="2">
        <v>1</v>
      </c>
      <c r="K1096" s="2">
        <v>12.99</v>
      </c>
      <c r="L1096" s="2" t="s">
        <v>25</v>
      </c>
      <c r="M1096" s="2">
        <v>2.6</v>
      </c>
      <c r="N1096" s="2">
        <v>4.99</v>
      </c>
      <c r="O1096" s="2" t="s">
        <v>440</v>
      </c>
      <c r="P1096" s="2" t="s">
        <v>40</v>
      </c>
      <c r="Q1096" s="2" t="s">
        <v>90</v>
      </c>
      <c r="R1096" s="2" t="s">
        <v>29</v>
      </c>
      <c r="S1096" s="2" t="s">
        <v>43</v>
      </c>
      <c r="T1096" s="2"/>
      <c r="U1096" s="2" t="str">
        <f t="shared" si="52"/>
        <v>Not Required</v>
      </c>
      <c r="V1096" s="2" t="s">
        <v>3099</v>
      </c>
    </row>
    <row r="1097" spans="1:22" hidden="1" x14ac:dyDescent="0.3">
      <c r="A1097" s="2" t="s">
        <v>3100</v>
      </c>
      <c r="B1097" s="12">
        <f t="shared" si="51"/>
        <v>46238.583893645831</v>
      </c>
      <c r="C1097" s="13">
        <v>46238.583893645831</v>
      </c>
      <c r="D1097" s="2" t="s">
        <v>94</v>
      </c>
      <c r="E1097" s="2" t="str">
        <f t="shared" si="53"/>
        <v>Email Available</v>
      </c>
      <c r="F1097" s="2" t="s">
        <v>95</v>
      </c>
      <c r="G1097" s="2" t="s">
        <v>151</v>
      </c>
      <c r="H1097" s="2" t="s">
        <v>49</v>
      </c>
      <c r="I1097" s="2" t="s">
        <v>152</v>
      </c>
      <c r="J1097" s="2">
        <v>1</v>
      </c>
      <c r="K1097" s="2">
        <v>34.99</v>
      </c>
      <c r="L1097" s="2" t="s">
        <v>39</v>
      </c>
      <c r="M1097" s="2">
        <v>0</v>
      </c>
      <c r="N1097" s="2">
        <v>0</v>
      </c>
      <c r="O1097" s="2">
        <v>34.99</v>
      </c>
      <c r="P1097" s="2" t="s">
        <v>68</v>
      </c>
      <c r="Q1097" s="2" t="s">
        <v>90</v>
      </c>
      <c r="R1097" s="2" t="s">
        <v>52</v>
      </c>
      <c r="S1097" s="2" t="s">
        <v>43</v>
      </c>
      <c r="T1097" s="2"/>
      <c r="U1097" s="2" t="str">
        <f t="shared" si="52"/>
        <v>Not Required</v>
      </c>
      <c r="V1097" s="2" t="s">
        <v>3101</v>
      </c>
    </row>
    <row r="1098" spans="1:22" hidden="1" x14ac:dyDescent="0.3">
      <c r="A1098" s="2" t="s">
        <v>3102</v>
      </c>
      <c r="B1098" s="12">
        <f t="shared" si="51"/>
        <v>46238.582908668977</v>
      </c>
      <c r="C1098" s="13">
        <v>46238.582908668977</v>
      </c>
      <c r="D1098" s="2" t="s">
        <v>354</v>
      </c>
      <c r="E1098" s="2" t="str">
        <f t="shared" si="53"/>
        <v>Email Available</v>
      </c>
      <c r="F1098" s="2" t="s">
        <v>355</v>
      </c>
      <c r="G1098" s="2" t="s">
        <v>284</v>
      </c>
      <c r="H1098" s="2" t="s">
        <v>23</v>
      </c>
      <c r="I1098" s="2" t="s">
        <v>285</v>
      </c>
      <c r="J1098" s="2">
        <v>3</v>
      </c>
      <c r="K1098" s="2">
        <v>24.99</v>
      </c>
      <c r="L1098" s="2"/>
      <c r="M1098" s="2">
        <v>0</v>
      </c>
      <c r="N1098" s="2">
        <v>7.99</v>
      </c>
      <c r="O1098" s="2">
        <v>82.96</v>
      </c>
      <c r="P1098" s="2" t="s">
        <v>27</v>
      </c>
      <c r="Q1098" s="2" t="s">
        <v>90</v>
      </c>
      <c r="R1098" s="2" t="s">
        <v>52</v>
      </c>
      <c r="S1098" s="2" t="s">
        <v>228</v>
      </c>
      <c r="T1098" s="2"/>
      <c r="U1098" s="2" t="str">
        <f t="shared" si="52"/>
        <v>Not Required</v>
      </c>
      <c r="V1098" s="2" t="s">
        <v>3103</v>
      </c>
    </row>
    <row r="1099" spans="1:22" hidden="1" x14ac:dyDescent="0.3">
      <c r="A1099" s="2" t="s">
        <v>3104</v>
      </c>
      <c r="B1099" s="12">
        <f t="shared" si="51"/>
        <v>46238.585368842592</v>
      </c>
      <c r="C1099" s="13">
        <v>46238.585368842592</v>
      </c>
      <c r="D1099" s="2" t="s">
        <v>3105</v>
      </c>
      <c r="E1099" s="2" t="str">
        <f t="shared" si="53"/>
        <v>Email Available</v>
      </c>
      <c r="F1099" s="2" t="s">
        <v>3106</v>
      </c>
      <c r="G1099" s="2" t="s">
        <v>58</v>
      </c>
      <c r="H1099" s="2" t="s">
        <v>23</v>
      </c>
      <c r="I1099" s="2" t="s">
        <v>59</v>
      </c>
      <c r="J1099" s="2">
        <v>1</v>
      </c>
      <c r="K1099" s="2">
        <v>9.99</v>
      </c>
      <c r="L1099" s="2"/>
      <c r="M1099" s="2">
        <v>0</v>
      </c>
      <c r="N1099" s="2">
        <v>4.99</v>
      </c>
      <c r="O1099" s="2">
        <v>14.98</v>
      </c>
      <c r="P1099" s="2" t="s">
        <v>51</v>
      </c>
      <c r="Q1099" s="2" t="s">
        <v>28</v>
      </c>
      <c r="R1099" s="2" t="s">
        <v>52</v>
      </c>
      <c r="S1099" s="2" t="s">
        <v>30</v>
      </c>
      <c r="T1099" s="2" t="s">
        <v>91</v>
      </c>
      <c r="U1099" s="2" t="str">
        <f t="shared" si="52"/>
        <v>Valid</v>
      </c>
      <c r="V1099" s="2" t="s">
        <v>3107</v>
      </c>
    </row>
    <row r="1100" spans="1:22" hidden="1" x14ac:dyDescent="0.3">
      <c r="A1100" s="2" t="s">
        <v>3110</v>
      </c>
      <c r="B1100" s="12">
        <f t="shared" si="51"/>
        <v>46238.57964207176</v>
      </c>
      <c r="C1100" s="13">
        <v>46238.57964207176</v>
      </c>
      <c r="D1100" s="2" t="s">
        <v>3111</v>
      </c>
      <c r="E1100" s="2" t="str">
        <f t="shared" si="53"/>
        <v>Email Available</v>
      </c>
      <c r="F1100" s="2" t="s">
        <v>2989</v>
      </c>
      <c r="G1100" s="2" t="s">
        <v>272</v>
      </c>
      <c r="H1100" s="2" t="s">
        <v>23</v>
      </c>
      <c r="I1100" s="2" t="s">
        <v>273</v>
      </c>
      <c r="J1100" s="2">
        <v>1</v>
      </c>
      <c r="K1100" s="2">
        <v>18.989999999999998</v>
      </c>
      <c r="L1100" s="2" t="s">
        <v>208</v>
      </c>
      <c r="M1100" s="2">
        <v>2.85</v>
      </c>
      <c r="N1100" s="2">
        <v>7.99</v>
      </c>
      <c r="O1100" s="2">
        <v>24.13</v>
      </c>
      <c r="P1100" s="2" t="s">
        <v>40</v>
      </c>
      <c r="Q1100" s="2" t="s">
        <v>28</v>
      </c>
      <c r="R1100" s="2" t="s">
        <v>99</v>
      </c>
      <c r="S1100" s="2" t="s">
        <v>30</v>
      </c>
      <c r="T1100" s="2" t="s">
        <v>31</v>
      </c>
      <c r="U1100" s="2" t="str">
        <f t="shared" si="52"/>
        <v>Valid</v>
      </c>
      <c r="V1100" s="2" t="s">
        <v>3112</v>
      </c>
    </row>
    <row r="1101" spans="1:22" hidden="1" x14ac:dyDescent="0.3">
      <c r="A1101" s="2" t="s">
        <v>3113</v>
      </c>
      <c r="B1101" s="12">
        <f t="shared" si="51"/>
        <v>46238.581477175932</v>
      </c>
      <c r="C1101" s="13">
        <v>46238.581477175932</v>
      </c>
      <c r="D1101" s="2" t="s">
        <v>466</v>
      </c>
      <c r="E1101" s="2" t="str">
        <f t="shared" si="53"/>
        <v>Email Available</v>
      </c>
      <c r="F1101" s="2" t="s">
        <v>467</v>
      </c>
      <c r="G1101" s="2" t="s">
        <v>272</v>
      </c>
      <c r="H1101" s="2" t="s">
        <v>23</v>
      </c>
      <c r="I1101" s="2" t="s">
        <v>273</v>
      </c>
      <c r="J1101" s="2">
        <v>1</v>
      </c>
      <c r="K1101" s="2">
        <v>18.989999999999998</v>
      </c>
      <c r="L1101" s="2"/>
      <c r="M1101" s="2" t="s">
        <v>189</v>
      </c>
      <c r="N1101" s="2">
        <v>7.99</v>
      </c>
      <c r="O1101" s="2">
        <v>26.98</v>
      </c>
      <c r="P1101" s="2" t="s">
        <v>68</v>
      </c>
      <c r="Q1101" s="2" t="s">
        <v>90</v>
      </c>
      <c r="R1101" s="2" t="s">
        <v>52</v>
      </c>
      <c r="S1101" s="2" t="s">
        <v>228</v>
      </c>
      <c r="T1101" s="2"/>
      <c r="U1101" s="2" t="str">
        <f t="shared" si="52"/>
        <v>Not Required</v>
      </c>
      <c r="V1101" s="2" t="s">
        <v>3114</v>
      </c>
    </row>
    <row r="1102" spans="1:22" hidden="1" x14ac:dyDescent="0.3">
      <c r="A1102" s="2" t="s">
        <v>3115</v>
      </c>
      <c r="B1102" s="12">
        <f t="shared" si="51"/>
        <v>46238.578802777767</v>
      </c>
      <c r="C1102" s="13">
        <v>46238.578802777767</v>
      </c>
      <c r="D1102" s="2" t="s">
        <v>1113</v>
      </c>
      <c r="E1102" s="2" t="str">
        <f t="shared" si="53"/>
        <v>Email Available</v>
      </c>
      <c r="F1102" s="2" t="s">
        <v>1114</v>
      </c>
      <c r="G1102" s="2" t="s">
        <v>315</v>
      </c>
      <c r="H1102" s="2" t="s">
        <v>37</v>
      </c>
      <c r="I1102" s="2" t="s">
        <v>316</v>
      </c>
      <c r="J1102" s="2">
        <v>2</v>
      </c>
      <c r="K1102" s="2">
        <v>8.99</v>
      </c>
      <c r="L1102" s="2"/>
      <c r="M1102" s="2" t="s">
        <v>189</v>
      </c>
      <c r="N1102" s="2">
        <v>5.99</v>
      </c>
      <c r="O1102" s="2">
        <v>23.97</v>
      </c>
      <c r="P1102" s="2" t="s">
        <v>74</v>
      </c>
      <c r="Q1102" s="2" t="s">
        <v>90</v>
      </c>
      <c r="R1102" s="2" t="s">
        <v>52</v>
      </c>
      <c r="S1102" s="2" t="s">
        <v>30</v>
      </c>
      <c r="T1102" s="2" t="s">
        <v>115</v>
      </c>
      <c r="U1102" s="2" t="str">
        <f t="shared" si="52"/>
        <v>Valid</v>
      </c>
      <c r="V1102" s="2" t="s">
        <v>3116</v>
      </c>
    </row>
    <row r="1103" spans="1:22" hidden="1" x14ac:dyDescent="0.3">
      <c r="A1103" s="2" t="s">
        <v>3117</v>
      </c>
      <c r="B1103" s="12">
        <f t="shared" si="51"/>
        <v>46238.579367812497</v>
      </c>
      <c r="C1103" s="13">
        <v>46238.579367812497</v>
      </c>
      <c r="D1103" s="2" t="s">
        <v>200</v>
      </c>
      <c r="E1103" s="2" t="str">
        <f t="shared" si="53"/>
        <v>Email Available</v>
      </c>
      <c r="F1103" s="2" t="s">
        <v>201</v>
      </c>
      <c r="G1103" s="2" t="s">
        <v>272</v>
      </c>
      <c r="H1103" s="2" t="s">
        <v>23</v>
      </c>
      <c r="I1103" s="2" t="s">
        <v>273</v>
      </c>
      <c r="J1103" s="2">
        <v>1</v>
      </c>
      <c r="K1103" s="2">
        <v>18.989999999999998</v>
      </c>
      <c r="L1103" s="2"/>
      <c r="M1103" s="2">
        <v>0</v>
      </c>
      <c r="N1103" s="2">
        <v>5.99</v>
      </c>
      <c r="O1103" s="2" t="s">
        <v>954</v>
      </c>
      <c r="P1103" s="2" t="s">
        <v>27</v>
      </c>
      <c r="Q1103" s="2" t="s">
        <v>28</v>
      </c>
      <c r="R1103" s="2" t="s">
        <v>52</v>
      </c>
      <c r="S1103" s="2" t="s">
        <v>30</v>
      </c>
      <c r="T1103" s="2" t="s">
        <v>91</v>
      </c>
      <c r="U1103" s="2" t="str">
        <f t="shared" si="52"/>
        <v>Valid</v>
      </c>
      <c r="V1103" s="2" t="s">
        <v>3118</v>
      </c>
    </row>
    <row r="1104" spans="1:22" hidden="1" x14ac:dyDescent="0.3">
      <c r="A1104" s="2" t="s">
        <v>3119</v>
      </c>
      <c r="B1104" s="12">
        <f t="shared" si="51"/>
        <v>46238.582186481479</v>
      </c>
      <c r="C1104" s="13">
        <v>46238.582186481479</v>
      </c>
      <c r="D1104" s="2" t="s">
        <v>825</v>
      </c>
      <c r="E1104" s="2" t="str">
        <f t="shared" si="53"/>
        <v>Email Available</v>
      </c>
      <c r="F1104" s="2" t="s">
        <v>826</v>
      </c>
      <c r="G1104" s="2" t="s">
        <v>112</v>
      </c>
      <c r="H1104" s="2" t="s">
        <v>81</v>
      </c>
      <c r="I1104" s="2" t="s">
        <v>113</v>
      </c>
      <c r="J1104" s="2">
        <v>1</v>
      </c>
      <c r="K1104" s="2">
        <v>22.99</v>
      </c>
      <c r="L1104" s="2"/>
      <c r="M1104" s="2">
        <v>0</v>
      </c>
      <c r="N1104" s="2">
        <v>7.99</v>
      </c>
      <c r="O1104" s="2">
        <v>30.98</v>
      </c>
      <c r="P1104" s="2" t="s">
        <v>68</v>
      </c>
      <c r="Q1104" s="2" t="s">
        <v>90</v>
      </c>
      <c r="R1104" s="2" t="s">
        <v>52</v>
      </c>
      <c r="S1104" s="2" t="s">
        <v>75</v>
      </c>
      <c r="T1104" s="2"/>
      <c r="U1104" s="2" t="str">
        <f t="shared" si="52"/>
        <v>Not Required</v>
      </c>
      <c r="V1104" s="2" t="s">
        <v>3120</v>
      </c>
    </row>
    <row r="1105" spans="1:22" hidden="1" x14ac:dyDescent="0.3">
      <c r="A1105" s="2" t="s">
        <v>3121</v>
      </c>
      <c r="B1105" s="12">
        <f t="shared" si="51"/>
        <v>46238</v>
      </c>
      <c r="C1105" s="13" t="s">
        <v>1209</v>
      </c>
      <c r="D1105" s="2" t="s">
        <v>204</v>
      </c>
      <c r="E1105" s="2" t="str">
        <f t="shared" si="53"/>
        <v>Email Available</v>
      </c>
      <c r="F1105" s="2" t="s">
        <v>205</v>
      </c>
      <c r="G1105" s="2" t="s">
        <v>58</v>
      </c>
      <c r="H1105" s="2" t="s">
        <v>23</v>
      </c>
      <c r="I1105" s="2" t="s">
        <v>59</v>
      </c>
      <c r="J1105" s="2">
        <v>2</v>
      </c>
      <c r="K1105" s="2">
        <v>9.99</v>
      </c>
      <c r="L1105" s="2" t="s">
        <v>39</v>
      </c>
      <c r="M1105" s="2">
        <v>0</v>
      </c>
      <c r="N1105" s="2">
        <v>0</v>
      </c>
      <c r="O1105" s="2">
        <v>19.98</v>
      </c>
      <c r="P1105" s="2" t="s">
        <v>51</v>
      </c>
      <c r="Q1105" s="2" t="s">
        <v>28</v>
      </c>
      <c r="R1105" s="2" t="s">
        <v>29</v>
      </c>
      <c r="S1105" s="2" t="s">
        <v>75</v>
      </c>
      <c r="T1105" s="2"/>
      <c r="U1105" s="2" t="str">
        <f t="shared" si="52"/>
        <v>Not Required</v>
      </c>
      <c r="V1105" s="2" t="s">
        <v>3122</v>
      </c>
    </row>
    <row r="1106" spans="1:22" hidden="1" x14ac:dyDescent="0.3">
      <c r="A1106" s="2" t="s">
        <v>3123</v>
      </c>
      <c r="B1106" s="12">
        <f t="shared" si="51"/>
        <v>46238</v>
      </c>
      <c r="C1106" s="13" t="s">
        <v>148</v>
      </c>
      <c r="D1106" s="2" t="s">
        <v>662</v>
      </c>
      <c r="E1106" s="2" t="str">
        <f t="shared" si="53"/>
        <v>Email Available</v>
      </c>
      <c r="F1106" s="2" t="s">
        <v>663</v>
      </c>
      <c r="G1106" s="2" t="s">
        <v>127</v>
      </c>
      <c r="H1106" s="2" t="s">
        <v>81</v>
      </c>
      <c r="I1106" s="2" t="s">
        <v>128</v>
      </c>
      <c r="J1106" s="2">
        <v>2</v>
      </c>
      <c r="K1106" s="2">
        <v>13.99</v>
      </c>
      <c r="L1106" s="2" t="s">
        <v>208</v>
      </c>
      <c r="M1106" s="2">
        <v>4.2</v>
      </c>
      <c r="N1106" s="2">
        <v>7.99</v>
      </c>
      <c r="O1106" s="2">
        <v>31.77</v>
      </c>
      <c r="P1106" s="2" t="s">
        <v>68</v>
      </c>
      <c r="Q1106" s="2" t="s">
        <v>28</v>
      </c>
      <c r="R1106" s="2" t="s">
        <v>99</v>
      </c>
      <c r="S1106" s="2" t="s">
        <v>30</v>
      </c>
      <c r="T1106" s="2" t="s">
        <v>347</v>
      </c>
      <c r="U1106" s="2" t="str">
        <f t="shared" si="52"/>
        <v>Valid</v>
      </c>
      <c r="V1106" s="2" t="s">
        <v>3124</v>
      </c>
    </row>
    <row r="1107" spans="1:22" hidden="1" x14ac:dyDescent="0.3">
      <c r="A1107" s="2" t="s">
        <v>3125</v>
      </c>
      <c r="B1107" s="12">
        <f t="shared" si="51"/>
        <v>46238</v>
      </c>
      <c r="C1107" s="13" t="s">
        <v>148</v>
      </c>
      <c r="D1107" s="2" t="s">
        <v>193</v>
      </c>
      <c r="E1107" s="2" t="str">
        <f t="shared" si="53"/>
        <v>Email Available</v>
      </c>
      <c r="F1107" s="2" t="s">
        <v>194</v>
      </c>
      <c r="G1107" s="2" t="s">
        <v>226</v>
      </c>
      <c r="H1107" s="2" t="s">
        <v>23</v>
      </c>
      <c r="I1107" s="2" t="s">
        <v>227</v>
      </c>
      <c r="J1107" s="2">
        <v>1</v>
      </c>
      <c r="K1107" s="2">
        <v>17.989999999999998</v>
      </c>
      <c r="L1107" s="2"/>
      <c r="M1107" s="2">
        <v>0</v>
      </c>
      <c r="N1107" s="2">
        <v>5.99</v>
      </c>
      <c r="O1107" s="2">
        <v>23.98</v>
      </c>
      <c r="P1107" s="2" t="s">
        <v>27</v>
      </c>
      <c r="Q1107" s="2" t="s">
        <v>28</v>
      </c>
      <c r="R1107" s="2" t="s">
        <v>52</v>
      </c>
      <c r="S1107" s="2" t="s">
        <v>30</v>
      </c>
      <c r="T1107" s="2" t="s">
        <v>939</v>
      </c>
      <c r="U1107" s="2" t="str">
        <f t="shared" si="52"/>
        <v>Valid</v>
      </c>
      <c r="V1107" s="2" t="s">
        <v>3126</v>
      </c>
    </row>
    <row r="1108" spans="1:22" hidden="1" x14ac:dyDescent="0.3">
      <c r="A1108" s="2" t="s">
        <v>3127</v>
      </c>
      <c r="B1108" s="12">
        <f t="shared" si="51"/>
        <v>46238.586415069447</v>
      </c>
      <c r="C1108" s="13">
        <v>46238.586415069447</v>
      </c>
      <c r="D1108" s="2" t="s">
        <v>448</v>
      </c>
      <c r="E1108" s="2" t="str">
        <f t="shared" si="53"/>
        <v>Email Available</v>
      </c>
      <c r="F1108" s="2" t="s">
        <v>449</v>
      </c>
      <c r="G1108" s="2" t="s">
        <v>58</v>
      </c>
      <c r="H1108" s="2" t="s">
        <v>23</v>
      </c>
      <c r="I1108" s="2" t="s">
        <v>59</v>
      </c>
      <c r="J1108" s="2">
        <v>1</v>
      </c>
      <c r="K1108" s="2">
        <v>9.99</v>
      </c>
      <c r="L1108" s="2" t="s">
        <v>208</v>
      </c>
      <c r="M1108" s="2">
        <v>1.5</v>
      </c>
      <c r="N1108" s="2">
        <v>5.99</v>
      </c>
      <c r="O1108" s="2">
        <v>14.48</v>
      </c>
      <c r="P1108" s="2" t="s">
        <v>40</v>
      </c>
      <c r="Q1108" s="2" t="s">
        <v>28</v>
      </c>
      <c r="R1108" s="2" t="s">
        <v>52</v>
      </c>
      <c r="S1108" s="2" t="s">
        <v>30</v>
      </c>
      <c r="T1108" s="2" t="s">
        <v>60</v>
      </c>
      <c r="U1108" s="2" t="str">
        <f t="shared" si="52"/>
        <v>Valid</v>
      </c>
      <c r="V1108" s="2" t="s">
        <v>3128</v>
      </c>
    </row>
    <row r="1109" spans="1:22" hidden="1" x14ac:dyDescent="0.3">
      <c r="A1109" s="2" t="s">
        <v>3129</v>
      </c>
      <c r="B1109" s="12">
        <f t="shared" si="51"/>
        <v>46238.582141226849</v>
      </c>
      <c r="C1109" s="13">
        <v>46238.582141226849</v>
      </c>
      <c r="D1109" s="2" t="s">
        <v>309</v>
      </c>
      <c r="E1109" s="2" t="str">
        <f t="shared" si="53"/>
        <v>Email Available</v>
      </c>
      <c r="F1109" s="2" t="s">
        <v>310</v>
      </c>
      <c r="G1109" s="2" t="s">
        <v>157</v>
      </c>
      <c r="H1109" s="2" t="s">
        <v>37</v>
      </c>
      <c r="I1109" s="2" t="s">
        <v>158</v>
      </c>
      <c r="J1109" s="2">
        <v>1</v>
      </c>
      <c r="K1109" s="2">
        <v>29.99</v>
      </c>
      <c r="L1109" s="2"/>
      <c r="M1109" s="2">
        <v>0</v>
      </c>
      <c r="N1109" s="2">
        <v>5.99</v>
      </c>
      <c r="O1109" s="2">
        <v>35.979999999999997</v>
      </c>
      <c r="P1109" s="2" t="s">
        <v>68</v>
      </c>
      <c r="Q1109" s="2" t="s">
        <v>90</v>
      </c>
      <c r="R1109" s="2" t="s">
        <v>42</v>
      </c>
      <c r="S1109" s="2" t="s">
        <v>30</v>
      </c>
      <c r="T1109" s="2" t="s">
        <v>351</v>
      </c>
      <c r="U1109" s="2" t="str">
        <f t="shared" si="52"/>
        <v>Valid</v>
      </c>
      <c r="V1109" s="2" t="s">
        <v>3130</v>
      </c>
    </row>
    <row r="1110" spans="1:22" hidden="1" x14ac:dyDescent="0.3">
      <c r="A1110" s="2" t="s">
        <v>3131</v>
      </c>
      <c r="B1110" s="12">
        <f t="shared" si="51"/>
        <v>46238.58233513889</v>
      </c>
      <c r="C1110" s="13">
        <v>46238.58233513889</v>
      </c>
      <c r="D1110" s="2" t="s">
        <v>934</v>
      </c>
      <c r="E1110" s="2" t="str">
        <f t="shared" si="53"/>
        <v>Email Available</v>
      </c>
      <c r="F1110" s="2" t="s">
        <v>935</v>
      </c>
      <c r="G1110" s="2" t="s">
        <v>187</v>
      </c>
      <c r="H1110" s="2" t="s">
        <v>37</v>
      </c>
      <c r="I1110" s="2" t="s">
        <v>188</v>
      </c>
      <c r="J1110" s="2">
        <v>1</v>
      </c>
      <c r="K1110" s="2" t="s">
        <v>409</v>
      </c>
      <c r="L1110" s="2"/>
      <c r="M1110" s="2">
        <v>0</v>
      </c>
      <c r="N1110" s="2">
        <v>5.99</v>
      </c>
      <c r="O1110" s="2">
        <v>17.98</v>
      </c>
      <c r="P1110" s="2" t="s">
        <v>27</v>
      </c>
      <c r="Q1110" s="2" t="s">
        <v>41</v>
      </c>
      <c r="R1110" s="2" t="s">
        <v>52</v>
      </c>
      <c r="S1110" s="2" t="s">
        <v>30</v>
      </c>
      <c r="T1110" s="2" t="s">
        <v>454</v>
      </c>
      <c r="U1110" s="2" t="str">
        <f t="shared" si="52"/>
        <v>Valid</v>
      </c>
      <c r="V1110" s="2" t="s">
        <v>3132</v>
      </c>
    </row>
    <row r="1111" spans="1:22" hidden="1" x14ac:dyDescent="0.3">
      <c r="A1111" s="2" t="s">
        <v>3133</v>
      </c>
      <c r="B1111" s="12">
        <f t="shared" si="51"/>
        <v>46238.582026655087</v>
      </c>
      <c r="C1111" s="13">
        <v>46238.582026655087</v>
      </c>
      <c r="D1111" s="2" t="s">
        <v>492</v>
      </c>
      <c r="E1111" s="2" t="str">
        <f t="shared" si="53"/>
        <v>Email Available</v>
      </c>
      <c r="F1111" s="2" t="s">
        <v>493</v>
      </c>
      <c r="G1111" s="2" t="s">
        <v>226</v>
      </c>
      <c r="H1111" s="2" t="s">
        <v>23</v>
      </c>
      <c r="I1111" s="2" t="s">
        <v>227</v>
      </c>
      <c r="J1111" s="2">
        <v>1</v>
      </c>
      <c r="K1111" s="2">
        <v>17.989999999999998</v>
      </c>
      <c r="L1111" s="2"/>
      <c r="M1111" s="2" t="s">
        <v>189</v>
      </c>
      <c r="N1111" s="2">
        <v>5.99</v>
      </c>
      <c r="O1111" s="2">
        <v>23.98</v>
      </c>
      <c r="P1111" s="2" t="s">
        <v>27</v>
      </c>
      <c r="Q1111" s="2" t="s">
        <v>41</v>
      </c>
      <c r="R1111" s="2" t="s">
        <v>52</v>
      </c>
      <c r="S1111" s="2" t="s">
        <v>75</v>
      </c>
      <c r="T1111" s="2"/>
      <c r="U1111" s="2" t="str">
        <f t="shared" si="52"/>
        <v>Not Required</v>
      </c>
      <c r="V1111" s="2" t="s">
        <v>3134</v>
      </c>
    </row>
    <row r="1112" spans="1:22" hidden="1" x14ac:dyDescent="0.3">
      <c r="A1112" s="2" t="s">
        <v>3135</v>
      </c>
      <c r="B1112" s="12">
        <f t="shared" si="51"/>
        <v>46238.583233217592</v>
      </c>
      <c r="C1112" s="13">
        <v>46238.583233217592</v>
      </c>
      <c r="D1112" s="2" t="s">
        <v>1098</v>
      </c>
      <c r="E1112" s="2" t="str">
        <f t="shared" si="53"/>
        <v>Email Available</v>
      </c>
      <c r="F1112" s="2" t="s">
        <v>1099</v>
      </c>
      <c r="G1112" s="2" t="s">
        <v>36</v>
      </c>
      <c r="H1112" s="2" t="s">
        <v>37</v>
      </c>
      <c r="I1112" s="2" t="s">
        <v>38</v>
      </c>
      <c r="J1112" s="2">
        <v>1</v>
      </c>
      <c r="K1112" s="2">
        <v>21.99</v>
      </c>
      <c r="L1112" s="2"/>
      <c r="M1112" s="2" t="s">
        <v>189</v>
      </c>
      <c r="N1112" s="2">
        <v>7.99</v>
      </c>
      <c r="O1112" s="2">
        <v>29.98</v>
      </c>
      <c r="P1112" s="2" t="s">
        <v>40</v>
      </c>
      <c r="Q1112" s="2" t="s">
        <v>28</v>
      </c>
      <c r="R1112" s="2" t="s">
        <v>52</v>
      </c>
      <c r="S1112" s="2" t="s">
        <v>30</v>
      </c>
      <c r="T1112" s="2" t="s">
        <v>31</v>
      </c>
      <c r="U1112" s="2" t="str">
        <f t="shared" si="52"/>
        <v>Valid</v>
      </c>
      <c r="V1112" s="2" t="s">
        <v>3136</v>
      </c>
    </row>
    <row r="1113" spans="1:22" hidden="1" x14ac:dyDescent="0.3">
      <c r="A1113" s="2" t="s">
        <v>3137</v>
      </c>
      <c r="B1113" s="12">
        <f t="shared" si="51"/>
        <v>46238.585669178239</v>
      </c>
      <c r="C1113" s="13">
        <v>46238.585669178239</v>
      </c>
      <c r="D1113" s="2" t="s">
        <v>3138</v>
      </c>
      <c r="E1113" s="2" t="str">
        <f t="shared" si="53"/>
        <v>Email Available</v>
      </c>
      <c r="F1113" s="2" t="s">
        <v>3139</v>
      </c>
      <c r="G1113" s="2" t="s">
        <v>266</v>
      </c>
      <c r="H1113" s="2" t="s">
        <v>37</v>
      </c>
      <c r="I1113" s="2" t="s">
        <v>267</v>
      </c>
      <c r="J1113" s="2">
        <v>2</v>
      </c>
      <c r="K1113" s="2">
        <v>15.49</v>
      </c>
      <c r="L1113" s="2" t="s">
        <v>25</v>
      </c>
      <c r="M1113" s="2">
        <v>6.2</v>
      </c>
      <c r="N1113" s="2">
        <v>7.99</v>
      </c>
      <c r="O1113" s="2">
        <v>32.770000000000003</v>
      </c>
      <c r="P1113" s="2" t="s">
        <v>40</v>
      </c>
      <c r="Q1113" s="2" t="s">
        <v>41</v>
      </c>
      <c r="R1113" s="2" t="s">
        <v>52</v>
      </c>
      <c r="S1113" s="2" t="s">
        <v>30</v>
      </c>
      <c r="T1113" s="2" t="s">
        <v>294</v>
      </c>
      <c r="U1113" s="2" t="str">
        <f t="shared" si="52"/>
        <v>Valid</v>
      </c>
      <c r="V1113" s="2" t="s">
        <v>3140</v>
      </c>
    </row>
    <row r="1114" spans="1:22" hidden="1" x14ac:dyDescent="0.3">
      <c r="A1114" s="2" t="s">
        <v>3141</v>
      </c>
      <c r="B1114" s="12">
        <f t="shared" si="51"/>
        <v>46238.582075115737</v>
      </c>
      <c r="C1114" s="13">
        <v>46238.582075115737</v>
      </c>
      <c r="D1114" s="2" t="s">
        <v>3142</v>
      </c>
      <c r="E1114" s="2" t="str">
        <f t="shared" si="53"/>
        <v>Email Available</v>
      </c>
      <c r="F1114" s="2" t="s">
        <v>1034</v>
      </c>
      <c r="G1114" s="2" t="s">
        <v>1918</v>
      </c>
      <c r="H1114" s="2" t="s">
        <v>88</v>
      </c>
      <c r="I1114" s="2" t="s">
        <v>369</v>
      </c>
      <c r="J1114" s="2">
        <v>1</v>
      </c>
      <c r="K1114" s="2">
        <v>54.99</v>
      </c>
      <c r="L1114" s="2" t="s">
        <v>25</v>
      </c>
      <c r="M1114" s="2">
        <v>11</v>
      </c>
      <c r="N1114" s="2">
        <v>7.99</v>
      </c>
      <c r="O1114" s="2">
        <v>51.98</v>
      </c>
      <c r="P1114" s="2" t="s">
        <v>27</v>
      </c>
      <c r="Q1114" s="2" t="s">
        <v>90</v>
      </c>
      <c r="R1114" s="2" t="s">
        <v>52</v>
      </c>
      <c r="S1114" s="2" t="s">
        <v>30</v>
      </c>
      <c r="T1114" s="2" t="s">
        <v>60</v>
      </c>
      <c r="U1114" s="2" t="str">
        <f t="shared" si="52"/>
        <v>Valid</v>
      </c>
      <c r="V1114" s="2" t="s">
        <v>3143</v>
      </c>
    </row>
    <row r="1115" spans="1:22" hidden="1" x14ac:dyDescent="0.3">
      <c r="A1115" s="2" t="s">
        <v>3144</v>
      </c>
      <c r="B1115" s="12">
        <f t="shared" si="51"/>
        <v>46238.585170601851</v>
      </c>
      <c r="C1115" s="13">
        <v>46238.585170601851</v>
      </c>
      <c r="D1115" s="2"/>
      <c r="E1115" s="2" t="str">
        <f t="shared" si="53"/>
        <v>Email Available</v>
      </c>
      <c r="F1115" s="2" t="s">
        <v>1748</v>
      </c>
      <c r="G1115" s="2" t="s">
        <v>368</v>
      </c>
      <c r="H1115" s="2" t="s">
        <v>88</v>
      </c>
      <c r="I1115" s="2" t="s">
        <v>369</v>
      </c>
      <c r="J1115" s="2">
        <v>1</v>
      </c>
      <c r="K1115" s="2">
        <v>54.99</v>
      </c>
      <c r="L1115" s="2"/>
      <c r="M1115" s="2">
        <v>0</v>
      </c>
      <c r="N1115" s="2">
        <v>4.99</v>
      </c>
      <c r="O1115" s="2" t="s">
        <v>3145</v>
      </c>
      <c r="P1115" s="2" t="s">
        <v>68</v>
      </c>
      <c r="Q1115" s="2" t="s">
        <v>114</v>
      </c>
      <c r="R1115" s="2" t="s">
        <v>29</v>
      </c>
      <c r="S1115" s="2" t="s">
        <v>30</v>
      </c>
      <c r="T1115" s="2" t="s">
        <v>347</v>
      </c>
      <c r="U1115" s="2" t="str">
        <f t="shared" si="52"/>
        <v>Valid</v>
      </c>
      <c r="V1115" s="2" t="s">
        <v>3146</v>
      </c>
    </row>
    <row r="1116" spans="1:22" hidden="1" x14ac:dyDescent="0.3">
      <c r="A1116" s="2" t="s">
        <v>3147</v>
      </c>
      <c r="B1116" s="12">
        <f t="shared" si="51"/>
        <v>46238.579640451389</v>
      </c>
      <c r="C1116" s="13">
        <v>46238.579640451389</v>
      </c>
      <c r="D1116" s="2" t="s">
        <v>3148</v>
      </c>
      <c r="E1116" s="2" t="str">
        <f t="shared" si="53"/>
        <v>Email Available</v>
      </c>
      <c r="F1116" s="2" t="s">
        <v>265</v>
      </c>
      <c r="G1116" s="2" t="s">
        <v>120</v>
      </c>
      <c r="H1116" s="2" t="s">
        <v>23</v>
      </c>
      <c r="I1116" s="2" t="s">
        <v>24</v>
      </c>
      <c r="J1116" s="2">
        <v>4</v>
      </c>
      <c r="K1116" s="2">
        <v>12.99</v>
      </c>
      <c r="L1116" s="2"/>
      <c r="M1116" s="2" t="s">
        <v>189</v>
      </c>
      <c r="N1116" s="2">
        <v>5.99</v>
      </c>
      <c r="O1116" s="2" t="s">
        <v>3149</v>
      </c>
      <c r="P1116" s="2" t="s">
        <v>68</v>
      </c>
      <c r="Q1116" s="2" t="s">
        <v>28</v>
      </c>
      <c r="R1116" s="2" t="s">
        <v>52</v>
      </c>
      <c r="S1116" s="2" t="s">
        <v>30</v>
      </c>
      <c r="T1116" s="2" t="s">
        <v>454</v>
      </c>
      <c r="U1116" s="2" t="str">
        <f t="shared" si="52"/>
        <v>Valid</v>
      </c>
      <c r="V1116" s="2" t="s">
        <v>3150</v>
      </c>
    </row>
    <row r="1117" spans="1:22" hidden="1" x14ac:dyDescent="0.3">
      <c r="A1117" s="2" t="s">
        <v>3151</v>
      </c>
      <c r="B1117" s="12">
        <f t="shared" si="51"/>
        <v>46238.583240636573</v>
      </c>
      <c r="C1117" s="13">
        <v>46238.583240636573</v>
      </c>
      <c r="D1117" s="2" t="s">
        <v>674</v>
      </c>
      <c r="E1117" s="2" t="str">
        <f t="shared" si="53"/>
        <v>Email Available</v>
      </c>
      <c r="F1117" s="2" t="s">
        <v>675</v>
      </c>
      <c r="G1117" s="2" t="s">
        <v>48</v>
      </c>
      <c r="H1117" s="2" t="s">
        <v>49</v>
      </c>
      <c r="I1117" s="2" t="s">
        <v>50</v>
      </c>
      <c r="J1117" s="2">
        <v>1</v>
      </c>
      <c r="K1117" s="2">
        <v>39.99</v>
      </c>
      <c r="L1117" s="2"/>
      <c r="M1117" s="2">
        <v>0</v>
      </c>
      <c r="N1117" s="2">
        <v>7.99</v>
      </c>
      <c r="O1117" s="2">
        <v>47.98</v>
      </c>
      <c r="P1117" s="2" t="s">
        <v>40</v>
      </c>
      <c r="Q1117" s="2" t="s">
        <v>28</v>
      </c>
      <c r="R1117" s="2" t="s">
        <v>52</v>
      </c>
      <c r="S1117" s="2" t="s">
        <v>228</v>
      </c>
      <c r="T1117" s="2"/>
      <c r="U1117" s="2" t="str">
        <f t="shared" si="52"/>
        <v>Not Required</v>
      </c>
      <c r="V1117" s="2" t="s">
        <v>3152</v>
      </c>
    </row>
    <row r="1118" spans="1:22" hidden="1" x14ac:dyDescent="0.3">
      <c r="A1118" s="2" t="s">
        <v>3153</v>
      </c>
      <c r="B1118" s="12">
        <f t="shared" si="51"/>
        <v>46238.583823414352</v>
      </c>
      <c r="C1118" s="13">
        <v>46238.583823414352</v>
      </c>
      <c r="D1118" s="2" t="s">
        <v>685</v>
      </c>
      <c r="E1118" s="2" t="str">
        <f t="shared" si="53"/>
        <v>Email Available</v>
      </c>
      <c r="F1118" s="2" t="s">
        <v>485</v>
      </c>
      <c r="G1118" s="2" t="s">
        <v>266</v>
      </c>
      <c r="H1118" s="2" t="s">
        <v>37</v>
      </c>
      <c r="I1118" s="2" t="s">
        <v>267</v>
      </c>
      <c r="J1118" s="2">
        <v>2</v>
      </c>
      <c r="K1118" s="2">
        <v>15.49</v>
      </c>
      <c r="L1118" s="2" t="s">
        <v>39</v>
      </c>
      <c r="M1118" s="2">
        <v>0</v>
      </c>
      <c r="N1118" s="2">
        <v>0</v>
      </c>
      <c r="O1118" s="2">
        <v>30.98</v>
      </c>
      <c r="P1118" s="2" t="s">
        <v>74</v>
      </c>
      <c r="Q1118" s="2" t="s">
        <v>90</v>
      </c>
      <c r="R1118" s="2" t="s">
        <v>99</v>
      </c>
      <c r="S1118" s="2" t="s">
        <v>30</v>
      </c>
      <c r="T1118" s="2" t="s">
        <v>145</v>
      </c>
      <c r="U1118" s="2" t="str">
        <f t="shared" si="52"/>
        <v>Valid</v>
      </c>
      <c r="V1118" s="2" t="s">
        <v>1972</v>
      </c>
    </row>
    <row r="1119" spans="1:22" hidden="1" x14ac:dyDescent="0.3">
      <c r="A1119" s="2" t="s">
        <v>3154</v>
      </c>
      <c r="B1119" s="12">
        <f t="shared" si="51"/>
        <v>46238.583608067129</v>
      </c>
      <c r="C1119" s="13">
        <v>46238.583608067129</v>
      </c>
      <c r="D1119" s="2" t="s">
        <v>448</v>
      </c>
      <c r="E1119" s="2" t="str">
        <f t="shared" si="53"/>
        <v>Email Available</v>
      </c>
      <c r="F1119" s="2" t="s">
        <v>449</v>
      </c>
      <c r="G1119" s="2" t="s">
        <v>226</v>
      </c>
      <c r="H1119" s="2" t="s">
        <v>23</v>
      </c>
      <c r="I1119" s="2" t="s">
        <v>227</v>
      </c>
      <c r="J1119" s="2">
        <v>1</v>
      </c>
      <c r="K1119" s="2">
        <v>17.989999999999998</v>
      </c>
      <c r="L1119" s="2"/>
      <c r="M1119" s="2" t="s">
        <v>189</v>
      </c>
      <c r="N1119" s="2">
        <v>5.99</v>
      </c>
      <c r="O1119" s="2" t="s">
        <v>3155</v>
      </c>
      <c r="P1119" s="2" t="s">
        <v>51</v>
      </c>
      <c r="Q1119" s="2" t="s">
        <v>90</v>
      </c>
      <c r="R1119" s="2" t="s">
        <v>29</v>
      </c>
      <c r="S1119" s="2" t="s">
        <v>30</v>
      </c>
      <c r="T1119" s="2" t="s">
        <v>69</v>
      </c>
      <c r="U1119" s="2" t="str">
        <f t="shared" si="52"/>
        <v>Valid</v>
      </c>
      <c r="V1119" s="2" t="s">
        <v>3156</v>
      </c>
    </row>
    <row r="1120" spans="1:22" hidden="1" x14ac:dyDescent="0.3">
      <c r="A1120" s="2" t="s">
        <v>3157</v>
      </c>
      <c r="B1120" s="12">
        <f t="shared" si="51"/>
        <v>46238.582422013889</v>
      </c>
      <c r="C1120" s="13">
        <v>46238.582422013889</v>
      </c>
      <c r="D1120" s="2" t="s">
        <v>647</v>
      </c>
      <c r="E1120" s="2" t="str">
        <f t="shared" si="53"/>
        <v>Email Available</v>
      </c>
      <c r="F1120" s="2" t="s">
        <v>648</v>
      </c>
      <c r="G1120" s="2" t="s">
        <v>206</v>
      </c>
      <c r="H1120" s="2" t="s">
        <v>196</v>
      </c>
      <c r="I1120" s="2" t="s">
        <v>207</v>
      </c>
      <c r="J1120" s="2">
        <v>2</v>
      </c>
      <c r="K1120" s="2">
        <v>24.99</v>
      </c>
      <c r="L1120" s="2" t="s">
        <v>25</v>
      </c>
      <c r="M1120" s="2">
        <v>10</v>
      </c>
      <c r="N1120" s="2">
        <v>4.99</v>
      </c>
      <c r="O1120" s="2">
        <v>44.97</v>
      </c>
      <c r="P1120" s="2" t="s">
        <v>74</v>
      </c>
      <c r="Q1120" s="2" t="s">
        <v>90</v>
      </c>
      <c r="R1120" s="2" t="s">
        <v>52</v>
      </c>
      <c r="S1120" s="2" t="s">
        <v>30</v>
      </c>
      <c r="T1120" s="2" t="s">
        <v>31</v>
      </c>
      <c r="U1120" s="2" t="str">
        <f t="shared" si="52"/>
        <v>Valid</v>
      </c>
      <c r="V1120" s="2" t="s">
        <v>3158</v>
      </c>
    </row>
    <row r="1121" spans="1:22" hidden="1" x14ac:dyDescent="0.3">
      <c r="A1121" s="2" t="s">
        <v>3159</v>
      </c>
      <c r="B1121" s="12">
        <f t="shared" si="51"/>
        <v>46238.587695555558</v>
      </c>
      <c r="C1121" s="13">
        <v>46238.587695555558</v>
      </c>
      <c r="D1121" s="2" t="s">
        <v>480</v>
      </c>
      <c r="E1121" s="2" t="str">
        <f t="shared" si="53"/>
        <v>Email Available</v>
      </c>
      <c r="F1121" s="2" t="s">
        <v>481</v>
      </c>
      <c r="G1121" s="2" t="s">
        <v>151</v>
      </c>
      <c r="H1121" s="2" t="s">
        <v>49</v>
      </c>
      <c r="I1121" s="2" t="s">
        <v>152</v>
      </c>
      <c r="J1121" s="2">
        <v>1</v>
      </c>
      <c r="K1121" s="2" t="s">
        <v>346</v>
      </c>
      <c r="L1121" s="2" t="s">
        <v>67</v>
      </c>
      <c r="M1121" s="2">
        <v>3.5</v>
      </c>
      <c r="N1121" s="2">
        <v>5.99</v>
      </c>
      <c r="O1121" s="2">
        <v>37.479999999999997</v>
      </c>
      <c r="P1121" s="2" t="s">
        <v>68</v>
      </c>
      <c r="Q1121" s="2" t="s">
        <v>90</v>
      </c>
      <c r="R1121" s="2" t="s">
        <v>52</v>
      </c>
      <c r="S1121" s="2" t="s">
        <v>75</v>
      </c>
      <c r="T1121" s="2"/>
      <c r="U1121" s="2" t="str">
        <f t="shared" si="52"/>
        <v>Not Required</v>
      </c>
      <c r="V1121" s="2" t="s">
        <v>3160</v>
      </c>
    </row>
    <row r="1122" spans="1:22" hidden="1" x14ac:dyDescent="0.3">
      <c r="A1122" s="2" t="s">
        <v>3161</v>
      </c>
      <c r="B1122" s="12">
        <f t="shared" si="51"/>
        <v>46238</v>
      </c>
      <c r="C1122" s="13" t="s">
        <v>1209</v>
      </c>
      <c r="D1122" s="2" t="s">
        <v>218</v>
      </c>
      <c r="E1122" s="2" t="str">
        <f t="shared" si="53"/>
        <v>Email Available</v>
      </c>
      <c r="F1122" s="2" t="s">
        <v>219</v>
      </c>
      <c r="G1122" s="2" t="s">
        <v>87</v>
      </c>
      <c r="H1122" s="2" t="s">
        <v>88</v>
      </c>
      <c r="I1122" s="2" t="s">
        <v>89</v>
      </c>
      <c r="J1122" s="2">
        <v>1</v>
      </c>
      <c r="K1122" s="2">
        <v>54.99</v>
      </c>
      <c r="L1122" s="2"/>
      <c r="M1122" s="2">
        <v>0</v>
      </c>
      <c r="N1122" s="2">
        <v>4.99</v>
      </c>
      <c r="O1122" s="2">
        <v>59.98</v>
      </c>
      <c r="P1122" s="2" t="s">
        <v>68</v>
      </c>
      <c r="Q1122" s="2" t="s">
        <v>41</v>
      </c>
      <c r="R1122" s="2" t="s">
        <v>29</v>
      </c>
      <c r="S1122" s="2" t="s">
        <v>30</v>
      </c>
      <c r="T1122" s="2" t="s">
        <v>347</v>
      </c>
      <c r="U1122" s="2" t="str">
        <f t="shared" si="52"/>
        <v>Valid</v>
      </c>
      <c r="V1122" s="2" t="s">
        <v>3162</v>
      </c>
    </row>
    <row r="1123" spans="1:22" hidden="1" x14ac:dyDescent="0.3">
      <c r="A1123" s="2" t="s">
        <v>3163</v>
      </c>
      <c r="B1123" s="12">
        <f t="shared" si="51"/>
        <v>46238.579982916657</v>
      </c>
      <c r="C1123" s="13">
        <v>46238.579982916657</v>
      </c>
      <c r="D1123" s="2" t="s">
        <v>1220</v>
      </c>
      <c r="E1123" s="2" t="str">
        <f t="shared" si="53"/>
        <v>Email Available</v>
      </c>
      <c r="F1123" s="2" t="s">
        <v>1221</v>
      </c>
      <c r="G1123" s="2" t="s">
        <v>151</v>
      </c>
      <c r="H1123" s="2" t="s">
        <v>49</v>
      </c>
      <c r="I1123" s="2" t="s">
        <v>152</v>
      </c>
      <c r="J1123" s="2">
        <v>1</v>
      </c>
      <c r="K1123" s="2">
        <v>34.99</v>
      </c>
      <c r="L1123" s="2"/>
      <c r="M1123" s="2">
        <v>0</v>
      </c>
      <c r="N1123" s="2">
        <v>5.99</v>
      </c>
      <c r="O1123" s="2">
        <v>40.98</v>
      </c>
      <c r="P1123" s="2" t="s">
        <v>74</v>
      </c>
      <c r="Q1123" s="2" t="s">
        <v>90</v>
      </c>
      <c r="R1123" s="2" t="s">
        <v>52</v>
      </c>
      <c r="S1123" s="2" t="s">
        <v>75</v>
      </c>
      <c r="T1123" s="2"/>
      <c r="U1123" s="2" t="str">
        <f t="shared" si="52"/>
        <v>Not Required</v>
      </c>
      <c r="V1123" s="2" t="s">
        <v>3164</v>
      </c>
    </row>
    <row r="1124" spans="1:22" hidden="1" x14ac:dyDescent="0.3">
      <c r="A1124" s="2" t="s">
        <v>3165</v>
      </c>
      <c r="B1124" s="12">
        <f t="shared" si="51"/>
        <v>46238.587461655086</v>
      </c>
      <c r="C1124" s="13">
        <v>46238.587461655086</v>
      </c>
      <c r="D1124" s="2" t="s">
        <v>1747</v>
      </c>
      <c r="E1124" s="2" t="str">
        <f t="shared" si="53"/>
        <v>Email Available</v>
      </c>
      <c r="F1124" s="2" t="s">
        <v>1748</v>
      </c>
      <c r="G1124" s="2" t="s">
        <v>65</v>
      </c>
      <c r="H1124" s="2" t="s">
        <v>49</v>
      </c>
      <c r="I1124" s="2" t="s">
        <v>66</v>
      </c>
      <c r="J1124" s="2">
        <v>1</v>
      </c>
      <c r="K1124" s="2">
        <v>14.99</v>
      </c>
      <c r="L1124" s="2" t="s">
        <v>39</v>
      </c>
      <c r="M1124" s="2">
        <v>0</v>
      </c>
      <c r="N1124" s="2">
        <v>0</v>
      </c>
      <c r="O1124" s="2">
        <v>14.99</v>
      </c>
      <c r="P1124" s="2" t="s">
        <v>68</v>
      </c>
      <c r="Q1124" s="2" t="s">
        <v>28</v>
      </c>
      <c r="R1124" s="2" t="s">
        <v>52</v>
      </c>
      <c r="S1124" s="2" t="s">
        <v>30</v>
      </c>
      <c r="T1124" s="2" t="s">
        <v>69</v>
      </c>
      <c r="U1124" s="2" t="str">
        <f t="shared" si="52"/>
        <v>Valid</v>
      </c>
      <c r="V1124" s="2" t="s">
        <v>3166</v>
      </c>
    </row>
    <row r="1125" spans="1:22" hidden="1" x14ac:dyDescent="0.3">
      <c r="A1125" s="2" t="s">
        <v>3167</v>
      </c>
      <c r="B1125" s="12">
        <f t="shared" si="51"/>
        <v>46238.583147233803</v>
      </c>
      <c r="C1125" s="13">
        <v>46238.583147233803</v>
      </c>
      <c r="D1125" s="2" t="s">
        <v>1631</v>
      </c>
      <c r="E1125" s="2" t="str">
        <f t="shared" si="53"/>
        <v>Email Available</v>
      </c>
      <c r="F1125" s="2" t="s">
        <v>1632</v>
      </c>
      <c r="G1125" s="2" t="s">
        <v>266</v>
      </c>
      <c r="H1125" s="2" t="s">
        <v>37</v>
      </c>
      <c r="I1125" s="2" t="s">
        <v>267</v>
      </c>
      <c r="J1125" s="2">
        <v>2</v>
      </c>
      <c r="K1125" s="2">
        <v>15.49</v>
      </c>
      <c r="L1125" s="2" t="s">
        <v>25</v>
      </c>
      <c r="M1125" s="2">
        <v>6.2</v>
      </c>
      <c r="N1125" s="2">
        <v>4.99</v>
      </c>
      <c r="O1125" s="2">
        <v>29.77</v>
      </c>
      <c r="P1125" s="2" t="s">
        <v>74</v>
      </c>
      <c r="Q1125" s="2" t="s">
        <v>41</v>
      </c>
      <c r="R1125" s="2" t="s">
        <v>99</v>
      </c>
      <c r="S1125" s="2" t="s">
        <v>30</v>
      </c>
      <c r="T1125" s="2" t="s">
        <v>31</v>
      </c>
      <c r="U1125" s="2" t="str">
        <f t="shared" si="52"/>
        <v>Valid</v>
      </c>
      <c r="V1125" s="2" t="s">
        <v>3168</v>
      </c>
    </row>
    <row r="1126" spans="1:22" hidden="1" x14ac:dyDescent="0.3">
      <c r="A1126" s="2" t="s">
        <v>3169</v>
      </c>
      <c r="B1126" s="12">
        <f t="shared" si="51"/>
        <v>46238.588200578713</v>
      </c>
      <c r="C1126" s="13">
        <v>46238.588200578713</v>
      </c>
      <c r="D1126" s="2" t="s">
        <v>1670</v>
      </c>
      <c r="E1126" s="2" t="str">
        <f t="shared" si="53"/>
        <v>Email Available</v>
      </c>
      <c r="F1126" s="2" t="s">
        <v>1671</v>
      </c>
      <c r="G1126" s="2" t="s">
        <v>171</v>
      </c>
      <c r="H1126" s="2" t="s">
        <v>106</v>
      </c>
      <c r="I1126" s="2" t="s">
        <v>172</v>
      </c>
      <c r="J1126" s="2">
        <v>1</v>
      </c>
      <c r="K1126" s="2">
        <v>32.99</v>
      </c>
      <c r="L1126" s="2" t="s">
        <v>25</v>
      </c>
      <c r="M1126" s="2">
        <v>6.6</v>
      </c>
      <c r="N1126" s="2">
        <v>5.99</v>
      </c>
      <c r="O1126" s="2" t="s">
        <v>3170</v>
      </c>
      <c r="P1126" s="2" t="s">
        <v>40</v>
      </c>
      <c r="Q1126" s="2" t="s">
        <v>41</v>
      </c>
      <c r="R1126" s="2" t="s">
        <v>52</v>
      </c>
      <c r="S1126" s="2" t="s">
        <v>30</v>
      </c>
      <c r="T1126" s="2" t="s">
        <v>115</v>
      </c>
      <c r="U1126" s="2" t="str">
        <f t="shared" si="52"/>
        <v>Valid</v>
      </c>
      <c r="V1126" s="2" t="s">
        <v>3171</v>
      </c>
    </row>
    <row r="1127" spans="1:22" hidden="1" x14ac:dyDescent="0.3">
      <c r="A1127" s="2" t="s">
        <v>3172</v>
      </c>
      <c r="B1127" s="12">
        <f t="shared" si="51"/>
        <v>46238.589159108793</v>
      </c>
      <c r="C1127" s="13">
        <v>46238.589159108793</v>
      </c>
      <c r="D1127" s="2" t="s">
        <v>63</v>
      </c>
      <c r="E1127" s="2" t="str">
        <f t="shared" si="53"/>
        <v>Email Available</v>
      </c>
      <c r="F1127" s="2" t="s">
        <v>64</v>
      </c>
      <c r="G1127" s="2" t="s">
        <v>266</v>
      </c>
      <c r="H1127" s="2" t="s">
        <v>37</v>
      </c>
      <c r="I1127" s="2" t="s">
        <v>267</v>
      </c>
      <c r="J1127" s="2">
        <v>1</v>
      </c>
      <c r="K1127" s="2">
        <v>15.49</v>
      </c>
      <c r="L1127" s="2"/>
      <c r="M1127" s="2">
        <v>0</v>
      </c>
      <c r="N1127" s="2">
        <v>7.99</v>
      </c>
      <c r="O1127" s="2">
        <v>23.48</v>
      </c>
      <c r="P1127" s="2" t="s">
        <v>68</v>
      </c>
      <c r="Q1127" s="2" t="s">
        <v>28</v>
      </c>
      <c r="R1127" s="2" t="s">
        <v>42</v>
      </c>
      <c r="S1127" s="2" t="s">
        <v>30</v>
      </c>
      <c r="T1127" s="2" t="s">
        <v>91</v>
      </c>
      <c r="U1127" s="2" t="str">
        <f t="shared" si="52"/>
        <v>Valid</v>
      </c>
      <c r="V1127" s="2" t="s">
        <v>3173</v>
      </c>
    </row>
    <row r="1128" spans="1:22" hidden="1" x14ac:dyDescent="0.3">
      <c r="A1128" s="2" t="s">
        <v>3174</v>
      </c>
      <c r="B1128" s="12">
        <f t="shared" si="51"/>
        <v>46238.58349247685</v>
      </c>
      <c r="C1128" s="13">
        <v>46238.58349247685</v>
      </c>
      <c r="D1128" s="2" t="s">
        <v>3175</v>
      </c>
      <c r="E1128" s="2" t="str">
        <f t="shared" si="53"/>
        <v>Email Available</v>
      </c>
      <c r="F1128" s="2" t="s">
        <v>3176</v>
      </c>
      <c r="G1128" s="2" t="s">
        <v>36</v>
      </c>
      <c r="H1128" s="2" t="s">
        <v>37</v>
      </c>
      <c r="I1128" s="2" t="s">
        <v>38</v>
      </c>
      <c r="J1128" s="2">
        <v>1</v>
      </c>
      <c r="K1128" s="2">
        <v>21.99</v>
      </c>
      <c r="L1128" s="2" t="s">
        <v>208</v>
      </c>
      <c r="M1128" s="2">
        <v>3.3</v>
      </c>
      <c r="N1128" s="2">
        <v>4.99</v>
      </c>
      <c r="O1128" s="2">
        <v>23.68</v>
      </c>
      <c r="P1128" s="2" t="s">
        <v>27</v>
      </c>
      <c r="Q1128" s="2" t="s">
        <v>90</v>
      </c>
      <c r="R1128" s="2" t="s">
        <v>52</v>
      </c>
      <c r="S1128" s="2" t="s">
        <v>43</v>
      </c>
      <c r="T1128" s="2"/>
      <c r="U1128" s="2" t="str">
        <f t="shared" si="52"/>
        <v>Not Required</v>
      </c>
      <c r="V1128" s="2" t="s">
        <v>3177</v>
      </c>
    </row>
    <row r="1129" spans="1:22" hidden="1" x14ac:dyDescent="0.3">
      <c r="A1129" s="2" t="s">
        <v>3178</v>
      </c>
      <c r="B1129" s="12">
        <f t="shared" si="51"/>
        <v>46238</v>
      </c>
      <c r="C1129" s="13" t="s">
        <v>148</v>
      </c>
      <c r="D1129" s="2" t="s">
        <v>448</v>
      </c>
      <c r="E1129" s="2" t="str">
        <f t="shared" si="53"/>
        <v>Email Available</v>
      </c>
      <c r="F1129" s="2" t="s">
        <v>449</v>
      </c>
      <c r="G1129" s="2" t="s">
        <v>241</v>
      </c>
      <c r="H1129" s="2" t="s">
        <v>242</v>
      </c>
      <c r="I1129" s="2" t="s">
        <v>243</v>
      </c>
      <c r="J1129" s="2">
        <v>1</v>
      </c>
      <c r="K1129" s="2">
        <v>27.99</v>
      </c>
      <c r="L1129" s="2"/>
      <c r="M1129" s="2">
        <v>0</v>
      </c>
      <c r="N1129" s="2">
        <v>7.99</v>
      </c>
      <c r="O1129" s="2">
        <v>35.979999999999997</v>
      </c>
      <c r="P1129" s="2" t="s">
        <v>68</v>
      </c>
      <c r="Q1129" s="2" t="s">
        <v>28</v>
      </c>
      <c r="R1129" s="2" t="s">
        <v>29</v>
      </c>
      <c r="S1129" s="2" t="s">
        <v>30</v>
      </c>
      <c r="T1129" s="2" t="s">
        <v>60</v>
      </c>
      <c r="U1129" s="2" t="str">
        <f t="shared" si="52"/>
        <v>Valid</v>
      </c>
      <c r="V1129" s="2" t="s">
        <v>2279</v>
      </c>
    </row>
    <row r="1130" spans="1:22" hidden="1" x14ac:dyDescent="0.3">
      <c r="A1130" s="2" t="s">
        <v>3179</v>
      </c>
      <c r="B1130" s="12">
        <f t="shared" si="51"/>
        <v>46238.584629050929</v>
      </c>
      <c r="C1130" s="13">
        <v>46238.584629050929</v>
      </c>
      <c r="D1130" s="2" t="s">
        <v>2185</v>
      </c>
      <c r="E1130" s="2" t="str">
        <f t="shared" si="53"/>
        <v>Email Available</v>
      </c>
      <c r="F1130" s="2" t="s">
        <v>2798</v>
      </c>
      <c r="G1130" s="2" t="s">
        <v>206</v>
      </c>
      <c r="H1130" s="2" t="s">
        <v>196</v>
      </c>
      <c r="I1130" s="2" t="s">
        <v>207</v>
      </c>
      <c r="J1130" s="2">
        <v>1</v>
      </c>
      <c r="K1130" s="2">
        <v>24.99</v>
      </c>
      <c r="L1130" s="2" t="s">
        <v>121</v>
      </c>
      <c r="M1130" s="2">
        <v>6.25</v>
      </c>
      <c r="N1130" s="2">
        <v>5.99</v>
      </c>
      <c r="O1130" s="2">
        <v>24.73</v>
      </c>
      <c r="P1130" s="2" t="s">
        <v>27</v>
      </c>
      <c r="Q1130" s="2" t="s">
        <v>28</v>
      </c>
      <c r="R1130" s="2" t="s">
        <v>99</v>
      </c>
      <c r="S1130" s="2" t="s">
        <v>30</v>
      </c>
      <c r="T1130" s="2" t="s">
        <v>145</v>
      </c>
      <c r="U1130" s="2" t="str">
        <f t="shared" si="52"/>
        <v>Valid</v>
      </c>
      <c r="V1130" s="2" t="s">
        <v>3180</v>
      </c>
    </row>
    <row r="1131" spans="1:22" hidden="1" x14ac:dyDescent="0.3">
      <c r="A1131" s="2" t="s">
        <v>3181</v>
      </c>
      <c r="B1131" s="12">
        <f t="shared" si="51"/>
        <v>46238.584347488417</v>
      </c>
      <c r="C1131" s="13">
        <v>46238.584347488417</v>
      </c>
      <c r="D1131" s="2" t="s">
        <v>288</v>
      </c>
      <c r="E1131" s="2" t="str">
        <f t="shared" si="53"/>
        <v>Email Available</v>
      </c>
      <c r="F1131" s="2" t="s">
        <v>289</v>
      </c>
      <c r="G1131" s="2" t="s">
        <v>80</v>
      </c>
      <c r="H1131" s="2" t="s">
        <v>81</v>
      </c>
      <c r="I1131" s="2" t="s">
        <v>82</v>
      </c>
      <c r="J1131" s="2">
        <v>2</v>
      </c>
      <c r="K1131" s="2">
        <v>89.99</v>
      </c>
      <c r="L1131" s="2" t="s">
        <v>208</v>
      </c>
      <c r="M1131" s="2">
        <v>27</v>
      </c>
      <c r="N1131" s="2">
        <v>0</v>
      </c>
      <c r="O1131" s="2">
        <v>152.97999999999999</v>
      </c>
      <c r="P1131" s="2" t="s">
        <v>40</v>
      </c>
      <c r="Q1131" s="2" t="s">
        <v>90</v>
      </c>
      <c r="R1131" s="2" t="s">
        <v>99</v>
      </c>
      <c r="S1131" s="2" t="s">
        <v>30</v>
      </c>
      <c r="T1131" s="2" t="s">
        <v>347</v>
      </c>
      <c r="U1131" s="2" t="str">
        <f t="shared" si="52"/>
        <v>Valid</v>
      </c>
      <c r="V1131" s="2" t="s">
        <v>3182</v>
      </c>
    </row>
    <row r="1132" spans="1:22" hidden="1" x14ac:dyDescent="0.3">
      <c r="A1132" s="2" t="s">
        <v>3183</v>
      </c>
      <c r="B1132" s="12">
        <f t="shared" si="51"/>
        <v>46238.589042766202</v>
      </c>
      <c r="C1132" s="13">
        <v>46238.589042766202</v>
      </c>
      <c r="D1132" s="2" t="s">
        <v>2055</v>
      </c>
      <c r="E1132" s="2" t="str">
        <f t="shared" si="53"/>
        <v>Email Available</v>
      </c>
      <c r="F1132" s="2" t="s">
        <v>2056</v>
      </c>
      <c r="G1132" s="2" t="s">
        <v>36</v>
      </c>
      <c r="H1132" s="2" t="s">
        <v>37</v>
      </c>
      <c r="I1132" s="2" t="s">
        <v>38</v>
      </c>
      <c r="J1132" s="2">
        <v>2</v>
      </c>
      <c r="K1132" s="2">
        <v>21.99</v>
      </c>
      <c r="L1132" s="2"/>
      <c r="M1132" s="2">
        <v>0</v>
      </c>
      <c r="N1132" s="2">
        <v>7.99</v>
      </c>
      <c r="O1132" s="2">
        <v>51.97</v>
      </c>
      <c r="P1132" s="2" t="s">
        <v>40</v>
      </c>
      <c r="Q1132" s="2" t="s">
        <v>90</v>
      </c>
      <c r="R1132" s="2" t="s">
        <v>99</v>
      </c>
      <c r="S1132" s="2" t="s">
        <v>30</v>
      </c>
      <c r="T1132" s="2" t="s">
        <v>145</v>
      </c>
      <c r="U1132" s="2" t="str">
        <f t="shared" si="52"/>
        <v>Valid</v>
      </c>
      <c r="V1132" s="2" t="s">
        <v>3184</v>
      </c>
    </row>
    <row r="1133" spans="1:22" hidden="1" x14ac:dyDescent="0.3">
      <c r="A1133" s="2" t="s">
        <v>3185</v>
      </c>
      <c r="B1133" s="12">
        <f t="shared" si="51"/>
        <v>46238.588521296297</v>
      </c>
      <c r="C1133" s="13">
        <v>46238.588521296297</v>
      </c>
      <c r="D1133" s="2" t="s">
        <v>845</v>
      </c>
      <c r="E1133" s="2" t="str">
        <f t="shared" si="53"/>
        <v>Email Available</v>
      </c>
      <c r="F1133" s="2" t="s">
        <v>846</v>
      </c>
      <c r="G1133" s="2" t="s">
        <v>105</v>
      </c>
      <c r="H1133" s="2" t="s">
        <v>106</v>
      </c>
      <c r="I1133" s="2" t="s">
        <v>107</v>
      </c>
      <c r="J1133" s="2">
        <v>1</v>
      </c>
      <c r="K1133" s="2">
        <v>19.989999999999998</v>
      </c>
      <c r="L1133" s="2"/>
      <c r="M1133" s="2">
        <v>0</v>
      </c>
      <c r="N1133" s="2">
        <v>5.99</v>
      </c>
      <c r="O1133" s="2">
        <v>25.98</v>
      </c>
      <c r="P1133" s="2" t="s">
        <v>27</v>
      </c>
      <c r="Q1133" s="2" t="s">
        <v>28</v>
      </c>
      <c r="R1133" s="2" t="s">
        <v>52</v>
      </c>
      <c r="S1133" s="2" t="s">
        <v>30</v>
      </c>
      <c r="T1133" s="2" t="s">
        <v>69</v>
      </c>
      <c r="U1133" s="2" t="str">
        <f t="shared" si="52"/>
        <v>Valid</v>
      </c>
      <c r="V1133" s="2" t="s">
        <v>3186</v>
      </c>
    </row>
    <row r="1134" spans="1:22" hidden="1" x14ac:dyDescent="0.3">
      <c r="A1134" s="2" t="s">
        <v>3187</v>
      </c>
      <c r="B1134" s="12">
        <f t="shared" si="51"/>
        <v>46238.586629583333</v>
      </c>
      <c r="C1134" s="13">
        <v>46238.586629583333</v>
      </c>
      <c r="D1134" s="2" t="s">
        <v>524</v>
      </c>
      <c r="E1134" s="2" t="str">
        <f t="shared" si="53"/>
        <v>Email Available</v>
      </c>
      <c r="F1134" s="2" t="s">
        <v>525</v>
      </c>
      <c r="G1134" s="2" t="s">
        <v>187</v>
      </c>
      <c r="H1134" s="2" t="s">
        <v>37</v>
      </c>
      <c r="I1134" s="2" t="s">
        <v>188</v>
      </c>
      <c r="J1134" s="2">
        <v>1</v>
      </c>
      <c r="K1134" s="2">
        <v>11.99</v>
      </c>
      <c r="L1134" s="2"/>
      <c r="M1134" s="2">
        <v>0</v>
      </c>
      <c r="N1134" s="2">
        <v>5.99</v>
      </c>
      <c r="O1134" s="2">
        <v>17.98</v>
      </c>
      <c r="P1134" s="2" t="s">
        <v>40</v>
      </c>
      <c r="Q1134" s="2" t="s">
        <v>28</v>
      </c>
      <c r="R1134" s="2" t="s">
        <v>52</v>
      </c>
      <c r="S1134" s="2" t="s">
        <v>30</v>
      </c>
      <c r="T1134" s="2" t="s">
        <v>347</v>
      </c>
      <c r="U1134" s="2" t="str">
        <f t="shared" si="52"/>
        <v>Valid</v>
      </c>
      <c r="V1134" s="2" t="s">
        <v>3188</v>
      </c>
    </row>
    <row r="1135" spans="1:22" x14ac:dyDescent="0.3">
      <c r="A1135" s="2" t="s">
        <v>3189</v>
      </c>
      <c r="B1135" s="12">
        <f t="shared" si="51"/>
        <v>46238.586273553243</v>
      </c>
      <c r="C1135" s="13">
        <v>46238.586273553243</v>
      </c>
      <c r="D1135" s="2" t="s">
        <v>3190</v>
      </c>
      <c r="E1135" s="2" t="str">
        <f t="shared" si="53"/>
        <v>Missing Email</v>
      </c>
      <c r="F1135" s="2"/>
      <c r="G1135" s="2" t="s">
        <v>272</v>
      </c>
      <c r="H1135" s="2" t="s">
        <v>23</v>
      </c>
      <c r="I1135" s="2" t="s">
        <v>273</v>
      </c>
      <c r="J1135" s="2">
        <v>1</v>
      </c>
      <c r="K1135" s="2">
        <v>18.989999999999998</v>
      </c>
      <c r="L1135" s="2" t="s">
        <v>67</v>
      </c>
      <c r="M1135" s="2">
        <v>1.9</v>
      </c>
      <c r="N1135" s="2">
        <v>4.99</v>
      </c>
      <c r="O1135" s="2" t="s">
        <v>3191</v>
      </c>
      <c r="P1135" s="2" t="s">
        <v>68</v>
      </c>
      <c r="Q1135" s="2" t="s">
        <v>28</v>
      </c>
      <c r="R1135" s="2" t="s">
        <v>52</v>
      </c>
      <c r="S1135" s="2" t="s">
        <v>30</v>
      </c>
      <c r="T1135" s="2" t="s">
        <v>91</v>
      </c>
      <c r="U1135" s="2" t="str">
        <f t="shared" si="52"/>
        <v>Valid</v>
      </c>
      <c r="V1135" s="2" t="s">
        <v>2015</v>
      </c>
    </row>
    <row r="1136" spans="1:22" hidden="1" x14ac:dyDescent="0.3">
      <c r="A1136" s="2" t="s">
        <v>3192</v>
      </c>
      <c r="B1136" s="12">
        <f t="shared" si="51"/>
        <v>46238.584586053243</v>
      </c>
      <c r="C1136" s="13">
        <v>46238.584586053243</v>
      </c>
      <c r="D1136" s="2" t="s">
        <v>685</v>
      </c>
      <c r="E1136" s="2" t="str">
        <f t="shared" si="53"/>
        <v>Email Available</v>
      </c>
      <c r="F1136" s="2" t="s">
        <v>485</v>
      </c>
      <c r="G1136" s="2" t="s">
        <v>112</v>
      </c>
      <c r="H1136" s="2" t="s">
        <v>81</v>
      </c>
      <c r="I1136" s="2" t="s">
        <v>113</v>
      </c>
      <c r="J1136" s="2">
        <v>1</v>
      </c>
      <c r="K1136" s="2">
        <v>22.99</v>
      </c>
      <c r="L1136" s="2" t="s">
        <v>25</v>
      </c>
      <c r="M1136" s="2">
        <v>4.5999999999999996</v>
      </c>
      <c r="N1136" s="2">
        <v>5.99</v>
      </c>
      <c r="O1136" s="2">
        <v>24.38</v>
      </c>
      <c r="P1136" s="2" t="s">
        <v>51</v>
      </c>
      <c r="Q1136" s="2" t="s">
        <v>114</v>
      </c>
      <c r="R1136" s="2" t="s">
        <v>29</v>
      </c>
      <c r="S1136" s="2" t="s">
        <v>30</v>
      </c>
      <c r="T1136" s="2" t="s">
        <v>91</v>
      </c>
      <c r="U1136" s="2" t="str">
        <f t="shared" si="52"/>
        <v>Valid</v>
      </c>
      <c r="V1136" s="2" t="s">
        <v>3193</v>
      </c>
    </row>
    <row r="1137" spans="1:22" hidden="1" x14ac:dyDescent="0.3">
      <c r="A1137" s="2" t="s">
        <v>3194</v>
      </c>
      <c r="B1137" s="12">
        <f t="shared" si="51"/>
        <v>46238.580865601849</v>
      </c>
      <c r="C1137" s="13">
        <v>46238.580865601849</v>
      </c>
      <c r="D1137" s="2" t="s">
        <v>2069</v>
      </c>
      <c r="E1137" s="2" t="str">
        <f t="shared" si="53"/>
        <v>Email Available</v>
      </c>
      <c r="F1137" s="2" t="s">
        <v>3195</v>
      </c>
      <c r="G1137" s="2" t="s">
        <v>65</v>
      </c>
      <c r="H1137" s="2" t="s">
        <v>49</v>
      </c>
      <c r="I1137" s="2" t="s">
        <v>453</v>
      </c>
      <c r="J1137" s="2">
        <v>2</v>
      </c>
      <c r="K1137" s="2" t="s">
        <v>1485</v>
      </c>
      <c r="L1137" s="2" t="s">
        <v>121</v>
      </c>
      <c r="M1137" s="2">
        <v>7.5</v>
      </c>
      <c r="N1137" s="2">
        <v>4.99</v>
      </c>
      <c r="O1137" s="2">
        <v>27.47</v>
      </c>
      <c r="P1137" s="2" t="s">
        <v>27</v>
      </c>
      <c r="Q1137" s="2" t="s">
        <v>28</v>
      </c>
      <c r="R1137" s="2" t="s">
        <v>42</v>
      </c>
      <c r="S1137" s="2" t="s">
        <v>108</v>
      </c>
      <c r="T1137" s="2"/>
      <c r="U1137" s="2" t="str">
        <f t="shared" si="52"/>
        <v>Not Required</v>
      </c>
      <c r="V1137" s="2" t="s">
        <v>3196</v>
      </c>
    </row>
    <row r="1138" spans="1:22" hidden="1" x14ac:dyDescent="0.3">
      <c r="A1138" s="2" t="s">
        <v>3197</v>
      </c>
      <c r="B1138" s="12">
        <f t="shared" si="51"/>
        <v>46238.580691099538</v>
      </c>
      <c r="C1138" s="13">
        <v>46238.580691099538</v>
      </c>
      <c r="D1138" s="2" t="s">
        <v>825</v>
      </c>
      <c r="E1138" s="2" t="str">
        <f t="shared" si="53"/>
        <v>Email Available</v>
      </c>
      <c r="F1138" s="2" t="s">
        <v>826</v>
      </c>
      <c r="G1138" s="2" t="s">
        <v>272</v>
      </c>
      <c r="H1138" s="2" t="s">
        <v>23</v>
      </c>
      <c r="I1138" s="2" t="s">
        <v>273</v>
      </c>
      <c r="J1138" s="2">
        <v>1</v>
      </c>
      <c r="K1138" s="2">
        <v>18.989999999999998</v>
      </c>
      <c r="L1138" s="2" t="s">
        <v>121</v>
      </c>
      <c r="M1138" s="2">
        <v>4.75</v>
      </c>
      <c r="N1138" s="2">
        <v>7.99</v>
      </c>
      <c r="O1138" s="2">
        <v>22.23</v>
      </c>
      <c r="P1138" s="2" t="s">
        <v>51</v>
      </c>
      <c r="Q1138" s="2" t="s">
        <v>28</v>
      </c>
      <c r="R1138" s="2" t="s">
        <v>52</v>
      </c>
      <c r="S1138" s="2" t="s">
        <v>75</v>
      </c>
      <c r="T1138" s="2"/>
      <c r="U1138" s="2" t="str">
        <f t="shared" si="52"/>
        <v>Not Required</v>
      </c>
      <c r="V1138" s="2" t="s">
        <v>3198</v>
      </c>
    </row>
    <row r="1139" spans="1:22" hidden="1" x14ac:dyDescent="0.3">
      <c r="A1139" s="2" t="s">
        <v>3199</v>
      </c>
      <c r="B1139" s="12">
        <f t="shared" si="51"/>
        <v>46238.58432361111</v>
      </c>
      <c r="C1139" s="13">
        <v>46238.58432361111</v>
      </c>
      <c r="D1139" s="2" t="s">
        <v>524</v>
      </c>
      <c r="E1139" s="2" t="str">
        <f t="shared" si="53"/>
        <v>Email Available</v>
      </c>
      <c r="F1139" s="2" t="s">
        <v>525</v>
      </c>
      <c r="G1139" s="2" t="s">
        <v>80</v>
      </c>
      <c r="H1139" s="2" t="s">
        <v>81</v>
      </c>
      <c r="I1139" s="2" t="s">
        <v>82</v>
      </c>
      <c r="J1139" s="2">
        <v>1</v>
      </c>
      <c r="K1139" s="2" t="s">
        <v>579</v>
      </c>
      <c r="L1139" s="2" t="s">
        <v>208</v>
      </c>
      <c r="M1139" s="2">
        <v>13.5</v>
      </c>
      <c r="N1139" s="2">
        <v>0</v>
      </c>
      <c r="O1139" s="2">
        <v>76.489999999999995</v>
      </c>
      <c r="P1139" s="2" t="s">
        <v>68</v>
      </c>
      <c r="Q1139" s="2" t="s">
        <v>28</v>
      </c>
      <c r="R1139" s="2" t="s">
        <v>99</v>
      </c>
      <c r="S1139" s="2" t="s">
        <v>30</v>
      </c>
      <c r="T1139" s="2" t="s">
        <v>69</v>
      </c>
      <c r="U1139" s="2" t="str">
        <f t="shared" si="52"/>
        <v>Valid</v>
      </c>
      <c r="V1139" s="2" t="s">
        <v>3200</v>
      </c>
    </row>
    <row r="1140" spans="1:22" hidden="1" x14ac:dyDescent="0.3">
      <c r="A1140" s="2" t="s">
        <v>3201</v>
      </c>
      <c r="B1140" s="12">
        <f t="shared" si="51"/>
        <v>46238.585607731482</v>
      </c>
      <c r="C1140" s="13">
        <v>46238.585607731482</v>
      </c>
      <c r="D1140" s="2" t="s">
        <v>2217</v>
      </c>
      <c r="E1140" s="2" t="str">
        <f t="shared" si="53"/>
        <v>Email Available</v>
      </c>
      <c r="F1140" s="2" t="s">
        <v>1876</v>
      </c>
      <c r="G1140" s="2" t="s">
        <v>226</v>
      </c>
      <c r="H1140" s="2" t="s">
        <v>23</v>
      </c>
      <c r="I1140" s="2" t="s">
        <v>227</v>
      </c>
      <c r="J1140" s="2">
        <v>1</v>
      </c>
      <c r="K1140" s="2">
        <v>17.989999999999998</v>
      </c>
      <c r="L1140" s="2"/>
      <c r="M1140" s="2">
        <v>0</v>
      </c>
      <c r="N1140" s="2">
        <v>5.99</v>
      </c>
      <c r="O1140" s="2">
        <v>23.98</v>
      </c>
      <c r="P1140" s="2" t="s">
        <v>51</v>
      </c>
      <c r="Q1140" s="2" t="s">
        <v>41</v>
      </c>
      <c r="R1140" s="2" t="s">
        <v>52</v>
      </c>
      <c r="S1140" s="2" t="s">
        <v>337</v>
      </c>
      <c r="T1140" s="2"/>
      <c r="U1140" s="2" t="str">
        <f t="shared" si="52"/>
        <v>Not Required</v>
      </c>
      <c r="V1140" s="2" t="s">
        <v>3202</v>
      </c>
    </row>
    <row r="1141" spans="1:22" hidden="1" x14ac:dyDescent="0.3">
      <c r="A1141" s="2" t="s">
        <v>3203</v>
      </c>
      <c r="B1141" s="12">
        <f t="shared" si="51"/>
        <v>46238.584258229173</v>
      </c>
      <c r="C1141" s="13">
        <v>46238.584258229173</v>
      </c>
      <c r="D1141" s="2" t="s">
        <v>2536</v>
      </c>
      <c r="E1141" s="2" t="str">
        <f t="shared" si="53"/>
        <v>Email Available</v>
      </c>
      <c r="F1141" s="2" t="s">
        <v>2537</v>
      </c>
      <c r="G1141" s="2" t="s">
        <v>315</v>
      </c>
      <c r="H1141" s="2" t="s">
        <v>37</v>
      </c>
      <c r="I1141" s="2" t="s">
        <v>316</v>
      </c>
      <c r="J1141" s="2">
        <v>1</v>
      </c>
      <c r="K1141" s="2">
        <v>8.99</v>
      </c>
      <c r="L1141" s="2"/>
      <c r="M1141" s="2">
        <v>0</v>
      </c>
      <c r="N1141" s="2">
        <v>5.99</v>
      </c>
      <c r="O1141" s="2">
        <v>14.98</v>
      </c>
      <c r="P1141" s="2" t="s">
        <v>27</v>
      </c>
      <c r="Q1141" s="2" t="s">
        <v>28</v>
      </c>
      <c r="R1141" s="2" t="s">
        <v>52</v>
      </c>
      <c r="S1141" s="2" t="s">
        <v>43</v>
      </c>
      <c r="T1141" s="2"/>
      <c r="U1141" s="2" t="str">
        <f t="shared" si="52"/>
        <v>Not Required</v>
      </c>
      <c r="V1141" s="2" t="s">
        <v>3204</v>
      </c>
    </row>
    <row r="1142" spans="1:22" hidden="1" x14ac:dyDescent="0.3">
      <c r="A1142" s="2" t="s">
        <v>3205</v>
      </c>
      <c r="B1142" s="12">
        <f t="shared" si="51"/>
        <v>46238.58725478009</v>
      </c>
      <c r="C1142" s="13">
        <v>46238.58725478009</v>
      </c>
      <c r="D1142" s="2" t="s">
        <v>532</v>
      </c>
      <c r="E1142" s="2" t="str">
        <f t="shared" si="53"/>
        <v>Email Available</v>
      </c>
      <c r="F1142" s="2" t="s">
        <v>533</v>
      </c>
      <c r="G1142" s="2" t="s">
        <v>206</v>
      </c>
      <c r="H1142" s="2" t="s">
        <v>196</v>
      </c>
      <c r="I1142" s="2" t="s">
        <v>207</v>
      </c>
      <c r="J1142" s="2">
        <v>1</v>
      </c>
      <c r="K1142" s="2">
        <v>24.99</v>
      </c>
      <c r="L1142" s="2"/>
      <c r="M1142" s="2">
        <v>0</v>
      </c>
      <c r="N1142" s="2">
        <v>4.99</v>
      </c>
      <c r="O1142" s="2">
        <v>29.98</v>
      </c>
      <c r="P1142" s="2" t="s">
        <v>51</v>
      </c>
      <c r="Q1142" s="2" t="s">
        <v>28</v>
      </c>
      <c r="R1142" s="2" t="s">
        <v>52</v>
      </c>
      <c r="S1142" s="2" t="s">
        <v>228</v>
      </c>
      <c r="T1142" s="2"/>
      <c r="U1142" s="2" t="str">
        <f t="shared" si="52"/>
        <v>Not Required</v>
      </c>
      <c r="V1142" s="2" t="s">
        <v>3206</v>
      </c>
    </row>
    <row r="1143" spans="1:22" hidden="1" x14ac:dyDescent="0.3">
      <c r="A1143" s="2" t="s">
        <v>3207</v>
      </c>
      <c r="B1143" s="12">
        <f t="shared" si="51"/>
        <v>46238.585187546298</v>
      </c>
      <c r="C1143" s="13">
        <v>46238.585187546298</v>
      </c>
      <c r="D1143" s="2" t="s">
        <v>2850</v>
      </c>
      <c r="E1143" s="2" t="str">
        <f t="shared" si="53"/>
        <v>Email Available</v>
      </c>
      <c r="F1143" s="2" t="s">
        <v>2851</v>
      </c>
      <c r="G1143" s="2" t="s">
        <v>127</v>
      </c>
      <c r="H1143" s="2" t="s">
        <v>81</v>
      </c>
      <c r="I1143" s="2" t="s">
        <v>128</v>
      </c>
      <c r="J1143" s="2">
        <v>3</v>
      </c>
      <c r="K1143" s="2">
        <v>13.99</v>
      </c>
      <c r="L1143" s="2" t="s">
        <v>25</v>
      </c>
      <c r="M1143" s="2">
        <v>8.39</v>
      </c>
      <c r="N1143" s="2">
        <v>7.99</v>
      </c>
      <c r="O1143" s="2">
        <v>41.57</v>
      </c>
      <c r="P1143" s="2" t="s">
        <v>51</v>
      </c>
      <c r="Q1143" s="2" t="s">
        <v>90</v>
      </c>
      <c r="R1143" s="2" t="s">
        <v>52</v>
      </c>
      <c r="S1143" s="2" t="s">
        <v>108</v>
      </c>
      <c r="T1143" s="2"/>
      <c r="U1143" s="2" t="str">
        <f t="shared" si="52"/>
        <v>Not Required</v>
      </c>
      <c r="V1143" s="2" t="s">
        <v>3208</v>
      </c>
    </row>
    <row r="1144" spans="1:22" hidden="1" x14ac:dyDescent="0.3">
      <c r="A1144" s="2" t="s">
        <v>3209</v>
      </c>
      <c r="B1144" s="12">
        <f t="shared" si="51"/>
        <v>46238.581857627323</v>
      </c>
      <c r="C1144" s="13">
        <v>46238.581857627323</v>
      </c>
      <c r="D1144" s="2" t="s">
        <v>480</v>
      </c>
      <c r="E1144" s="2" t="str">
        <f t="shared" si="53"/>
        <v>Email Available</v>
      </c>
      <c r="F1144" s="2" t="s">
        <v>481</v>
      </c>
      <c r="G1144" s="2" t="s">
        <v>171</v>
      </c>
      <c r="H1144" s="2" t="s">
        <v>106</v>
      </c>
      <c r="I1144" s="2" t="s">
        <v>172</v>
      </c>
      <c r="J1144" s="2">
        <v>1</v>
      </c>
      <c r="K1144" s="2">
        <v>32.99</v>
      </c>
      <c r="L1144" s="2"/>
      <c r="M1144" s="2">
        <v>0</v>
      </c>
      <c r="N1144" s="2">
        <v>7.99</v>
      </c>
      <c r="O1144" s="2">
        <v>40.98</v>
      </c>
      <c r="P1144" s="2" t="s">
        <v>51</v>
      </c>
      <c r="Q1144" s="2" t="s">
        <v>41</v>
      </c>
      <c r="R1144" s="2" t="s">
        <v>52</v>
      </c>
      <c r="S1144" s="2" t="s">
        <v>75</v>
      </c>
      <c r="T1144" s="2"/>
      <c r="U1144" s="2" t="str">
        <f t="shared" si="52"/>
        <v>Not Required</v>
      </c>
      <c r="V1144" s="2" t="s">
        <v>3210</v>
      </c>
    </row>
    <row r="1145" spans="1:22" hidden="1" x14ac:dyDescent="0.3">
      <c r="A1145" s="2" t="s">
        <v>3211</v>
      </c>
      <c r="B1145" s="12">
        <f t="shared" si="51"/>
        <v>46238.587196319437</v>
      </c>
      <c r="C1145" s="13">
        <v>46238.587196319437</v>
      </c>
      <c r="D1145" s="2" t="s">
        <v>2856</v>
      </c>
      <c r="E1145" s="2" t="str">
        <f t="shared" si="53"/>
        <v>Email Available</v>
      </c>
      <c r="F1145" s="2" t="s">
        <v>2857</v>
      </c>
      <c r="G1145" s="2" t="s">
        <v>272</v>
      </c>
      <c r="H1145" s="2" t="s">
        <v>23</v>
      </c>
      <c r="I1145" s="2" t="s">
        <v>273</v>
      </c>
      <c r="J1145" s="2">
        <v>1</v>
      </c>
      <c r="K1145" s="2">
        <v>18.989999999999998</v>
      </c>
      <c r="L1145" s="2" t="s">
        <v>121</v>
      </c>
      <c r="M1145" s="2">
        <v>4.75</v>
      </c>
      <c r="N1145" s="2">
        <v>4.99</v>
      </c>
      <c r="O1145" s="2">
        <v>19.23</v>
      </c>
      <c r="P1145" s="2" t="s">
        <v>51</v>
      </c>
      <c r="Q1145" s="2" t="s">
        <v>28</v>
      </c>
      <c r="R1145" s="2" t="s">
        <v>99</v>
      </c>
      <c r="S1145" s="2" t="s">
        <v>75</v>
      </c>
      <c r="T1145" s="2"/>
      <c r="U1145" s="2" t="str">
        <f t="shared" si="52"/>
        <v>Not Required</v>
      </c>
      <c r="V1145" s="2" t="s">
        <v>311</v>
      </c>
    </row>
    <row r="1146" spans="1:22" hidden="1" x14ac:dyDescent="0.3">
      <c r="A1146" s="2" t="s">
        <v>3212</v>
      </c>
      <c r="B1146" s="12">
        <f t="shared" si="51"/>
        <v>46238.587809525467</v>
      </c>
      <c r="C1146" s="13">
        <v>46238.587809525467</v>
      </c>
      <c r="D1146" s="2" t="s">
        <v>193</v>
      </c>
      <c r="E1146" s="2" t="str">
        <f t="shared" si="53"/>
        <v>Email Available</v>
      </c>
      <c r="F1146" s="2" t="s">
        <v>194</v>
      </c>
      <c r="G1146" s="2" t="s">
        <v>2575</v>
      </c>
      <c r="H1146" s="2" t="s">
        <v>37</v>
      </c>
      <c r="I1146" s="2" t="s">
        <v>267</v>
      </c>
      <c r="J1146" s="2">
        <v>2</v>
      </c>
      <c r="K1146" s="2">
        <v>15.49</v>
      </c>
      <c r="L1146" s="2" t="s">
        <v>39</v>
      </c>
      <c r="M1146" s="2">
        <v>0</v>
      </c>
      <c r="N1146" s="2">
        <v>0</v>
      </c>
      <c r="O1146" s="2">
        <v>30.98</v>
      </c>
      <c r="P1146" s="2" t="s">
        <v>68</v>
      </c>
      <c r="Q1146" s="2" t="s">
        <v>41</v>
      </c>
      <c r="R1146" s="2" t="s">
        <v>42</v>
      </c>
      <c r="S1146" s="2" t="s">
        <v>30</v>
      </c>
      <c r="T1146" s="2" t="s">
        <v>75</v>
      </c>
      <c r="U1146" s="2" t="str">
        <f t="shared" si="52"/>
        <v>Valid</v>
      </c>
      <c r="V1146" s="2" t="s">
        <v>3213</v>
      </c>
    </row>
    <row r="1147" spans="1:22" hidden="1" x14ac:dyDescent="0.3">
      <c r="A1147" s="2" t="s">
        <v>3214</v>
      </c>
      <c r="B1147" s="12">
        <f t="shared" ref="B1147:B1210" si="54">IF(ISNUMBER(C1147),C1147,DATEVALUE(SUBSTITUTE(TRIM(C1147),CHAR(160)," ")))</f>
        <v>46238.588910856481</v>
      </c>
      <c r="C1147" s="13">
        <v>46238.588910856481</v>
      </c>
      <c r="D1147" s="2" t="s">
        <v>1302</v>
      </c>
      <c r="E1147" s="2" t="str">
        <f t="shared" si="53"/>
        <v>Email Available</v>
      </c>
      <c r="F1147" s="2" t="s">
        <v>1303</v>
      </c>
      <c r="G1147" s="2" t="s">
        <v>80</v>
      </c>
      <c r="H1147" s="2" t="s">
        <v>81</v>
      </c>
      <c r="I1147" s="2" t="s">
        <v>82</v>
      </c>
      <c r="J1147" s="2">
        <v>1</v>
      </c>
      <c r="K1147" s="2">
        <v>89.99</v>
      </c>
      <c r="L1147" s="2" t="s">
        <v>67</v>
      </c>
      <c r="M1147" s="2">
        <v>9</v>
      </c>
      <c r="N1147" s="2">
        <v>0</v>
      </c>
      <c r="O1147" s="2">
        <v>80.989999999999995</v>
      </c>
      <c r="P1147" s="2" t="s">
        <v>74</v>
      </c>
      <c r="Q1147" s="2" t="s">
        <v>90</v>
      </c>
      <c r="R1147" s="2" t="s">
        <v>99</v>
      </c>
      <c r="S1147" s="2" t="s">
        <v>43</v>
      </c>
      <c r="T1147" s="2"/>
      <c r="U1147" s="2" t="str">
        <f t="shared" ref="U1147:U1210" si="55">IF(AND(S1147="United States",T1147=""),"Missing state",IF(T1147="","Not Required","Valid"))</f>
        <v>Not Required</v>
      </c>
      <c r="V1147" s="2" t="s">
        <v>3215</v>
      </c>
    </row>
    <row r="1148" spans="1:22" hidden="1" x14ac:dyDescent="0.3">
      <c r="A1148" s="2" t="s">
        <v>3216</v>
      </c>
      <c r="B1148" s="12">
        <f t="shared" si="54"/>
        <v>46238.579368483799</v>
      </c>
      <c r="C1148" s="13">
        <v>46238.579368483799</v>
      </c>
      <c r="D1148" s="2" t="s">
        <v>384</v>
      </c>
      <c r="E1148" s="2" t="str">
        <f t="shared" si="53"/>
        <v>Email Available</v>
      </c>
      <c r="F1148" s="2" t="s">
        <v>385</v>
      </c>
      <c r="G1148" s="2" t="s">
        <v>171</v>
      </c>
      <c r="H1148" s="2" t="s">
        <v>106</v>
      </c>
      <c r="I1148" s="2" t="s">
        <v>172</v>
      </c>
      <c r="J1148" s="2">
        <v>2</v>
      </c>
      <c r="K1148" s="2">
        <v>32.99</v>
      </c>
      <c r="L1148" s="2" t="s">
        <v>39</v>
      </c>
      <c r="M1148" s="2">
        <v>0</v>
      </c>
      <c r="N1148" s="2">
        <v>0</v>
      </c>
      <c r="O1148" s="2">
        <v>65.98</v>
      </c>
      <c r="P1148" s="2" t="s">
        <v>74</v>
      </c>
      <c r="Q1148" s="2" t="s">
        <v>28</v>
      </c>
      <c r="R1148" s="2" t="s">
        <v>42</v>
      </c>
      <c r="S1148" s="2" t="s">
        <v>75</v>
      </c>
      <c r="T1148" s="2"/>
      <c r="U1148" s="2" t="str">
        <f t="shared" si="55"/>
        <v>Not Required</v>
      </c>
      <c r="V1148" s="2" t="s">
        <v>3217</v>
      </c>
    </row>
    <row r="1149" spans="1:22" hidden="1" x14ac:dyDescent="0.3">
      <c r="A1149" s="2" t="s">
        <v>3218</v>
      </c>
      <c r="B1149" s="12">
        <f t="shared" si="54"/>
        <v>46238.586487071763</v>
      </c>
      <c r="C1149" s="13">
        <v>46238.586487071763</v>
      </c>
      <c r="D1149" s="2" t="s">
        <v>3219</v>
      </c>
      <c r="E1149" s="2" t="str">
        <f t="shared" si="53"/>
        <v>Email Available</v>
      </c>
      <c r="F1149" s="2" t="s">
        <v>3176</v>
      </c>
      <c r="G1149" s="2" t="s">
        <v>22</v>
      </c>
      <c r="H1149" s="2" t="s">
        <v>23</v>
      </c>
      <c r="I1149" s="2" t="s">
        <v>24</v>
      </c>
      <c r="J1149" s="2">
        <v>1</v>
      </c>
      <c r="K1149" s="2">
        <v>12.99</v>
      </c>
      <c r="L1149" s="2"/>
      <c r="M1149" s="2">
        <v>0</v>
      </c>
      <c r="N1149" s="2">
        <v>5.99</v>
      </c>
      <c r="O1149" s="2">
        <v>18.98</v>
      </c>
      <c r="P1149" s="2" t="s">
        <v>74</v>
      </c>
      <c r="Q1149" s="2" t="s">
        <v>114</v>
      </c>
      <c r="R1149" s="2" t="s">
        <v>42</v>
      </c>
      <c r="S1149" s="2" t="s">
        <v>43</v>
      </c>
      <c r="T1149" s="2"/>
      <c r="U1149" s="2" t="str">
        <f t="shared" si="55"/>
        <v>Not Required</v>
      </c>
      <c r="V1149" s="2" t="s">
        <v>3220</v>
      </c>
    </row>
    <row r="1150" spans="1:22" hidden="1" x14ac:dyDescent="0.3">
      <c r="A1150" s="2" t="s">
        <v>3221</v>
      </c>
      <c r="B1150" s="12">
        <f t="shared" si="54"/>
        <v>46238</v>
      </c>
      <c r="C1150" s="13" t="s">
        <v>148</v>
      </c>
      <c r="D1150" s="2" t="s">
        <v>536</v>
      </c>
      <c r="E1150" s="2" t="str">
        <f t="shared" si="53"/>
        <v>Email Available</v>
      </c>
      <c r="F1150" s="2" t="s">
        <v>537</v>
      </c>
      <c r="G1150" s="2" t="s">
        <v>58</v>
      </c>
      <c r="H1150" s="2" t="s">
        <v>23</v>
      </c>
      <c r="I1150" s="2" t="s">
        <v>59</v>
      </c>
      <c r="J1150" s="2">
        <v>1</v>
      </c>
      <c r="K1150" s="2">
        <v>9.99</v>
      </c>
      <c r="L1150" s="2"/>
      <c r="M1150" s="2">
        <v>0</v>
      </c>
      <c r="N1150" s="2">
        <v>4.99</v>
      </c>
      <c r="O1150" s="2">
        <v>14.98</v>
      </c>
      <c r="P1150" s="2" t="s">
        <v>74</v>
      </c>
      <c r="Q1150" s="2" t="s">
        <v>28</v>
      </c>
      <c r="R1150" s="2" t="s">
        <v>52</v>
      </c>
      <c r="S1150" s="2" t="s">
        <v>30</v>
      </c>
      <c r="T1150" s="2" t="s">
        <v>145</v>
      </c>
      <c r="U1150" s="2" t="str">
        <f t="shared" si="55"/>
        <v>Valid</v>
      </c>
      <c r="V1150" s="2" t="s">
        <v>3222</v>
      </c>
    </row>
    <row r="1151" spans="1:22" x14ac:dyDescent="0.3">
      <c r="A1151" s="2" t="s">
        <v>3223</v>
      </c>
      <c r="B1151" s="12">
        <f t="shared" si="54"/>
        <v>46238.581986354169</v>
      </c>
      <c r="C1151" s="13">
        <v>46238.581986354169</v>
      </c>
      <c r="D1151" s="2" t="s">
        <v>769</v>
      </c>
      <c r="E1151" s="2" t="str">
        <f t="shared" si="53"/>
        <v>Missing Email</v>
      </c>
      <c r="F1151" s="2"/>
      <c r="G1151" s="2" t="s">
        <v>241</v>
      </c>
      <c r="H1151" s="2" t="s">
        <v>242</v>
      </c>
      <c r="I1151" s="2" t="s">
        <v>243</v>
      </c>
      <c r="J1151" s="2">
        <v>1</v>
      </c>
      <c r="K1151" s="2">
        <v>27.99</v>
      </c>
      <c r="L1151" s="2" t="s">
        <v>25</v>
      </c>
      <c r="M1151" s="2">
        <v>5.6</v>
      </c>
      <c r="N1151" s="2">
        <v>4.99</v>
      </c>
      <c r="O1151" s="2">
        <v>27.38</v>
      </c>
      <c r="P1151" s="2" t="s">
        <v>51</v>
      </c>
      <c r="Q1151" s="2" t="s">
        <v>90</v>
      </c>
      <c r="R1151" s="2" t="s">
        <v>29</v>
      </c>
      <c r="S1151" s="2" t="s">
        <v>30</v>
      </c>
      <c r="T1151" s="2" t="s">
        <v>31</v>
      </c>
      <c r="U1151" s="2" t="str">
        <f t="shared" si="55"/>
        <v>Valid</v>
      </c>
      <c r="V1151" s="2" t="s">
        <v>3224</v>
      </c>
    </row>
    <row r="1152" spans="1:22" hidden="1" x14ac:dyDescent="0.3">
      <c r="A1152" s="2" t="s">
        <v>3225</v>
      </c>
      <c r="B1152" s="12">
        <f t="shared" si="54"/>
        <v>46120</v>
      </c>
      <c r="C1152" s="13" t="s">
        <v>142</v>
      </c>
      <c r="D1152" s="2" t="s">
        <v>1033</v>
      </c>
      <c r="E1152" s="2" t="str">
        <f t="shared" si="53"/>
        <v>Email Available</v>
      </c>
      <c r="F1152" s="2" t="s">
        <v>1034</v>
      </c>
      <c r="G1152" s="2" t="s">
        <v>241</v>
      </c>
      <c r="H1152" s="2" t="s">
        <v>242</v>
      </c>
      <c r="I1152" s="2" t="s">
        <v>243</v>
      </c>
      <c r="J1152" s="2">
        <v>2</v>
      </c>
      <c r="K1152" s="2">
        <v>27.99</v>
      </c>
      <c r="L1152" s="2"/>
      <c r="M1152" s="2">
        <v>0</v>
      </c>
      <c r="N1152" s="2">
        <v>4.99</v>
      </c>
      <c r="O1152" s="2">
        <v>60.97</v>
      </c>
      <c r="P1152" s="2" t="s">
        <v>68</v>
      </c>
      <c r="Q1152" s="2" t="s">
        <v>114</v>
      </c>
      <c r="R1152" s="2" t="s">
        <v>42</v>
      </c>
      <c r="S1152" s="2" t="s">
        <v>30</v>
      </c>
      <c r="T1152" s="2" t="s">
        <v>454</v>
      </c>
      <c r="U1152" s="2" t="str">
        <f t="shared" si="55"/>
        <v>Valid</v>
      </c>
      <c r="V1152" s="2" t="s">
        <v>3226</v>
      </c>
    </row>
    <row r="1153" spans="1:22" hidden="1" x14ac:dyDescent="0.3">
      <c r="A1153" s="2" t="s">
        <v>3227</v>
      </c>
      <c r="B1153" s="12">
        <f t="shared" si="54"/>
        <v>46238.584611516213</v>
      </c>
      <c r="C1153" s="13">
        <v>46238.584611516213</v>
      </c>
      <c r="D1153" s="2" t="s">
        <v>466</v>
      </c>
      <c r="E1153" s="2" t="str">
        <f t="shared" si="53"/>
        <v>Email Available</v>
      </c>
      <c r="F1153" s="2" t="s">
        <v>467</v>
      </c>
      <c r="G1153" s="2" t="s">
        <v>241</v>
      </c>
      <c r="H1153" s="2" t="s">
        <v>242</v>
      </c>
      <c r="I1153" s="2" t="s">
        <v>243</v>
      </c>
      <c r="J1153" s="2">
        <v>1</v>
      </c>
      <c r="K1153" s="2">
        <v>27.99</v>
      </c>
      <c r="L1153" s="2" t="s">
        <v>39</v>
      </c>
      <c r="M1153" s="2">
        <v>0</v>
      </c>
      <c r="N1153" s="2">
        <v>0</v>
      </c>
      <c r="O1153" s="2">
        <v>27.99</v>
      </c>
      <c r="P1153" s="2" t="s">
        <v>74</v>
      </c>
      <c r="Q1153" s="2" t="s">
        <v>28</v>
      </c>
      <c r="R1153" s="2" t="s">
        <v>29</v>
      </c>
      <c r="S1153" s="2" t="s">
        <v>228</v>
      </c>
      <c r="T1153" s="2"/>
      <c r="U1153" s="2" t="str">
        <f t="shared" si="55"/>
        <v>Not Required</v>
      </c>
      <c r="V1153" s="2" t="s">
        <v>3228</v>
      </c>
    </row>
    <row r="1154" spans="1:22" hidden="1" x14ac:dyDescent="0.3">
      <c r="A1154" s="2" t="s">
        <v>3229</v>
      </c>
      <c r="B1154" s="12">
        <f t="shared" si="54"/>
        <v>46238.586211539347</v>
      </c>
      <c r="C1154" s="13">
        <v>46238.586211539347</v>
      </c>
      <c r="D1154" s="2" t="s">
        <v>327</v>
      </c>
      <c r="E1154" s="2" t="str">
        <f t="shared" si="53"/>
        <v>Email Available</v>
      </c>
      <c r="F1154" s="2" t="s">
        <v>328</v>
      </c>
      <c r="G1154" s="2" t="s">
        <v>241</v>
      </c>
      <c r="H1154" s="2" t="s">
        <v>242</v>
      </c>
      <c r="I1154" s="2" t="s">
        <v>243</v>
      </c>
      <c r="J1154" s="2">
        <v>1</v>
      </c>
      <c r="K1154" s="2">
        <v>27.99</v>
      </c>
      <c r="L1154" s="2" t="s">
        <v>67</v>
      </c>
      <c r="M1154" s="2">
        <v>2.8</v>
      </c>
      <c r="N1154" s="2">
        <v>5.99</v>
      </c>
      <c r="O1154" s="2">
        <v>31.18</v>
      </c>
      <c r="P1154" s="2" t="s">
        <v>40</v>
      </c>
      <c r="Q1154" s="2" t="s">
        <v>41</v>
      </c>
      <c r="R1154" s="2" t="s">
        <v>42</v>
      </c>
      <c r="S1154" s="2" t="s">
        <v>228</v>
      </c>
      <c r="T1154" s="2"/>
      <c r="U1154" s="2" t="str">
        <f t="shared" si="55"/>
        <v>Not Required</v>
      </c>
      <c r="V1154" s="2" t="s">
        <v>3230</v>
      </c>
    </row>
    <row r="1155" spans="1:22" hidden="1" x14ac:dyDescent="0.3">
      <c r="A1155" s="2" t="s">
        <v>3231</v>
      </c>
      <c r="B1155" s="12">
        <f t="shared" si="54"/>
        <v>46120</v>
      </c>
      <c r="C1155" s="13" t="s">
        <v>142</v>
      </c>
      <c r="D1155" s="2" t="s">
        <v>3232</v>
      </c>
      <c r="E1155" s="2" t="str">
        <f t="shared" ref="E1155:E1218" si="56">IF(TRIM(F1155)="","Missing Email","Email Available")</f>
        <v>Email Available</v>
      </c>
      <c r="F1155" s="2" t="s">
        <v>3233</v>
      </c>
      <c r="G1155" s="2" t="s">
        <v>105</v>
      </c>
      <c r="H1155" s="2" t="s">
        <v>106</v>
      </c>
      <c r="I1155" s="2" t="s">
        <v>107</v>
      </c>
      <c r="J1155" s="2">
        <v>2</v>
      </c>
      <c r="K1155" s="2">
        <v>19.989999999999998</v>
      </c>
      <c r="L1155" s="2"/>
      <c r="M1155" s="2">
        <v>0</v>
      </c>
      <c r="N1155" s="2">
        <v>7.99</v>
      </c>
      <c r="O1155" s="2">
        <v>47.97</v>
      </c>
      <c r="P1155" s="2" t="s">
        <v>51</v>
      </c>
      <c r="Q1155" s="2" t="s">
        <v>28</v>
      </c>
      <c r="R1155" s="2" t="s">
        <v>52</v>
      </c>
      <c r="S1155" s="2" t="s">
        <v>30</v>
      </c>
      <c r="T1155" s="2" t="s">
        <v>69</v>
      </c>
      <c r="U1155" s="2" t="str">
        <f t="shared" si="55"/>
        <v>Valid</v>
      </c>
      <c r="V1155" s="2" t="s">
        <v>3234</v>
      </c>
    </row>
    <row r="1156" spans="1:22" hidden="1" x14ac:dyDescent="0.3">
      <c r="A1156" s="2" t="s">
        <v>3235</v>
      </c>
      <c r="B1156" s="12">
        <f t="shared" si="54"/>
        <v>46238.584043576389</v>
      </c>
      <c r="C1156" s="13">
        <v>46238.584043576389</v>
      </c>
      <c r="D1156" s="2" t="s">
        <v>239</v>
      </c>
      <c r="E1156" s="2" t="str">
        <f t="shared" si="56"/>
        <v>Email Available</v>
      </c>
      <c r="F1156" s="2" t="s">
        <v>240</v>
      </c>
      <c r="G1156" s="2" t="s">
        <v>226</v>
      </c>
      <c r="H1156" s="2" t="s">
        <v>23</v>
      </c>
      <c r="I1156" s="2" t="s">
        <v>227</v>
      </c>
      <c r="J1156" s="2">
        <v>1</v>
      </c>
      <c r="K1156" s="2">
        <v>17.989999999999998</v>
      </c>
      <c r="L1156" s="2"/>
      <c r="M1156" s="2">
        <v>0</v>
      </c>
      <c r="N1156" s="2">
        <v>5.99</v>
      </c>
      <c r="O1156" s="2">
        <v>23.98</v>
      </c>
      <c r="P1156" s="2" t="s">
        <v>51</v>
      </c>
      <c r="Q1156" s="2" t="s">
        <v>114</v>
      </c>
      <c r="R1156" s="2" t="s">
        <v>42</v>
      </c>
      <c r="S1156" s="2" t="s">
        <v>75</v>
      </c>
      <c r="T1156" s="2"/>
      <c r="U1156" s="2" t="str">
        <f t="shared" si="55"/>
        <v>Not Required</v>
      </c>
      <c r="V1156" s="2" t="s">
        <v>3236</v>
      </c>
    </row>
    <row r="1157" spans="1:22" hidden="1" x14ac:dyDescent="0.3">
      <c r="A1157" s="2" t="s">
        <v>3237</v>
      </c>
      <c r="B1157" s="12">
        <f t="shared" si="54"/>
        <v>46238.581516030092</v>
      </c>
      <c r="C1157" s="13">
        <v>46238.581516030092</v>
      </c>
      <c r="D1157" s="2" t="s">
        <v>647</v>
      </c>
      <c r="E1157" s="2" t="str">
        <f t="shared" si="56"/>
        <v>Email Available</v>
      </c>
      <c r="F1157" s="2" t="s">
        <v>648</v>
      </c>
      <c r="G1157" s="2" t="s">
        <v>87</v>
      </c>
      <c r="H1157" s="2" t="s">
        <v>88</v>
      </c>
      <c r="I1157" s="2" t="s">
        <v>89</v>
      </c>
      <c r="J1157" s="2">
        <v>1</v>
      </c>
      <c r="K1157" s="2">
        <v>54.99</v>
      </c>
      <c r="L1157" s="2"/>
      <c r="M1157" s="2">
        <v>0</v>
      </c>
      <c r="N1157" s="2">
        <v>7.99</v>
      </c>
      <c r="O1157" s="2">
        <v>62.98</v>
      </c>
      <c r="P1157" s="2" t="s">
        <v>68</v>
      </c>
      <c r="Q1157" s="2" t="s">
        <v>41</v>
      </c>
      <c r="R1157" s="2" t="s">
        <v>29</v>
      </c>
      <c r="S1157" s="2" t="s">
        <v>30</v>
      </c>
      <c r="T1157" s="2" t="s">
        <v>454</v>
      </c>
      <c r="U1157" s="2" t="str">
        <f t="shared" si="55"/>
        <v>Valid</v>
      </c>
      <c r="V1157" s="2" t="s">
        <v>3238</v>
      </c>
    </row>
    <row r="1158" spans="1:22" hidden="1" x14ac:dyDescent="0.3">
      <c r="A1158" s="2" t="s">
        <v>3239</v>
      </c>
      <c r="B1158" s="12">
        <f t="shared" si="54"/>
        <v>46238.580643182868</v>
      </c>
      <c r="C1158" s="13">
        <v>46238.580643182868</v>
      </c>
      <c r="D1158" s="2" t="s">
        <v>3240</v>
      </c>
      <c r="E1158" s="2" t="str">
        <f t="shared" si="56"/>
        <v>Email Available</v>
      </c>
      <c r="F1158" s="2" t="s">
        <v>3241</v>
      </c>
      <c r="G1158" s="2" t="s">
        <v>195</v>
      </c>
      <c r="H1158" s="2" t="s">
        <v>196</v>
      </c>
      <c r="I1158" s="2" t="s">
        <v>197</v>
      </c>
      <c r="J1158" s="2">
        <v>1</v>
      </c>
      <c r="K1158" s="2">
        <v>13.49</v>
      </c>
      <c r="L1158" s="2"/>
      <c r="M1158" s="2">
        <v>0</v>
      </c>
      <c r="N1158" s="2">
        <v>5.99</v>
      </c>
      <c r="O1158" s="2">
        <v>19.48</v>
      </c>
      <c r="P1158" s="2" t="s">
        <v>68</v>
      </c>
      <c r="Q1158" s="2" t="s">
        <v>114</v>
      </c>
      <c r="R1158" s="2" t="s">
        <v>52</v>
      </c>
      <c r="S1158" s="2" t="s">
        <v>108</v>
      </c>
      <c r="T1158" s="2"/>
      <c r="U1158" s="2" t="str">
        <f t="shared" si="55"/>
        <v>Not Required</v>
      </c>
      <c r="V1158" s="2" t="s">
        <v>3242</v>
      </c>
    </row>
    <row r="1159" spans="1:22" hidden="1" x14ac:dyDescent="0.3">
      <c r="A1159" s="2" t="s">
        <v>3243</v>
      </c>
      <c r="B1159" s="12">
        <f t="shared" si="54"/>
        <v>46238.58528738426</v>
      </c>
      <c r="C1159" s="13">
        <v>46238.58528738426</v>
      </c>
      <c r="D1159" s="2" t="s">
        <v>319</v>
      </c>
      <c r="E1159" s="2" t="str">
        <f t="shared" si="56"/>
        <v>Email Available</v>
      </c>
      <c r="F1159" s="2" t="s">
        <v>320</v>
      </c>
      <c r="G1159" s="2" t="s">
        <v>80</v>
      </c>
      <c r="H1159" s="2" t="s">
        <v>81</v>
      </c>
      <c r="I1159" s="2" t="s">
        <v>82</v>
      </c>
      <c r="J1159" s="2">
        <v>1</v>
      </c>
      <c r="K1159" s="2">
        <v>89.99</v>
      </c>
      <c r="L1159" s="2" t="s">
        <v>39</v>
      </c>
      <c r="M1159" s="2">
        <v>0</v>
      </c>
      <c r="N1159" s="2">
        <v>0</v>
      </c>
      <c r="O1159" s="2">
        <v>89.99</v>
      </c>
      <c r="P1159" s="2" t="s">
        <v>40</v>
      </c>
      <c r="Q1159" s="2" t="s">
        <v>28</v>
      </c>
      <c r="R1159" s="2" t="s">
        <v>42</v>
      </c>
      <c r="S1159" s="2" t="s">
        <v>75</v>
      </c>
      <c r="T1159" s="2"/>
      <c r="U1159" s="2" t="str">
        <f t="shared" si="55"/>
        <v>Not Required</v>
      </c>
      <c r="V1159" s="2" t="s">
        <v>3244</v>
      </c>
    </row>
    <row r="1160" spans="1:22" hidden="1" x14ac:dyDescent="0.3">
      <c r="A1160" s="2" t="s">
        <v>3245</v>
      </c>
      <c r="B1160" s="12">
        <f t="shared" si="54"/>
        <v>46238.580368726849</v>
      </c>
      <c r="C1160" s="13">
        <v>46238.580368726849</v>
      </c>
      <c r="D1160" s="2" t="s">
        <v>3246</v>
      </c>
      <c r="E1160" s="2" t="str">
        <f t="shared" si="56"/>
        <v>Email Available</v>
      </c>
      <c r="F1160" s="2" t="s">
        <v>2809</v>
      </c>
      <c r="G1160" s="2" t="s">
        <v>187</v>
      </c>
      <c r="H1160" s="2" t="s">
        <v>37</v>
      </c>
      <c r="I1160" s="2" t="s">
        <v>188</v>
      </c>
      <c r="J1160" s="2">
        <v>1</v>
      </c>
      <c r="K1160" s="2">
        <v>11.99</v>
      </c>
      <c r="L1160" s="2" t="s">
        <v>39</v>
      </c>
      <c r="M1160" s="2">
        <v>0</v>
      </c>
      <c r="N1160" s="2">
        <v>0</v>
      </c>
      <c r="O1160" s="2">
        <v>11.99</v>
      </c>
      <c r="P1160" s="2" t="s">
        <v>27</v>
      </c>
      <c r="Q1160" s="2" t="s">
        <v>41</v>
      </c>
      <c r="R1160" s="2" t="s">
        <v>42</v>
      </c>
      <c r="S1160" s="2" t="s">
        <v>108</v>
      </c>
      <c r="T1160" s="2"/>
      <c r="U1160" s="2" t="str">
        <f t="shared" si="55"/>
        <v>Not Required</v>
      </c>
      <c r="V1160" s="2" t="s">
        <v>3247</v>
      </c>
    </row>
    <row r="1161" spans="1:22" hidden="1" x14ac:dyDescent="0.3">
      <c r="A1161" s="2" t="s">
        <v>3248</v>
      </c>
      <c r="B1161" s="12">
        <f t="shared" si="54"/>
        <v>46120</v>
      </c>
      <c r="C1161" s="13" t="s">
        <v>142</v>
      </c>
      <c r="D1161" s="2" t="s">
        <v>3249</v>
      </c>
      <c r="E1161" s="2" t="str">
        <f t="shared" si="56"/>
        <v>Email Available</v>
      </c>
      <c r="F1161" s="2" t="s">
        <v>3250</v>
      </c>
      <c r="G1161" s="2" t="s">
        <v>48</v>
      </c>
      <c r="H1161" s="2" t="s">
        <v>49</v>
      </c>
      <c r="I1161" s="2" t="s">
        <v>50</v>
      </c>
      <c r="J1161" s="2">
        <v>2</v>
      </c>
      <c r="K1161" s="2">
        <v>39.99</v>
      </c>
      <c r="L1161" s="2"/>
      <c r="M1161" s="2">
        <v>0</v>
      </c>
      <c r="N1161" s="2">
        <v>0</v>
      </c>
      <c r="O1161" s="2">
        <v>79.98</v>
      </c>
      <c r="P1161" s="2" t="s">
        <v>27</v>
      </c>
      <c r="Q1161" s="2" t="s">
        <v>41</v>
      </c>
      <c r="R1161" s="2" t="s">
        <v>29</v>
      </c>
      <c r="S1161" s="2" t="s">
        <v>30</v>
      </c>
      <c r="T1161" s="2" t="s">
        <v>145</v>
      </c>
      <c r="U1161" s="2" t="str">
        <f t="shared" si="55"/>
        <v>Valid</v>
      </c>
      <c r="V1161" s="2" t="s">
        <v>3251</v>
      </c>
    </row>
    <row r="1162" spans="1:22" x14ac:dyDescent="0.3">
      <c r="A1162" s="2" t="s">
        <v>3252</v>
      </c>
      <c r="B1162" s="12">
        <f t="shared" si="54"/>
        <v>46238.584017442132</v>
      </c>
      <c r="C1162" s="13">
        <v>46238.584017442132</v>
      </c>
      <c r="D1162" s="2" t="s">
        <v>1098</v>
      </c>
      <c r="E1162" s="2" t="str">
        <f t="shared" si="56"/>
        <v>Missing Email</v>
      </c>
      <c r="F1162" s="2"/>
      <c r="G1162" s="2" t="s">
        <v>272</v>
      </c>
      <c r="H1162" s="2" t="s">
        <v>23</v>
      </c>
      <c r="I1162" s="2" t="s">
        <v>273</v>
      </c>
      <c r="J1162" s="2">
        <v>2</v>
      </c>
      <c r="K1162" s="2">
        <v>18.989999999999998</v>
      </c>
      <c r="L1162" s="2" t="s">
        <v>208</v>
      </c>
      <c r="M1162" s="2">
        <v>5.7</v>
      </c>
      <c r="N1162" s="2">
        <v>5.99</v>
      </c>
      <c r="O1162" s="2">
        <v>38.270000000000003</v>
      </c>
      <c r="P1162" s="2" t="s">
        <v>27</v>
      </c>
      <c r="Q1162" s="2" t="s">
        <v>28</v>
      </c>
      <c r="R1162" s="2" t="s">
        <v>52</v>
      </c>
      <c r="S1162" s="2" t="s">
        <v>30</v>
      </c>
      <c r="T1162" s="2" t="s">
        <v>248</v>
      </c>
      <c r="U1162" s="2" t="str">
        <f t="shared" si="55"/>
        <v>Valid</v>
      </c>
      <c r="V1162" s="2" t="s">
        <v>3253</v>
      </c>
    </row>
    <row r="1163" spans="1:22" hidden="1" x14ac:dyDescent="0.3">
      <c r="A1163" s="2" t="s">
        <v>3254</v>
      </c>
      <c r="B1163" s="12">
        <f t="shared" si="54"/>
        <v>46238.586769189817</v>
      </c>
      <c r="C1163" s="13">
        <v>46238.586769189817</v>
      </c>
      <c r="D1163" s="2" t="s">
        <v>424</v>
      </c>
      <c r="E1163" s="2" t="str">
        <f t="shared" si="56"/>
        <v>Email Available</v>
      </c>
      <c r="F1163" s="2" t="s">
        <v>425</v>
      </c>
      <c r="G1163" s="2" t="s">
        <v>272</v>
      </c>
      <c r="H1163" s="2" t="s">
        <v>23</v>
      </c>
      <c r="I1163" s="2" t="s">
        <v>273</v>
      </c>
      <c r="J1163" s="2">
        <v>1</v>
      </c>
      <c r="K1163" s="2">
        <v>18.989999999999998</v>
      </c>
      <c r="L1163" s="2"/>
      <c r="M1163" s="2">
        <v>0</v>
      </c>
      <c r="N1163" s="2">
        <v>5.99</v>
      </c>
      <c r="O1163" s="2">
        <v>24.98</v>
      </c>
      <c r="P1163" s="2" t="s">
        <v>27</v>
      </c>
      <c r="Q1163" s="2" t="s">
        <v>90</v>
      </c>
      <c r="R1163" s="2" t="s">
        <v>52</v>
      </c>
      <c r="S1163" s="2" t="s">
        <v>30</v>
      </c>
      <c r="T1163" s="2" t="s">
        <v>248</v>
      </c>
      <c r="U1163" s="2" t="str">
        <f t="shared" si="55"/>
        <v>Valid</v>
      </c>
      <c r="V1163" s="2" t="s">
        <v>3255</v>
      </c>
    </row>
    <row r="1164" spans="1:22" hidden="1" x14ac:dyDescent="0.3">
      <c r="A1164" s="2" t="s">
        <v>3256</v>
      </c>
      <c r="B1164" s="12">
        <f t="shared" si="54"/>
        <v>46238.582713703698</v>
      </c>
      <c r="C1164" s="13">
        <v>46238.582713703698</v>
      </c>
      <c r="D1164" s="2" t="s">
        <v>769</v>
      </c>
      <c r="E1164" s="2" t="str">
        <f t="shared" si="56"/>
        <v>Email Available</v>
      </c>
      <c r="F1164" s="2" t="s">
        <v>770</v>
      </c>
      <c r="G1164" s="2" t="s">
        <v>48</v>
      </c>
      <c r="H1164" s="2" t="s">
        <v>49</v>
      </c>
      <c r="I1164" s="2" t="s">
        <v>50</v>
      </c>
      <c r="J1164" s="2">
        <v>2</v>
      </c>
      <c r="K1164" s="2">
        <v>39.99</v>
      </c>
      <c r="L1164" s="2"/>
      <c r="M1164" s="2">
        <v>0</v>
      </c>
      <c r="N1164" s="2">
        <v>0</v>
      </c>
      <c r="O1164" s="2">
        <v>79.98</v>
      </c>
      <c r="P1164" s="2" t="s">
        <v>74</v>
      </c>
      <c r="Q1164" s="2" t="s">
        <v>41</v>
      </c>
      <c r="R1164" s="2" t="s">
        <v>52</v>
      </c>
      <c r="S1164" s="2" t="s">
        <v>30</v>
      </c>
      <c r="T1164" s="2" t="s">
        <v>454</v>
      </c>
      <c r="U1164" s="2" t="str">
        <f t="shared" si="55"/>
        <v>Valid</v>
      </c>
      <c r="V1164" s="2" t="s">
        <v>3257</v>
      </c>
    </row>
    <row r="1165" spans="1:22" hidden="1" x14ac:dyDescent="0.3">
      <c r="A1165" s="2" t="s">
        <v>3258</v>
      </c>
      <c r="B1165" s="12">
        <f t="shared" si="54"/>
        <v>46238.587768680547</v>
      </c>
      <c r="C1165" s="13">
        <v>46238.587768680547</v>
      </c>
      <c r="D1165" s="2" t="s">
        <v>2335</v>
      </c>
      <c r="E1165" s="2" t="str">
        <f t="shared" si="56"/>
        <v>Email Available</v>
      </c>
      <c r="F1165" s="2" t="s">
        <v>2336</v>
      </c>
      <c r="G1165" s="2" t="s">
        <v>87</v>
      </c>
      <c r="H1165" s="2" t="s">
        <v>88</v>
      </c>
      <c r="I1165" s="2" t="s">
        <v>89</v>
      </c>
      <c r="J1165" s="2">
        <v>1</v>
      </c>
      <c r="K1165" s="2">
        <v>54.99</v>
      </c>
      <c r="L1165" s="2" t="s">
        <v>208</v>
      </c>
      <c r="M1165" s="2">
        <v>8.25</v>
      </c>
      <c r="N1165" s="2">
        <v>5.99</v>
      </c>
      <c r="O1165" s="2">
        <v>52.73</v>
      </c>
      <c r="P1165" s="2" t="s">
        <v>27</v>
      </c>
      <c r="Q1165" s="2" t="s">
        <v>28</v>
      </c>
      <c r="R1165" s="2" t="s">
        <v>52</v>
      </c>
      <c r="S1165" s="2" t="s">
        <v>30</v>
      </c>
      <c r="T1165" s="2" t="s">
        <v>939</v>
      </c>
      <c r="U1165" s="2" t="str">
        <f t="shared" si="55"/>
        <v>Valid</v>
      </c>
      <c r="V1165" s="2" t="s">
        <v>3259</v>
      </c>
    </row>
    <row r="1166" spans="1:22" hidden="1" x14ac:dyDescent="0.3">
      <c r="A1166" s="2" t="s">
        <v>3260</v>
      </c>
      <c r="B1166" s="12">
        <f t="shared" si="54"/>
        <v>46238.5881375463</v>
      </c>
      <c r="C1166" s="13">
        <v>46238.5881375463</v>
      </c>
      <c r="D1166" s="2" t="s">
        <v>536</v>
      </c>
      <c r="E1166" s="2" t="str">
        <f t="shared" si="56"/>
        <v>Email Available</v>
      </c>
      <c r="F1166" s="2" t="s">
        <v>537</v>
      </c>
      <c r="G1166" s="2" t="s">
        <v>157</v>
      </c>
      <c r="H1166" s="2" t="s">
        <v>37</v>
      </c>
      <c r="I1166" s="2" t="s">
        <v>158</v>
      </c>
      <c r="J1166" s="2">
        <v>1</v>
      </c>
      <c r="K1166" s="2">
        <v>29.99</v>
      </c>
      <c r="L1166" s="2" t="s">
        <v>39</v>
      </c>
      <c r="M1166" s="2">
        <v>0</v>
      </c>
      <c r="N1166" s="2">
        <v>0</v>
      </c>
      <c r="O1166" s="2" t="s">
        <v>618</v>
      </c>
      <c r="P1166" s="2" t="s">
        <v>40</v>
      </c>
      <c r="Q1166" s="2" t="s">
        <v>41</v>
      </c>
      <c r="R1166" s="2" t="s">
        <v>52</v>
      </c>
      <c r="S1166" s="2" t="s">
        <v>30</v>
      </c>
      <c r="T1166" s="2" t="s">
        <v>939</v>
      </c>
      <c r="U1166" s="2" t="str">
        <f t="shared" si="55"/>
        <v>Valid</v>
      </c>
      <c r="V1166" s="2" t="s">
        <v>3261</v>
      </c>
    </row>
    <row r="1167" spans="1:22" hidden="1" x14ac:dyDescent="0.3">
      <c r="A1167" s="2" t="s">
        <v>3262</v>
      </c>
      <c r="B1167" s="12">
        <f t="shared" si="54"/>
        <v>46238.585160543982</v>
      </c>
      <c r="C1167" s="13">
        <v>46238.585160543982</v>
      </c>
      <c r="D1167" s="2" t="s">
        <v>694</v>
      </c>
      <c r="E1167" s="2" t="str">
        <f t="shared" si="56"/>
        <v>Email Available</v>
      </c>
      <c r="F1167" s="2" t="s">
        <v>695</v>
      </c>
      <c r="G1167" s="2" t="s">
        <v>65</v>
      </c>
      <c r="H1167" s="2" t="s">
        <v>49</v>
      </c>
      <c r="I1167" s="2" t="s">
        <v>453</v>
      </c>
      <c r="J1167" s="2">
        <v>1</v>
      </c>
      <c r="K1167" s="2" t="s">
        <v>1485</v>
      </c>
      <c r="L1167" s="2"/>
      <c r="M1167" s="2">
        <v>0</v>
      </c>
      <c r="N1167" s="2">
        <v>4.99</v>
      </c>
      <c r="O1167" s="2">
        <v>19.98</v>
      </c>
      <c r="P1167" s="2" t="s">
        <v>27</v>
      </c>
      <c r="Q1167" s="2" t="s">
        <v>28</v>
      </c>
      <c r="R1167" s="2" t="s">
        <v>52</v>
      </c>
      <c r="S1167" s="2" t="s">
        <v>30</v>
      </c>
      <c r="T1167" s="2" t="s">
        <v>454</v>
      </c>
      <c r="U1167" s="2" t="str">
        <f t="shared" si="55"/>
        <v>Valid</v>
      </c>
      <c r="V1167" s="2" t="s">
        <v>3263</v>
      </c>
    </row>
    <row r="1168" spans="1:22" hidden="1" x14ac:dyDescent="0.3">
      <c r="A1168" s="2" t="s">
        <v>3264</v>
      </c>
      <c r="B1168" s="12">
        <f t="shared" si="54"/>
        <v>46238.583463229174</v>
      </c>
      <c r="C1168" s="13">
        <v>46238.583463229174</v>
      </c>
      <c r="D1168" s="2" t="s">
        <v>94</v>
      </c>
      <c r="E1168" s="2" t="str">
        <f t="shared" si="56"/>
        <v>Email Available</v>
      </c>
      <c r="F1168" s="2" t="s">
        <v>95</v>
      </c>
      <c r="G1168" s="2" t="s">
        <v>58</v>
      </c>
      <c r="H1168" s="2" t="s">
        <v>23</v>
      </c>
      <c r="I1168" s="2" t="s">
        <v>59</v>
      </c>
      <c r="J1168" s="2">
        <v>1</v>
      </c>
      <c r="K1168" s="2">
        <v>9.99</v>
      </c>
      <c r="L1168" s="2"/>
      <c r="M1168" s="2">
        <v>0</v>
      </c>
      <c r="N1168" s="2">
        <v>4.99</v>
      </c>
      <c r="O1168" s="2">
        <v>14.98</v>
      </c>
      <c r="P1168" s="2" t="s">
        <v>27</v>
      </c>
      <c r="Q1168" s="2" t="s">
        <v>41</v>
      </c>
      <c r="R1168" s="2" t="s">
        <v>52</v>
      </c>
      <c r="S1168" s="2" t="s">
        <v>43</v>
      </c>
      <c r="T1168" s="2"/>
      <c r="U1168" s="2" t="str">
        <f t="shared" si="55"/>
        <v>Not Required</v>
      </c>
      <c r="V1168" s="2" t="s">
        <v>3265</v>
      </c>
    </row>
    <row r="1169" spans="1:22" hidden="1" x14ac:dyDescent="0.3">
      <c r="A1169" s="2" t="s">
        <v>3266</v>
      </c>
      <c r="B1169" s="12">
        <f t="shared" si="54"/>
        <v>46238.583861574072</v>
      </c>
      <c r="C1169" s="13">
        <v>46238.583861574072</v>
      </c>
      <c r="D1169" s="2" t="s">
        <v>915</v>
      </c>
      <c r="E1169" s="2" t="str">
        <f t="shared" si="56"/>
        <v>Email Available</v>
      </c>
      <c r="F1169" s="2" t="s">
        <v>916</v>
      </c>
      <c r="G1169" s="2" t="s">
        <v>284</v>
      </c>
      <c r="H1169" s="2" t="s">
        <v>23</v>
      </c>
      <c r="I1169" s="2" t="s">
        <v>285</v>
      </c>
      <c r="J1169" s="2">
        <v>1</v>
      </c>
      <c r="K1169" s="2">
        <v>24.99</v>
      </c>
      <c r="L1169" s="2" t="s">
        <v>121</v>
      </c>
      <c r="M1169" s="2">
        <v>6.25</v>
      </c>
      <c r="N1169" s="2">
        <v>4.99</v>
      </c>
      <c r="O1169" s="2">
        <v>23.73</v>
      </c>
      <c r="P1169" s="2" t="s">
        <v>68</v>
      </c>
      <c r="Q1169" s="2" t="s">
        <v>41</v>
      </c>
      <c r="R1169" s="2" t="s">
        <v>29</v>
      </c>
      <c r="S1169" s="2" t="s">
        <v>30</v>
      </c>
      <c r="T1169" s="2" t="s">
        <v>294</v>
      </c>
      <c r="U1169" s="2" t="str">
        <f t="shared" si="55"/>
        <v>Valid</v>
      </c>
      <c r="V1169" s="2" t="s">
        <v>3267</v>
      </c>
    </row>
    <row r="1170" spans="1:22" hidden="1" x14ac:dyDescent="0.3">
      <c r="A1170" s="2" t="s">
        <v>3268</v>
      </c>
      <c r="B1170" s="12">
        <f t="shared" si="54"/>
        <v>46238.585970902779</v>
      </c>
      <c r="C1170" s="13">
        <v>46238.585970902779</v>
      </c>
      <c r="D1170" s="2" t="s">
        <v>2422</v>
      </c>
      <c r="E1170" s="2" t="str">
        <f t="shared" si="56"/>
        <v>Email Available</v>
      </c>
      <c r="F1170" s="2" t="s">
        <v>2423</v>
      </c>
      <c r="G1170" s="2" t="s">
        <v>226</v>
      </c>
      <c r="H1170" s="2" t="s">
        <v>23</v>
      </c>
      <c r="I1170" s="2" t="s">
        <v>227</v>
      </c>
      <c r="J1170" s="2">
        <v>2</v>
      </c>
      <c r="K1170" s="2">
        <v>17.989999999999998</v>
      </c>
      <c r="L1170" s="2"/>
      <c r="M1170" s="2">
        <v>0</v>
      </c>
      <c r="N1170" s="2">
        <v>5.99</v>
      </c>
      <c r="O1170" s="2">
        <v>41.97</v>
      </c>
      <c r="P1170" s="2" t="s">
        <v>74</v>
      </c>
      <c r="Q1170" s="2" t="s">
        <v>28</v>
      </c>
      <c r="R1170" s="2" t="s">
        <v>52</v>
      </c>
      <c r="S1170" s="2" t="s">
        <v>228</v>
      </c>
      <c r="T1170" s="2"/>
      <c r="U1170" s="2" t="str">
        <f t="shared" si="55"/>
        <v>Not Required</v>
      </c>
      <c r="V1170" s="2" t="s">
        <v>3269</v>
      </c>
    </row>
    <row r="1171" spans="1:22" hidden="1" x14ac:dyDescent="0.3">
      <c r="A1171" s="2" t="s">
        <v>3270</v>
      </c>
      <c r="B1171" s="12">
        <f t="shared" si="54"/>
        <v>46238.585499687499</v>
      </c>
      <c r="C1171" s="13">
        <v>46238.585499687499</v>
      </c>
      <c r="D1171" s="2" t="s">
        <v>853</v>
      </c>
      <c r="E1171" s="2" t="str">
        <f t="shared" si="56"/>
        <v>Email Available</v>
      </c>
      <c r="F1171" s="2" t="s">
        <v>854</v>
      </c>
      <c r="G1171" s="2" t="s">
        <v>48</v>
      </c>
      <c r="H1171" s="2" t="s">
        <v>49</v>
      </c>
      <c r="I1171" s="2" t="s">
        <v>50</v>
      </c>
      <c r="J1171" s="2">
        <v>1</v>
      </c>
      <c r="K1171" s="2">
        <v>39.99</v>
      </c>
      <c r="L1171" s="2" t="s">
        <v>25</v>
      </c>
      <c r="M1171" s="2">
        <v>8</v>
      </c>
      <c r="N1171" s="2">
        <v>7.99</v>
      </c>
      <c r="O1171" s="2">
        <v>39.979999999999997</v>
      </c>
      <c r="P1171" s="2" t="s">
        <v>27</v>
      </c>
      <c r="Q1171" s="2" t="s">
        <v>28</v>
      </c>
      <c r="R1171" s="2" t="s">
        <v>52</v>
      </c>
      <c r="S1171" s="2" t="s">
        <v>30</v>
      </c>
      <c r="T1171" s="2" t="s">
        <v>454</v>
      </c>
      <c r="U1171" s="2" t="str">
        <f t="shared" si="55"/>
        <v>Valid</v>
      </c>
      <c r="V1171" s="2" t="s">
        <v>3271</v>
      </c>
    </row>
    <row r="1172" spans="1:22" hidden="1" x14ac:dyDescent="0.3">
      <c r="A1172" s="2" t="s">
        <v>3272</v>
      </c>
      <c r="B1172" s="12">
        <f t="shared" si="54"/>
        <v>46238.580235266207</v>
      </c>
      <c r="C1172" s="13">
        <v>46238.580235266207</v>
      </c>
      <c r="D1172" s="2" t="s">
        <v>1936</v>
      </c>
      <c r="E1172" s="2" t="str">
        <f t="shared" si="56"/>
        <v>Email Available</v>
      </c>
      <c r="F1172" s="2" t="s">
        <v>1937</v>
      </c>
      <c r="G1172" s="2" t="s">
        <v>272</v>
      </c>
      <c r="H1172" s="2" t="s">
        <v>23</v>
      </c>
      <c r="I1172" s="2" t="s">
        <v>273</v>
      </c>
      <c r="J1172" s="2">
        <v>1</v>
      </c>
      <c r="K1172" s="2">
        <v>18.989999999999998</v>
      </c>
      <c r="L1172" s="2" t="s">
        <v>39</v>
      </c>
      <c r="M1172" s="2">
        <v>0</v>
      </c>
      <c r="N1172" s="2">
        <v>0</v>
      </c>
      <c r="O1172" s="2">
        <v>18.989999999999998</v>
      </c>
      <c r="P1172" s="2" t="s">
        <v>27</v>
      </c>
      <c r="Q1172" s="2" t="s">
        <v>114</v>
      </c>
      <c r="R1172" s="2" t="s">
        <v>52</v>
      </c>
      <c r="S1172" s="2" t="s">
        <v>108</v>
      </c>
      <c r="T1172" s="2"/>
      <c r="U1172" s="2" t="str">
        <f t="shared" si="55"/>
        <v>Not Required</v>
      </c>
      <c r="V1172" s="2" t="s">
        <v>3273</v>
      </c>
    </row>
    <row r="1173" spans="1:22" hidden="1" x14ac:dyDescent="0.3">
      <c r="A1173" s="2" t="s">
        <v>3274</v>
      </c>
      <c r="B1173" s="12">
        <f t="shared" si="54"/>
        <v>46238.584115636571</v>
      </c>
      <c r="C1173" s="13">
        <v>46238.584115636571</v>
      </c>
      <c r="D1173" s="2" t="s">
        <v>1045</v>
      </c>
      <c r="E1173" s="2" t="str">
        <f t="shared" si="56"/>
        <v>Email Available</v>
      </c>
      <c r="F1173" s="2" t="s">
        <v>1046</v>
      </c>
      <c r="G1173" s="2" t="s">
        <v>266</v>
      </c>
      <c r="H1173" s="2" t="s">
        <v>37</v>
      </c>
      <c r="I1173" s="2" t="s">
        <v>267</v>
      </c>
      <c r="J1173" s="2">
        <v>2</v>
      </c>
      <c r="K1173" s="2">
        <v>15.49</v>
      </c>
      <c r="L1173" s="2" t="s">
        <v>121</v>
      </c>
      <c r="M1173" s="2">
        <v>7.75</v>
      </c>
      <c r="N1173" s="2">
        <v>5.99</v>
      </c>
      <c r="O1173" s="2">
        <v>29.22</v>
      </c>
      <c r="P1173" s="2" t="s">
        <v>40</v>
      </c>
      <c r="Q1173" s="2" t="s">
        <v>28</v>
      </c>
      <c r="R1173" s="2" t="s">
        <v>52</v>
      </c>
      <c r="S1173" s="2" t="s">
        <v>30</v>
      </c>
      <c r="T1173" s="2" t="s">
        <v>454</v>
      </c>
      <c r="U1173" s="2" t="str">
        <f t="shared" si="55"/>
        <v>Valid</v>
      </c>
      <c r="V1173" s="2" t="s">
        <v>3275</v>
      </c>
    </row>
    <row r="1174" spans="1:22" hidden="1" x14ac:dyDescent="0.3">
      <c r="A1174" s="2" t="s">
        <v>3276</v>
      </c>
      <c r="B1174" s="12">
        <f t="shared" si="54"/>
        <v>46238.579249733797</v>
      </c>
      <c r="C1174" s="13">
        <v>46238.579249733797</v>
      </c>
      <c r="D1174" s="2" t="s">
        <v>3111</v>
      </c>
      <c r="E1174" s="2" t="str">
        <f t="shared" si="56"/>
        <v>Email Available</v>
      </c>
      <c r="F1174" s="2" t="s">
        <v>2989</v>
      </c>
      <c r="G1174" s="2" t="s">
        <v>226</v>
      </c>
      <c r="H1174" s="2" t="s">
        <v>23</v>
      </c>
      <c r="I1174" s="2" t="s">
        <v>227</v>
      </c>
      <c r="J1174" s="2">
        <v>1</v>
      </c>
      <c r="K1174" s="2">
        <v>17.989999999999998</v>
      </c>
      <c r="L1174" s="2"/>
      <c r="M1174" s="2">
        <v>0</v>
      </c>
      <c r="N1174" s="2">
        <v>4.99</v>
      </c>
      <c r="O1174" s="2">
        <v>22.98</v>
      </c>
      <c r="P1174" s="2" t="s">
        <v>27</v>
      </c>
      <c r="Q1174" s="2" t="s">
        <v>28</v>
      </c>
      <c r="R1174" s="2" t="s">
        <v>42</v>
      </c>
      <c r="S1174" s="2" t="s">
        <v>30</v>
      </c>
      <c r="T1174" s="2" t="s">
        <v>69</v>
      </c>
      <c r="U1174" s="2" t="str">
        <f t="shared" si="55"/>
        <v>Valid</v>
      </c>
      <c r="V1174" s="2" t="s">
        <v>3277</v>
      </c>
    </row>
    <row r="1175" spans="1:22" hidden="1" x14ac:dyDescent="0.3">
      <c r="A1175" s="2" t="s">
        <v>3278</v>
      </c>
      <c r="B1175" s="12">
        <f t="shared" si="54"/>
        <v>46238.580856898137</v>
      </c>
      <c r="C1175" s="13">
        <v>46238.580856898137</v>
      </c>
      <c r="D1175" s="2" t="s">
        <v>218</v>
      </c>
      <c r="E1175" s="2" t="str">
        <f t="shared" si="56"/>
        <v>Email Available</v>
      </c>
      <c r="F1175" s="2" t="s">
        <v>219</v>
      </c>
      <c r="G1175" s="2" t="s">
        <v>157</v>
      </c>
      <c r="H1175" s="2" t="s">
        <v>37</v>
      </c>
      <c r="I1175" s="2" t="s">
        <v>158</v>
      </c>
      <c r="J1175" s="2">
        <v>1</v>
      </c>
      <c r="K1175" s="2">
        <v>29.99</v>
      </c>
      <c r="L1175" s="2" t="s">
        <v>121</v>
      </c>
      <c r="M1175" s="2">
        <v>7.5</v>
      </c>
      <c r="N1175" s="2">
        <v>7.99</v>
      </c>
      <c r="O1175" s="2">
        <v>30.48</v>
      </c>
      <c r="P1175" s="2" t="s">
        <v>40</v>
      </c>
      <c r="Q1175" s="2" t="s">
        <v>28</v>
      </c>
      <c r="R1175" s="2" t="s">
        <v>52</v>
      </c>
      <c r="S1175" s="2" t="s">
        <v>30</v>
      </c>
      <c r="T1175" s="2" t="s">
        <v>31</v>
      </c>
      <c r="U1175" s="2" t="str">
        <f t="shared" si="55"/>
        <v>Valid</v>
      </c>
      <c r="V1175" s="2" t="s">
        <v>3279</v>
      </c>
    </row>
    <row r="1176" spans="1:22" hidden="1" x14ac:dyDescent="0.3">
      <c r="A1176" s="2" t="s">
        <v>3280</v>
      </c>
      <c r="B1176" s="12">
        <f t="shared" si="54"/>
        <v>46238.582414826393</v>
      </c>
      <c r="C1176" s="13">
        <v>46238.582414826393</v>
      </c>
      <c r="D1176" s="2" t="s">
        <v>3281</v>
      </c>
      <c r="E1176" s="2" t="str">
        <f t="shared" si="56"/>
        <v>Email Available</v>
      </c>
      <c r="F1176" s="2" t="s">
        <v>421</v>
      </c>
      <c r="G1176" s="2" t="s">
        <v>133</v>
      </c>
      <c r="H1176" s="2" t="s">
        <v>106</v>
      </c>
      <c r="I1176" s="2" t="s">
        <v>134</v>
      </c>
      <c r="J1176" s="2">
        <v>3</v>
      </c>
      <c r="K1176" s="2">
        <v>16.989999999999998</v>
      </c>
      <c r="L1176" s="2"/>
      <c r="M1176" s="2">
        <v>0</v>
      </c>
      <c r="N1176" s="2">
        <v>4.99</v>
      </c>
      <c r="O1176" s="2">
        <v>55.96</v>
      </c>
      <c r="P1176" s="2" t="s">
        <v>68</v>
      </c>
      <c r="Q1176" s="2" t="s">
        <v>28</v>
      </c>
      <c r="R1176" s="2" t="s">
        <v>52</v>
      </c>
      <c r="S1176" s="2" t="s">
        <v>337</v>
      </c>
      <c r="T1176" s="2"/>
      <c r="U1176" s="2" t="str">
        <f t="shared" si="55"/>
        <v>Not Required</v>
      </c>
      <c r="V1176" s="2" t="s">
        <v>3282</v>
      </c>
    </row>
    <row r="1177" spans="1:22" hidden="1" x14ac:dyDescent="0.3">
      <c r="A1177" s="2" t="s">
        <v>3283</v>
      </c>
      <c r="B1177" s="12">
        <f t="shared" si="54"/>
        <v>46238</v>
      </c>
      <c r="C1177" s="13" t="s">
        <v>1162</v>
      </c>
      <c r="D1177" s="2" t="s">
        <v>384</v>
      </c>
      <c r="E1177" s="2" t="str">
        <f t="shared" si="56"/>
        <v>Email Available</v>
      </c>
      <c r="F1177" s="2" t="s">
        <v>385</v>
      </c>
      <c r="G1177" s="2" t="s">
        <v>127</v>
      </c>
      <c r="H1177" s="2" t="s">
        <v>81</v>
      </c>
      <c r="I1177" s="2" t="s">
        <v>128</v>
      </c>
      <c r="J1177" s="2">
        <v>1</v>
      </c>
      <c r="K1177" s="2">
        <v>13.99</v>
      </c>
      <c r="L1177" s="2" t="s">
        <v>208</v>
      </c>
      <c r="M1177" s="2">
        <v>2.1</v>
      </c>
      <c r="N1177" s="2">
        <v>5.99</v>
      </c>
      <c r="O1177" s="2">
        <v>17.88</v>
      </c>
      <c r="P1177" s="2" t="s">
        <v>40</v>
      </c>
      <c r="Q1177" s="2" t="s">
        <v>41</v>
      </c>
      <c r="R1177" s="2" t="s">
        <v>52</v>
      </c>
      <c r="S1177" s="2" t="s">
        <v>75</v>
      </c>
      <c r="T1177" s="2"/>
      <c r="U1177" s="2" t="str">
        <f t="shared" si="55"/>
        <v>Not Required</v>
      </c>
      <c r="V1177" s="2" t="s">
        <v>3284</v>
      </c>
    </row>
    <row r="1178" spans="1:22" hidden="1" x14ac:dyDescent="0.3">
      <c r="A1178" s="2" t="s">
        <v>3285</v>
      </c>
      <c r="B1178" s="12">
        <f>DATE(VALUE(RIGHT(C1178,4)),MATCH(LEFT(C1178,3),{"Jan","Feb","Mar","Apr","May","Jun","Jul","Aug","Sep","Oct","Nov","Dec"},0),VALUE(MID(C1178,5,2)))</f>
        <v>46238</v>
      </c>
      <c r="C1178" s="13" t="s">
        <v>176</v>
      </c>
      <c r="D1178" s="2" t="s">
        <v>748</v>
      </c>
      <c r="E1178" s="2" t="str">
        <f t="shared" si="56"/>
        <v>Email Available</v>
      </c>
      <c r="F1178" s="2" t="s">
        <v>749</v>
      </c>
      <c r="G1178" s="2" t="s">
        <v>206</v>
      </c>
      <c r="H1178" s="2" t="s">
        <v>196</v>
      </c>
      <c r="I1178" s="2" t="s">
        <v>207</v>
      </c>
      <c r="J1178" s="2">
        <v>1</v>
      </c>
      <c r="K1178" s="2">
        <v>24.99</v>
      </c>
      <c r="L1178" s="2" t="s">
        <v>25</v>
      </c>
      <c r="M1178" s="2">
        <v>5</v>
      </c>
      <c r="N1178" s="2">
        <v>7.99</v>
      </c>
      <c r="O1178" s="2">
        <v>27.98</v>
      </c>
      <c r="P1178" s="2" t="s">
        <v>40</v>
      </c>
      <c r="Q1178" s="2" t="s">
        <v>28</v>
      </c>
      <c r="R1178" s="2" t="s">
        <v>99</v>
      </c>
      <c r="S1178" s="2" t="s">
        <v>108</v>
      </c>
      <c r="T1178" s="2"/>
      <c r="U1178" s="2" t="str">
        <f t="shared" si="55"/>
        <v>Not Required</v>
      </c>
      <c r="V1178" s="2" t="s">
        <v>3286</v>
      </c>
    </row>
    <row r="1179" spans="1:22" hidden="1" x14ac:dyDescent="0.3">
      <c r="A1179" s="2" t="s">
        <v>3287</v>
      </c>
      <c r="B1179" s="12">
        <f t="shared" si="54"/>
        <v>46120</v>
      </c>
      <c r="C1179" s="13" t="s">
        <v>142</v>
      </c>
      <c r="D1179" s="2" t="s">
        <v>651</v>
      </c>
      <c r="E1179" s="2" t="str">
        <f t="shared" si="56"/>
        <v>Email Available</v>
      </c>
      <c r="F1179" s="2" t="s">
        <v>652</v>
      </c>
      <c r="G1179" s="2" t="s">
        <v>187</v>
      </c>
      <c r="H1179" s="2" t="s">
        <v>37</v>
      </c>
      <c r="I1179" s="2" t="s">
        <v>188</v>
      </c>
      <c r="J1179" s="2">
        <v>1</v>
      </c>
      <c r="K1179" s="2" t="s">
        <v>409</v>
      </c>
      <c r="L1179" s="2" t="s">
        <v>39</v>
      </c>
      <c r="M1179" s="2">
        <v>0</v>
      </c>
      <c r="N1179" s="2">
        <v>0</v>
      </c>
      <c r="O1179" s="2">
        <v>11.99</v>
      </c>
      <c r="P1179" s="2" t="s">
        <v>68</v>
      </c>
      <c r="Q1179" s="2" t="s">
        <v>28</v>
      </c>
      <c r="R1179" s="2" t="s">
        <v>42</v>
      </c>
      <c r="S1179" s="2" t="s">
        <v>30</v>
      </c>
      <c r="T1179" s="2" t="s">
        <v>91</v>
      </c>
      <c r="U1179" s="2" t="str">
        <f t="shared" si="55"/>
        <v>Valid</v>
      </c>
      <c r="V1179" s="2" t="s">
        <v>3288</v>
      </c>
    </row>
    <row r="1180" spans="1:22" hidden="1" x14ac:dyDescent="0.3">
      <c r="A1180" s="2" t="s">
        <v>3289</v>
      </c>
      <c r="B1180" s="12">
        <f t="shared" si="54"/>
        <v>46238.583241134264</v>
      </c>
      <c r="C1180" s="13">
        <v>46238.583241134264</v>
      </c>
      <c r="D1180" s="2" t="s">
        <v>1570</v>
      </c>
      <c r="E1180" s="2" t="str">
        <f t="shared" si="56"/>
        <v>Email Available</v>
      </c>
      <c r="F1180" s="2" t="s">
        <v>1571</v>
      </c>
      <c r="G1180" s="2" t="s">
        <v>187</v>
      </c>
      <c r="H1180" s="2" t="s">
        <v>37</v>
      </c>
      <c r="I1180" s="2" t="s">
        <v>188</v>
      </c>
      <c r="J1180" s="2">
        <v>1</v>
      </c>
      <c r="K1180" s="2">
        <v>11.99</v>
      </c>
      <c r="L1180" s="2" t="s">
        <v>208</v>
      </c>
      <c r="M1180" s="2">
        <v>1.8</v>
      </c>
      <c r="N1180" s="2">
        <v>7.99</v>
      </c>
      <c r="O1180" s="2">
        <v>18.18</v>
      </c>
      <c r="P1180" s="2" t="s">
        <v>40</v>
      </c>
      <c r="Q1180" s="2" t="s">
        <v>28</v>
      </c>
      <c r="R1180" s="2" t="s">
        <v>99</v>
      </c>
      <c r="S1180" s="2" t="s">
        <v>43</v>
      </c>
      <c r="T1180" s="2"/>
      <c r="U1180" s="2" t="str">
        <f t="shared" si="55"/>
        <v>Not Required</v>
      </c>
      <c r="V1180" s="2" t="s">
        <v>3290</v>
      </c>
    </row>
    <row r="1181" spans="1:22" hidden="1" x14ac:dyDescent="0.3">
      <c r="A1181" s="2" t="s">
        <v>3291</v>
      </c>
      <c r="B1181" s="12">
        <f t="shared" si="54"/>
        <v>46238.583157986111</v>
      </c>
      <c r="C1181" s="13">
        <v>46238.583157986111</v>
      </c>
      <c r="D1181" s="2" t="s">
        <v>565</v>
      </c>
      <c r="E1181" s="2" t="str">
        <f t="shared" si="56"/>
        <v>Email Available</v>
      </c>
      <c r="F1181" s="2" t="s">
        <v>566</v>
      </c>
      <c r="G1181" s="2" t="s">
        <v>120</v>
      </c>
      <c r="H1181" s="2" t="s">
        <v>23</v>
      </c>
      <c r="I1181" s="2" t="s">
        <v>24</v>
      </c>
      <c r="J1181" s="2">
        <v>1</v>
      </c>
      <c r="K1181" s="2">
        <v>12.99</v>
      </c>
      <c r="L1181" s="2"/>
      <c r="M1181" s="2">
        <v>0</v>
      </c>
      <c r="N1181" s="2">
        <v>4.99</v>
      </c>
      <c r="O1181" s="2">
        <v>17.98</v>
      </c>
      <c r="P1181" s="2" t="s">
        <v>68</v>
      </c>
      <c r="Q1181" s="2" t="s">
        <v>114</v>
      </c>
      <c r="R1181" s="2" t="s">
        <v>99</v>
      </c>
      <c r="S1181" s="2" t="s">
        <v>43</v>
      </c>
      <c r="T1181" s="2"/>
      <c r="U1181" s="2" t="str">
        <f t="shared" si="55"/>
        <v>Not Required</v>
      </c>
      <c r="V1181" s="2" t="s">
        <v>3292</v>
      </c>
    </row>
    <row r="1182" spans="1:22" hidden="1" x14ac:dyDescent="0.3">
      <c r="A1182" s="2" t="s">
        <v>3293</v>
      </c>
      <c r="B1182" s="12">
        <f t="shared" si="54"/>
        <v>46238.587113379632</v>
      </c>
      <c r="C1182" s="13">
        <v>46238.587113379632</v>
      </c>
      <c r="D1182" s="2" t="s">
        <v>193</v>
      </c>
      <c r="E1182" s="2" t="str">
        <f t="shared" si="56"/>
        <v>Email Available</v>
      </c>
      <c r="F1182" s="2" t="s">
        <v>194</v>
      </c>
      <c r="G1182" s="2" t="s">
        <v>2409</v>
      </c>
      <c r="H1182" s="2" t="s">
        <v>23</v>
      </c>
      <c r="I1182" s="2" t="s">
        <v>273</v>
      </c>
      <c r="J1182" s="2">
        <v>1</v>
      </c>
      <c r="K1182" s="2">
        <v>18.989999999999998</v>
      </c>
      <c r="L1182" s="2" t="s">
        <v>121</v>
      </c>
      <c r="M1182" s="2" t="s">
        <v>3294</v>
      </c>
      <c r="N1182" s="2">
        <v>4.99</v>
      </c>
      <c r="O1182" s="2">
        <v>19.23</v>
      </c>
      <c r="P1182" s="2" t="s">
        <v>74</v>
      </c>
      <c r="Q1182" s="2" t="s">
        <v>114</v>
      </c>
      <c r="R1182" s="2" t="s">
        <v>99</v>
      </c>
      <c r="S1182" s="2" t="s">
        <v>30</v>
      </c>
      <c r="T1182" s="2" t="s">
        <v>53</v>
      </c>
      <c r="U1182" s="2" t="str">
        <f t="shared" si="55"/>
        <v>Valid</v>
      </c>
      <c r="V1182" s="2" t="s">
        <v>3295</v>
      </c>
    </row>
    <row r="1183" spans="1:22" hidden="1" x14ac:dyDescent="0.3">
      <c r="A1183" s="2" t="s">
        <v>3296</v>
      </c>
      <c r="B1183" s="12">
        <f t="shared" si="54"/>
        <v>46120</v>
      </c>
      <c r="C1183" s="13" t="s">
        <v>142</v>
      </c>
      <c r="D1183" s="2" t="s">
        <v>2748</v>
      </c>
      <c r="E1183" s="2" t="str">
        <f t="shared" si="56"/>
        <v>Email Available</v>
      </c>
      <c r="F1183" s="2" t="s">
        <v>2101</v>
      </c>
      <c r="G1183" s="2" t="s">
        <v>80</v>
      </c>
      <c r="H1183" s="2" t="s">
        <v>81</v>
      </c>
      <c r="I1183" s="2" t="s">
        <v>82</v>
      </c>
      <c r="J1183" s="2">
        <v>3</v>
      </c>
      <c r="K1183" s="2" t="s">
        <v>579</v>
      </c>
      <c r="L1183" s="2"/>
      <c r="M1183" s="2">
        <v>0</v>
      </c>
      <c r="N1183" s="2">
        <v>0</v>
      </c>
      <c r="O1183" s="2">
        <v>269.97000000000003</v>
      </c>
      <c r="P1183" s="2" t="s">
        <v>27</v>
      </c>
      <c r="Q1183" s="2" t="s">
        <v>28</v>
      </c>
      <c r="R1183" s="2" t="s">
        <v>52</v>
      </c>
      <c r="S1183" s="2" t="s">
        <v>228</v>
      </c>
      <c r="T1183" s="2"/>
      <c r="U1183" s="2" t="str">
        <f t="shared" si="55"/>
        <v>Not Required</v>
      </c>
      <c r="V1183" s="2" t="s">
        <v>3297</v>
      </c>
    </row>
    <row r="1184" spans="1:22" hidden="1" x14ac:dyDescent="0.3">
      <c r="A1184" s="2" t="s">
        <v>3298</v>
      </c>
      <c r="B1184" s="12">
        <f t="shared" si="54"/>
        <v>46238.578782974539</v>
      </c>
      <c r="C1184" s="13">
        <v>46238.578782974539</v>
      </c>
      <c r="D1184" s="2" t="s">
        <v>177</v>
      </c>
      <c r="E1184" s="2" t="str">
        <f t="shared" si="56"/>
        <v>Email Available</v>
      </c>
      <c r="F1184" s="2" t="s">
        <v>178</v>
      </c>
      <c r="G1184" s="2" t="s">
        <v>157</v>
      </c>
      <c r="H1184" s="2" t="s">
        <v>37</v>
      </c>
      <c r="I1184" s="2" t="s">
        <v>158</v>
      </c>
      <c r="J1184" s="2">
        <v>2</v>
      </c>
      <c r="K1184" s="2">
        <v>29.99</v>
      </c>
      <c r="L1184" s="2"/>
      <c r="M1184" s="2" t="s">
        <v>189</v>
      </c>
      <c r="N1184" s="2">
        <v>4.99</v>
      </c>
      <c r="O1184" s="2">
        <v>64.97</v>
      </c>
      <c r="P1184" s="2" t="s">
        <v>51</v>
      </c>
      <c r="Q1184" s="2" t="s">
        <v>41</v>
      </c>
      <c r="R1184" s="2" t="s">
        <v>42</v>
      </c>
      <c r="S1184" s="2" t="s">
        <v>30</v>
      </c>
      <c r="T1184" s="2" t="s">
        <v>115</v>
      </c>
      <c r="U1184" s="2" t="str">
        <f t="shared" si="55"/>
        <v>Valid</v>
      </c>
      <c r="V1184" s="2" t="s">
        <v>3299</v>
      </c>
    </row>
    <row r="1185" spans="1:22" hidden="1" x14ac:dyDescent="0.3">
      <c r="A1185" s="2" t="s">
        <v>3300</v>
      </c>
      <c r="B1185" s="12">
        <f t="shared" si="54"/>
        <v>46238.578849305559</v>
      </c>
      <c r="C1185" s="13">
        <v>46238.578849305559</v>
      </c>
      <c r="D1185" s="2" t="s">
        <v>877</v>
      </c>
      <c r="E1185" s="2" t="str">
        <f t="shared" si="56"/>
        <v>Email Available</v>
      </c>
      <c r="F1185" s="2" t="s">
        <v>878</v>
      </c>
      <c r="G1185" s="2" t="s">
        <v>195</v>
      </c>
      <c r="H1185" s="2" t="s">
        <v>196</v>
      </c>
      <c r="I1185" s="2" t="s">
        <v>197</v>
      </c>
      <c r="J1185" s="2">
        <v>1</v>
      </c>
      <c r="K1185" s="2">
        <v>13.49</v>
      </c>
      <c r="L1185" s="2"/>
      <c r="M1185" s="2">
        <v>0</v>
      </c>
      <c r="N1185" s="2">
        <v>4.99</v>
      </c>
      <c r="O1185" s="2">
        <v>18.48</v>
      </c>
      <c r="P1185" s="2" t="s">
        <v>51</v>
      </c>
      <c r="Q1185" s="2" t="s">
        <v>28</v>
      </c>
      <c r="R1185" s="2" t="s">
        <v>52</v>
      </c>
      <c r="S1185" s="2" t="s">
        <v>75</v>
      </c>
      <c r="T1185" s="2"/>
      <c r="U1185" s="2" t="str">
        <f t="shared" si="55"/>
        <v>Not Required</v>
      </c>
      <c r="V1185" s="2" t="s">
        <v>3301</v>
      </c>
    </row>
    <row r="1186" spans="1:22" hidden="1" x14ac:dyDescent="0.3">
      <c r="A1186" s="2" t="s">
        <v>3302</v>
      </c>
      <c r="B1186" s="12">
        <f t="shared" si="54"/>
        <v>46238.580862650473</v>
      </c>
      <c r="C1186" s="13">
        <v>46238.580862650473</v>
      </c>
      <c r="D1186" s="2" t="s">
        <v>405</v>
      </c>
      <c r="E1186" s="2" t="str">
        <f t="shared" si="56"/>
        <v>Email Available</v>
      </c>
      <c r="F1186" s="2" t="s">
        <v>406</v>
      </c>
      <c r="G1186" s="2" t="s">
        <v>112</v>
      </c>
      <c r="H1186" s="2" t="s">
        <v>81</v>
      </c>
      <c r="I1186" s="2" t="s">
        <v>113</v>
      </c>
      <c r="J1186" s="2">
        <v>1</v>
      </c>
      <c r="K1186" s="2">
        <v>22.99</v>
      </c>
      <c r="L1186" s="2"/>
      <c r="M1186" s="2">
        <v>0</v>
      </c>
      <c r="N1186" s="2">
        <v>4.99</v>
      </c>
      <c r="O1186" s="2">
        <v>27.98</v>
      </c>
      <c r="P1186" s="2" t="s">
        <v>40</v>
      </c>
      <c r="Q1186" s="2" t="s">
        <v>28</v>
      </c>
      <c r="R1186" s="2" t="s">
        <v>52</v>
      </c>
      <c r="S1186" s="2" t="s">
        <v>30</v>
      </c>
      <c r="T1186" s="2" t="s">
        <v>115</v>
      </c>
      <c r="U1186" s="2" t="str">
        <f t="shared" si="55"/>
        <v>Valid</v>
      </c>
      <c r="V1186" s="2" t="s">
        <v>3303</v>
      </c>
    </row>
    <row r="1187" spans="1:22" hidden="1" x14ac:dyDescent="0.3">
      <c r="A1187" s="2" t="s">
        <v>3304</v>
      </c>
      <c r="B1187" s="12">
        <f t="shared" si="54"/>
        <v>46238.584277245369</v>
      </c>
      <c r="C1187" s="13">
        <v>46238.584277245369</v>
      </c>
      <c r="D1187" s="2" t="s">
        <v>1227</v>
      </c>
      <c r="E1187" s="2" t="str">
        <f t="shared" si="56"/>
        <v>Email Available</v>
      </c>
      <c r="F1187" s="2" t="s">
        <v>1228</v>
      </c>
      <c r="G1187" s="2" t="s">
        <v>3305</v>
      </c>
      <c r="H1187" s="2" t="s">
        <v>81</v>
      </c>
      <c r="I1187" s="2" t="s">
        <v>113</v>
      </c>
      <c r="J1187" s="2">
        <v>1</v>
      </c>
      <c r="K1187" s="2">
        <v>22.99</v>
      </c>
      <c r="L1187" s="2"/>
      <c r="M1187" s="2">
        <v>0</v>
      </c>
      <c r="N1187" s="2">
        <v>7.99</v>
      </c>
      <c r="O1187" s="2">
        <v>30.98</v>
      </c>
      <c r="P1187" s="2" t="s">
        <v>40</v>
      </c>
      <c r="Q1187" s="2" t="s">
        <v>90</v>
      </c>
      <c r="R1187" s="2" t="s">
        <v>99</v>
      </c>
      <c r="S1187" s="2" t="s">
        <v>30</v>
      </c>
      <c r="T1187" s="2" t="s">
        <v>31</v>
      </c>
      <c r="U1187" s="2" t="str">
        <f t="shared" si="55"/>
        <v>Valid</v>
      </c>
      <c r="V1187" s="2" t="s">
        <v>3306</v>
      </c>
    </row>
    <row r="1188" spans="1:22" hidden="1" x14ac:dyDescent="0.3">
      <c r="A1188" s="2" t="s">
        <v>3307</v>
      </c>
      <c r="B1188" s="12">
        <f t="shared" si="54"/>
        <v>46238.585945555547</v>
      </c>
      <c r="C1188" s="13">
        <v>46238.585945555547</v>
      </c>
      <c r="D1188" s="2" t="s">
        <v>1290</v>
      </c>
      <c r="E1188" s="2" t="str">
        <f t="shared" si="56"/>
        <v>Email Available</v>
      </c>
      <c r="F1188" s="2" t="s">
        <v>1291</v>
      </c>
      <c r="G1188" s="2" t="s">
        <v>187</v>
      </c>
      <c r="H1188" s="2" t="s">
        <v>37</v>
      </c>
      <c r="I1188" s="2" t="s">
        <v>188</v>
      </c>
      <c r="J1188" s="2">
        <v>1</v>
      </c>
      <c r="K1188" s="2">
        <v>11.99</v>
      </c>
      <c r="L1188" s="2" t="s">
        <v>25</v>
      </c>
      <c r="M1188" s="2">
        <v>2.4</v>
      </c>
      <c r="N1188" s="2">
        <v>5.99</v>
      </c>
      <c r="O1188" s="2">
        <v>15.58</v>
      </c>
      <c r="P1188" s="2" t="s">
        <v>27</v>
      </c>
      <c r="Q1188" s="2" t="s">
        <v>28</v>
      </c>
      <c r="R1188" s="2" t="s">
        <v>52</v>
      </c>
      <c r="S1188" s="2" t="s">
        <v>75</v>
      </c>
      <c r="T1188" s="2"/>
      <c r="U1188" s="2" t="str">
        <f t="shared" si="55"/>
        <v>Not Required</v>
      </c>
      <c r="V1188" s="2" t="s">
        <v>3308</v>
      </c>
    </row>
    <row r="1189" spans="1:22" hidden="1" x14ac:dyDescent="0.3">
      <c r="A1189" s="2" t="s">
        <v>3311</v>
      </c>
      <c r="B1189" s="12">
        <f t="shared" si="54"/>
        <v>46238.587377511583</v>
      </c>
      <c r="C1189" s="13">
        <v>46238.587377511583</v>
      </c>
      <c r="D1189" s="2" t="s">
        <v>200</v>
      </c>
      <c r="E1189" s="2" t="str">
        <f t="shared" si="56"/>
        <v>Email Available</v>
      </c>
      <c r="F1189" s="2" t="s">
        <v>201</v>
      </c>
      <c r="G1189" s="2" t="s">
        <v>105</v>
      </c>
      <c r="H1189" s="2" t="s">
        <v>106</v>
      </c>
      <c r="I1189" s="2" t="s">
        <v>107</v>
      </c>
      <c r="J1189" s="2">
        <v>1</v>
      </c>
      <c r="K1189" s="2">
        <v>19.989999999999998</v>
      </c>
      <c r="L1189" s="2" t="s">
        <v>25</v>
      </c>
      <c r="M1189" s="2">
        <v>4</v>
      </c>
      <c r="N1189" s="2">
        <v>5.99</v>
      </c>
      <c r="O1189" s="2">
        <v>21.98</v>
      </c>
      <c r="P1189" s="2" t="s">
        <v>68</v>
      </c>
      <c r="Q1189" s="2" t="s">
        <v>28</v>
      </c>
      <c r="R1189" s="2" t="s">
        <v>42</v>
      </c>
      <c r="S1189" s="2" t="s">
        <v>30</v>
      </c>
      <c r="T1189" s="2" t="s">
        <v>248</v>
      </c>
      <c r="U1189" s="2" t="str">
        <f t="shared" si="55"/>
        <v>Valid</v>
      </c>
      <c r="V1189" s="2" t="s">
        <v>3312</v>
      </c>
    </row>
    <row r="1190" spans="1:22" hidden="1" x14ac:dyDescent="0.3">
      <c r="A1190" s="2" t="s">
        <v>3313</v>
      </c>
      <c r="B1190" s="12">
        <f t="shared" si="54"/>
        <v>46238</v>
      </c>
      <c r="C1190" s="13" t="s">
        <v>1736</v>
      </c>
      <c r="D1190" s="2" t="s">
        <v>1313</v>
      </c>
      <c r="E1190" s="2" t="str">
        <f t="shared" si="56"/>
        <v>Email Available</v>
      </c>
      <c r="F1190" s="2" t="s">
        <v>1314</v>
      </c>
      <c r="G1190" s="2" t="s">
        <v>120</v>
      </c>
      <c r="H1190" s="2" t="s">
        <v>23</v>
      </c>
      <c r="I1190" s="2" t="s">
        <v>24</v>
      </c>
      <c r="J1190" s="2">
        <v>1</v>
      </c>
      <c r="K1190" s="2">
        <v>12.99</v>
      </c>
      <c r="L1190" s="2" t="s">
        <v>67</v>
      </c>
      <c r="M1190" s="2">
        <v>1.3</v>
      </c>
      <c r="N1190" s="2">
        <v>7.99</v>
      </c>
      <c r="O1190" s="2">
        <v>19.68</v>
      </c>
      <c r="P1190" s="2" t="s">
        <v>40</v>
      </c>
      <c r="Q1190" s="2" t="s">
        <v>114</v>
      </c>
      <c r="R1190" s="2" t="s">
        <v>52</v>
      </c>
      <c r="S1190" s="2" t="s">
        <v>30</v>
      </c>
      <c r="T1190" s="2" t="s">
        <v>766</v>
      </c>
      <c r="U1190" s="2" t="str">
        <f t="shared" si="55"/>
        <v>Valid</v>
      </c>
      <c r="V1190" s="2" t="s">
        <v>3314</v>
      </c>
    </row>
    <row r="1191" spans="1:22" hidden="1" x14ac:dyDescent="0.3">
      <c r="A1191" s="2" t="s">
        <v>3315</v>
      </c>
      <c r="B1191" s="12">
        <f t="shared" si="54"/>
        <v>46238.586208530091</v>
      </c>
      <c r="C1191" s="13">
        <v>46238.586208530091</v>
      </c>
      <c r="D1191" s="2" t="s">
        <v>3316</v>
      </c>
      <c r="E1191" s="2" t="str">
        <f t="shared" si="56"/>
        <v>Email Available</v>
      </c>
      <c r="F1191" s="2" t="s">
        <v>3317</v>
      </c>
      <c r="G1191" s="2" t="s">
        <v>1779</v>
      </c>
      <c r="H1191" s="2" t="s">
        <v>49</v>
      </c>
      <c r="I1191" s="2" t="s">
        <v>66</v>
      </c>
      <c r="J1191" s="2">
        <v>1</v>
      </c>
      <c r="K1191" s="2">
        <v>14.99</v>
      </c>
      <c r="L1191" s="2"/>
      <c r="M1191" s="2">
        <v>0</v>
      </c>
      <c r="N1191" s="2">
        <v>5.99</v>
      </c>
      <c r="O1191" s="2">
        <v>20.98</v>
      </c>
      <c r="P1191" s="2" t="s">
        <v>74</v>
      </c>
      <c r="Q1191" s="2" t="s">
        <v>28</v>
      </c>
      <c r="R1191" s="2" t="s">
        <v>52</v>
      </c>
      <c r="S1191" s="2" t="s">
        <v>228</v>
      </c>
      <c r="T1191" s="2"/>
      <c r="U1191" s="2" t="str">
        <f t="shared" si="55"/>
        <v>Not Required</v>
      </c>
      <c r="V1191" s="2" t="s">
        <v>3318</v>
      </c>
    </row>
    <row r="1192" spans="1:22" hidden="1" x14ac:dyDescent="0.3">
      <c r="A1192" s="2" t="s">
        <v>3319</v>
      </c>
      <c r="B1192" s="12">
        <f t="shared" si="54"/>
        <v>46238.585599270831</v>
      </c>
      <c r="C1192" s="13">
        <v>46238.585599270831</v>
      </c>
      <c r="D1192" s="2" t="s">
        <v>416</v>
      </c>
      <c r="E1192" s="2" t="str">
        <f t="shared" si="56"/>
        <v>Email Available</v>
      </c>
      <c r="F1192" s="2" t="s">
        <v>417</v>
      </c>
      <c r="G1192" s="2" t="s">
        <v>226</v>
      </c>
      <c r="H1192" s="2" t="s">
        <v>23</v>
      </c>
      <c r="I1192" s="2" t="s">
        <v>227</v>
      </c>
      <c r="J1192" s="2">
        <v>3</v>
      </c>
      <c r="K1192" s="2">
        <v>17.989999999999998</v>
      </c>
      <c r="L1192" s="2"/>
      <c r="M1192" s="2">
        <v>0</v>
      </c>
      <c r="N1192" s="2">
        <v>7.99</v>
      </c>
      <c r="O1192" s="2">
        <v>61.96</v>
      </c>
      <c r="P1192" s="2" t="s">
        <v>40</v>
      </c>
      <c r="Q1192" s="2" t="s">
        <v>28</v>
      </c>
      <c r="R1192" s="2" t="s">
        <v>42</v>
      </c>
      <c r="S1192" s="2" t="s">
        <v>43</v>
      </c>
      <c r="T1192" s="2"/>
      <c r="U1192" s="2" t="str">
        <f t="shared" si="55"/>
        <v>Not Required</v>
      </c>
      <c r="V1192" s="2" t="s">
        <v>3320</v>
      </c>
    </row>
    <row r="1193" spans="1:22" hidden="1" x14ac:dyDescent="0.3">
      <c r="A1193" s="2" t="s">
        <v>3321</v>
      </c>
      <c r="B1193" s="12">
        <f t="shared" si="54"/>
        <v>46238.583372233799</v>
      </c>
      <c r="C1193" s="13">
        <v>46238.583372233799</v>
      </c>
      <c r="D1193" s="2" t="s">
        <v>424</v>
      </c>
      <c r="E1193" s="2" t="str">
        <f t="shared" si="56"/>
        <v>Email Available</v>
      </c>
      <c r="F1193" s="2" t="s">
        <v>425</v>
      </c>
      <c r="G1193" s="2" t="s">
        <v>65</v>
      </c>
      <c r="H1193" s="2" t="s">
        <v>49</v>
      </c>
      <c r="I1193" s="2" t="s">
        <v>453</v>
      </c>
      <c r="J1193" s="2">
        <v>1</v>
      </c>
      <c r="K1193" s="2">
        <v>14.99</v>
      </c>
      <c r="L1193" s="2" t="s">
        <v>67</v>
      </c>
      <c r="M1193" s="2">
        <v>1.5</v>
      </c>
      <c r="N1193" s="2">
        <v>7.99</v>
      </c>
      <c r="O1193" s="2">
        <v>21.48</v>
      </c>
      <c r="P1193" s="2" t="s">
        <v>40</v>
      </c>
      <c r="Q1193" s="2" t="s">
        <v>28</v>
      </c>
      <c r="R1193" s="2" t="s">
        <v>29</v>
      </c>
      <c r="S1193" s="2" t="s">
        <v>30</v>
      </c>
      <c r="T1193" s="2" t="s">
        <v>69</v>
      </c>
      <c r="U1193" s="2" t="str">
        <f t="shared" si="55"/>
        <v>Valid</v>
      </c>
      <c r="V1193" s="2" t="s">
        <v>3322</v>
      </c>
    </row>
    <row r="1194" spans="1:22" hidden="1" x14ac:dyDescent="0.3">
      <c r="A1194" s="2" t="s">
        <v>3323</v>
      </c>
      <c r="B1194" s="12">
        <f t="shared" si="54"/>
        <v>46238.587259571759</v>
      </c>
      <c r="C1194" s="13">
        <v>46238.587259571759</v>
      </c>
      <c r="D1194" s="2" t="s">
        <v>569</v>
      </c>
      <c r="E1194" s="2" t="str">
        <f t="shared" si="56"/>
        <v>Email Available</v>
      </c>
      <c r="F1194" s="2" t="s">
        <v>570</v>
      </c>
      <c r="G1194" s="2" t="s">
        <v>48</v>
      </c>
      <c r="H1194" s="2" t="s">
        <v>49</v>
      </c>
      <c r="I1194" s="2" t="s">
        <v>50</v>
      </c>
      <c r="J1194" s="2">
        <v>2</v>
      </c>
      <c r="K1194" s="2">
        <v>39.99</v>
      </c>
      <c r="L1194" s="2" t="s">
        <v>67</v>
      </c>
      <c r="M1194" s="2">
        <v>8</v>
      </c>
      <c r="N1194" s="2">
        <v>0</v>
      </c>
      <c r="O1194" s="2">
        <v>71.98</v>
      </c>
      <c r="P1194" s="2" t="s">
        <v>27</v>
      </c>
      <c r="Q1194" s="2" t="s">
        <v>114</v>
      </c>
      <c r="R1194" s="2" t="s">
        <v>29</v>
      </c>
      <c r="S1194" s="2" t="s">
        <v>337</v>
      </c>
      <c r="T1194" s="2"/>
      <c r="U1194" s="2" t="str">
        <f t="shared" si="55"/>
        <v>Not Required</v>
      </c>
      <c r="V1194" s="2" t="s">
        <v>3324</v>
      </c>
    </row>
    <row r="1195" spans="1:22" hidden="1" x14ac:dyDescent="0.3">
      <c r="A1195" s="2" t="s">
        <v>3325</v>
      </c>
      <c r="B1195" s="12">
        <f t="shared" si="54"/>
        <v>46238.588571435183</v>
      </c>
      <c r="C1195" s="13">
        <v>46238.588571435183</v>
      </c>
      <c r="D1195" s="2" t="s">
        <v>428</v>
      </c>
      <c r="E1195" s="2" t="str">
        <f t="shared" si="56"/>
        <v>Email Available</v>
      </c>
      <c r="F1195" s="2" t="s">
        <v>429</v>
      </c>
      <c r="G1195" s="2" t="s">
        <v>120</v>
      </c>
      <c r="H1195" s="2" t="s">
        <v>23</v>
      </c>
      <c r="I1195" s="2" t="s">
        <v>24</v>
      </c>
      <c r="J1195" s="2">
        <v>1</v>
      </c>
      <c r="K1195" s="2">
        <v>12.99</v>
      </c>
      <c r="L1195" s="2" t="s">
        <v>121</v>
      </c>
      <c r="M1195" s="2">
        <v>3.25</v>
      </c>
      <c r="N1195" s="2">
        <v>7.99</v>
      </c>
      <c r="O1195" s="2">
        <v>17.73</v>
      </c>
      <c r="P1195" s="2" t="s">
        <v>74</v>
      </c>
      <c r="Q1195" s="2" t="s">
        <v>41</v>
      </c>
      <c r="R1195" s="2" t="s">
        <v>52</v>
      </c>
      <c r="S1195" s="2" t="s">
        <v>30</v>
      </c>
      <c r="T1195" s="2" t="s">
        <v>454</v>
      </c>
      <c r="U1195" s="2" t="str">
        <f t="shared" si="55"/>
        <v>Valid</v>
      </c>
      <c r="V1195" s="2" t="s">
        <v>3326</v>
      </c>
    </row>
    <row r="1196" spans="1:22" hidden="1" x14ac:dyDescent="0.3">
      <c r="A1196" s="2" t="s">
        <v>3327</v>
      </c>
      <c r="B1196" s="12">
        <f t="shared" si="54"/>
        <v>46238.581485752307</v>
      </c>
      <c r="C1196" s="13">
        <v>46238.581485752307</v>
      </c>
      <c r="D1196" s="2" t="s">
        <v>309</v>
      </c>
      <c r="E1196" s="2" t="str">
        <f t="shared" si="56"/>
        <v>Email Available</v>
      </c>
      <c r="F1196" s="2" t="s">
        <v>310</v>
      </c>
      <c r="G1196" s="2" t="s">
        <v>120</v>
      </c>
      <c r="H1196" s="2" t="s">
        <v>23</v>
      </c>
      <c r="I1196" s="2" t="s">
        <v>24</v>
      </c>
      <c r="J1196" s="2">
        <v>1</v>
      </c>
      <c r="K1196" s="2">
        <v>12.99</v>
      </c>
      <c r="L1196" s="2"/>
      <c r="M1196" s="2">
        <v>0</v>
      </c>
      <c r="N1196" s="2">
        <v>5.99</v>
      </c>
      <c r="O1196" s="2">
        <v>18.98</v>
      </c>
      <c r="P1196" s="2" t="s">
        <v>51</v>
      </c>
      <c r="Q1196" s="2" t="s">
        <v>28</v>
      </c>
      <c r="R1196" s="2" t="s">
        <v>29</v>
      </c>
      <c r="S1196" s="2" t="s">
        <v>30</v>
      </c>
      <c r="T1196" s="2" t="s">
        <v>31</v>
      </c>
      <c r="U1196" s="2" t="str">
        <f t="shared" si="55"/>
        <v>Valid</v>
      </c>
      <c r="V1196" s="2" t="s">
        <v>3328</v>
      </c>
    </row>
    <row r="1197" spans="1:22" hidden="1" x14ac:dyDescent="0.3">
      <c r="A1197" s="2" t="s">
        <v>3329</v>
      </c>
      <c r="B1197" s="12">
        <f t="shared" si="54"/>
        <v>46238.587902523148</v>
      </c>
      <c r="C1197" s="13">
        <v>46238.587902523148</v>
      </c>
      <c r="D1197" s="2" t="s">
        <v>373</v>
      </c>
      <c r="E1197" s="2" t="str">
        <f t="shared" si="56"/>
        <v>Email Available</v>
      </c>
      <c r="F1197" s="2" t="s">
        <v>374</v>
      </c>
      <c r="G1197" s="2" t="s">
        <v>226</v>
      </c>
      <c r="H1197" s="2" t="s">
        <v>23</v>
      </c>
      <c r="I1197" s="2" t="s">
        <v>227</v>
      </c>
      <c r="J1197" s="2">
        <v>1</v>
      </c>
      <c r="K1197" s="2">
        <v>17.989999999999998</v>
      </c>
      <c r="L1197" s="2" t="s">
        <v>121</v>
      </c>
      <c r="M1197" s="2">
        <v>4.5</v>
      </c>
      <c r="N1197" s="2">
        <v>4.99</v>
      </c>
      <c r="O1197" s="2">
        <v>18.48</v>
      </c>
      <c r="P1197" s="2" t="s">
        <v>27</v>
      </c>
      <c r="Q1197" s="2" t="s">
        <v>41</v>
      </c>
      <c r="R1197" s="2" t="s">
        <v>52</v>
      </c>
      <c r="S1197" s="2" t="s">
        <v>337</v>
      </c>
      <c r="T1197" s="2"/>
      <c r="U1197" s="2" t="str">
        <f t="shared" si="55"/>
        <v>Not Required</v>
      </c>
      <c r="V1197" s="2" t="s">
        <v>3330</v>
      </c>
    </row>
    <row r="1198" spans="1:22" hidden="1" x14ac:dyDescent="0.3">
      <c r="A1198" s="2" t="s">
        <v>3331</v>
      </c>
      <c r="B1198" s="12">
        <f t="shared" si="54"/>
        <v>46238.584726851848</v>
      </c>
      <c r="C1198" s="13">
        <v>46238.584726851848</v>
      </c>
      <c r="D1198" s="2" t="s">
        <v>698</v>
      </c>
      <c r="E1198" s="2" t="str">
        <f t="shared" si="56"/>
        <v>Email Available</v>
      </c>
      <c r="F1198" s="2" t="s">
        <v>699</v>
      </c>
      <c r="G1198" s="2" t="s">
        <v>272</v>
      </c>
      <c r="H1198" s="2" t="s">
        <v>23</v>
      </c>
      <c r="I1198" s="2" t="s">
        <v>273</v>
      </c>
      <c r="J1198" s="2">
        <v>1</v>
      </c>
      <c r="K1198" s="2">
        <v>18.989999999999998</v>
      </c>
      <c r="L1198" s="2"/>
      <c r="M1198" s="2">
        <v>0</v>
      </c>
      <c r="N1198" s="2">
        <v>7.99</v>
      </c>
      <c r="O1198" s="2">
        <v>26.98</v>
      </c>
      <c r="P1198" s="2" t="s">
        <v>74</v>
      </c>
      <c r="Q1198" s="2" t="s">
        <v>114</v>
      </c>
      <c r="R1198" s="2" t="s">
        <v>99</v>
      </c>
      <c r="S1198" s="2" t="s">
        <v>30</v>
      </c>
      <c r="T1198" s="2" t="s">
        <v>248</v>
      </c>
      <c r="U1198" s="2" t="str">
        <f t="shared" si="55"/>
        <v>Valid</v>
      </c>
      <c r="V1198" s="2" t="s">
        <v>3332</v>
      </c>
    </row>
    <row r="1199" spans="1:22" hidden="1" x14ac:dyDescent="0.3">
      <c r="A1199" s="2" t="s">
        <v>3333</v>
      </c>
      <c r="B1199" s="12">
        <f t="shared" si="54"/>
        <v>46238.581520868058</v>
      </c>
      <c r="C1199" s="13">
        <v>46238.581520868058</v>
      </c>
      <c r="D1199" s="2" t="s">
        <v>218</v>
      </c>
      <c r="E1199" s="2" t="str">
        <f t="shared" si="56"/>
        <v>Email Available</v>
      </c>
      <c r="F1199" s="2" t="s">
        <v>219</v>
      </c>
      <c r="G1199" s="2" t="s">
        <v>65</v>
      </c>
      <c r="H1199" s="2" t="s">
        <v>49</v>
      </c>
      <c r="I1199" s="2" t="s">
        <v>66</v>
      </c>
      <c r="J1199" s="2">
        <v>2</v>
      </c>
      <c r="K1199" s="2">
        <v>14.99</v>
      </c>
      <c r="L1199" s="2" t="s">
        <v>67</v>
      </c>
      <c r="M1199" s="2">
        <v>3</v>
      </c>
      <c r="N1199" s="2">
        <v>7.99</v>
      </c>
      <c r="O1199" s="2" t="s">
        <v>3334</v>
      </c>
      <c r="P1199" s="2" t="s">
        <v>68</v>
      </c>
      <c r="Q1199" s="2" t="s">
        <v>28</v>
      </c>
      <c r="R1199" s="2" t="s">
        <v>29</v>
      </c>
      <c r="S1199" s="2" t="s">
        <v>30</v>
      </c>
      <c r="T1199" s="2" t="s">
        <v>115</v>
      </c>
      <c r="U1199" s="2" t="str">
        <f t="shared" si="55"/>
        <v>Valid</v>
      </c>
      <c r="V1199" s="2" t="s">
        <v>3335</v>
      </c>
    </row>
    <row r="1200" spans="1:22" hidden="1" x14ac:dyDescent="0.3">
      <c r="A1200" s="2" t="s">
        <v>3336</v>
      </c>
      <c r="B1200" s="12">
        <f t="shared" si="54"/>
        <v>46238.584825740742</v>
      </c>
      <c r="C1200" s="13">
        <v>46238.584825740742</v>
      </c>
      <c r="D1200" s="2" t="s">
        <v>448</v>
      </c>
      <c r="E1200" s="2" t="str">
        <f t="shared" si="56"/>
        <v>Email Available</v>
      </c>
      <c r="F1200" s="2" t="s">
        <v>449</v>
      </c>
      <c r="G1200" s="2" t="s">
        <v>226</v>
      </c>
      <c r="H1200" s="2" t="s">
        <v>23</v>
      </c>
      <c r="I1200" s="2" t="s">
        <v>227</v>
      </c>
      <c r="J1200" s="2">
        <v>1</v>
      </c>
      <c r="K1200" s="2">
        <v>17.989999999999998</v>
      </c>
      <c r="L1200" s="2"/>
      <c r="M1200" s="2">
        <v>0</v>
      </c>
      <c r="N1200" s="2">
        <v>7.99</v>
      </c>
      <c r="O1200" s="2">
        <v>25.98</v>
      </c>
      <c r="P1200" s="2" t="s">
        <v>74</v>
      </c>
      <c r="Q1200" s="2" t="s">
        <v>90</v>
      </c>
      <c r="R1200" s="2" t="s">
        <v>52</v>
      </c>
      <c r="S1200" s="2" t="s">
        <v>30</v>
      </c>
      <c r="T1200" s="2" t="s">
        <v>1135</v>
      </c>
      <c r="U1200" s="2" t="str">
        <f t="shared" si="55"/>
        <v>Valid</v>
      </c>
      <c r="V1200" s="2" t="s">
        <v>3337</v>
      </c>
    </row>
    <row r="1201" spans="1:22" hidden="1" x14ac:dyDescent="0.3">
      <c r="A1201" s="2" t="s">
        <v>3338</v>
      </c>
      <c r="B1201" s="12">
        <f t="shared" si="54"/>
        <v>46238.588127233787</v>
      </c>
      <c r="C1201" s="13">
        <v>46238.588127233787</v>
      </c>
      <c r="D1201" s="2" t="s">
        <v>1721</v>
      </c>
      <c r="E1201" s="2" t="str">
        <f t="shared" si="56"/>
        <v>Email Available</v>
      </c>
      <c r="F1201" s="2" t="s">
        <v>606</v>
      </c>
      <c r="G1201" s="2" t="s">
        <v>368</v>
      </c>
      <c r="H1201" s="2" t="s">
        <v>88</v>
      </c>
      <c r="I1201" s="2" t="s">
        <v>369</v>
      </c>
      <c r="J1201" s="2">
        <v>2</v>
      </c>
      <c r="K1201" s="2">
        <v>54.99</v>
      </c>
      <c r="L1201" s="2" t="s">
        <v>39</v>
      </c>
      <c r="M1201" s="2">
        <v>0</v>
      </c>
      <c r="N1201" s="2">
        <v>0</v>
      </c>
      <c r="O1201" s="2" t="s">
        <v>3339</v>
      </c>
      <c r="P1201" s="2" t="s">
        <v>68</v>
      </c>
      <c r="Q1201" s="2" t="s">
        <v>114</v>
      </c>
      <c r="R1201" s="2" t="s">
        <v>52</v>
      </c>
      <c r="S1201" s="2" t="s">
        <v>30</v>
      </c>
      <c r="T1201" s="2" t="s">
        <v>766</v>
      </c>
      <c r="U1201" s="2" t="str">
        <f t="shared" si="55"/>
        <v>Valid</v>
      </c>
      <c r="V1201" s="2" t="s">
        <v>3340</v>
      </c>
    </row>
    <row r="1202" spans="1:22" hidden="1" x14ac:dyDescent="0.3">
      <c r="A1202" s="2" t="s">
        <v>3341</v>
      </c>
      <c r="B1202" s="12">
        <f t="shared" si="54"/>
        <v>46238.581305162043</v>
      </c>
      <c r="C1202" s="13">
        <v>46238.581305162043</v>
      </c>
      <c r="D1202" s="2" t="s">
        <v>1645</v>
      </c>
      <c r="E1202" s="2" t="str">
        <f t="shared" si="56"/>
        <v>Email Available</v>
      </c>
      <c r="F1202" s="2" t="s">
        <v>1553</v>
      </c>
      <c r="G1202" s="2" t="s">
        <v>284</v>
      </c>
      <c r="H1202" s="2" t="s">
        <v>23</v>
      </c>
      <c r="I1202" s="2" t="s">
        <v>285</v>
      </c>
      <c r="J1202" s="2">
        <v>1</v>
      </c>
      <c r="K1202" s="2">
        <v>24.99</v>
      </c>
      <c r="L1202" s="2"/>
      <c r="M1202" s="2">
        <v>0</v>
      </c>
      <c r="N1202" s="2">
        <v>4.99</v>
      </c>
      <c r="O1202" s="2" t="s">
        <v>2244</v>
      </c>
      <c r="P1202" s="2" t="s">
        <v>51</v>
      </c>
      <c r="Q1202" s="2" t="s">
        <v>41</v>
      </c>
      <c r="R1202" s="2" t="s">
        <v>99</v>
      </c>
      <c r="S1202" s="2" t="s">
        <v>75</v>
      </c>
      <c r="T1202" s="2"/>
      <c r="U1202" s="2" t="str">
        <f t="shared" si="55"/>
        <v>Not Required</v>
      </c>
      <c r="V1202" s="2" t="s">
        <v>3342</v>
      </c>
    </row>
    <row r="1203" spans="1:22" hidden="1" x14ac:dyDescent="0.3">
      <c r="A1203" s="2" t="s">
        <v>3343</v>
      </c>
      <c r="B1203" s="12">
        <f t="shared" si="54"/>
        <v>46238.58055003472</v>
      </c>
      <c r="C1203" s="13">
        <v>46238.58055003472</v>
      </c>
      <c r="D1203" s="2" t="s">
        <v>1616</v>
      </c>
      <c r="E1203" s="2" t="str">
        <f t="shared" si="56"/>
        <v>Email Available</v>
      </c>
      <c r="F1203" s="2" t="s">
        <v>1617</v>
      </c>
      <c r="G1203" s="2" t="s">
        <v>65</v>
      </c>
      <c r="H1203" s="2" t="s">
        <v>49</v>
      </c>
      <c r="I1203" s="2" t="s">
        <v>66</v>
      </c>
      <c r="J1203" s="2">
        <v>1</v>
      </c>
      <c r="K1203" s="2">
        <v>14.99</v>
      </c>
      <c r="L1203" s="2" t="s">
        <v>25</v>
      </c>
      <c r="M1203" s="2">
        <v>3</v>
      </c>
      <c r="N1203" s="2">
        <v>4.99</v>
      </c>
      <c r="O1203" s="2">
        <v>16.98</v>
      </c>
      <c r="P1203" s="2" t="s">
        <v>40</v>
      </c>
      <c r="Q1203" s="2" t="s">
        <v>28</v>
      </c>
      <c r="R1203" s="2" t="s">
        <v>99</v>
      </c>
      <c r="S1203" s="2" t="s">
        <v>75</v>
      </c>
      <c r="T1203" s="2"/>
      <c r="U1203" s="2" t="str">
        <f t="shared" si="55"/>
        <v>Not Required</v>
      </c>
      <c r="V1203" s="2" t="s">
        <v>3344</v>
      </c>
    </row>
    <row r="1204" spans="1:22" hidden="1" x14ac:dyDescent="0.3">
      <c r="A1204" s="2" t="s">
        <v>3345</v>
      </c>
      <c r="B1204" s="12">
        <f t="shared" si="54"/>
        <v>46238.580757384261</v>
      </c>
      <c r="C1204" s="13">
        <v>46238.580757384261</v>
      </c>
      <c r="D1204" s="2" t="s">
        <v>3346</v>
      </c>
      <c r="E1204" s="2" t="str">
        <f t="shared" si="56"/>
        <v>Email Available</v>
      </c>
      <c r="F1204" s="2" t="s">
        <v>745</v>
      </c>
      <c r="G1204" s="2" t="s">
        <v>120</v>
      </c>
      <c r="H1204" s="2" t="s">
        <v>23</v>
      </c>
      <c r="I1204" s="2" t="s">
        <v>24</v>
      </c>
      <c r="J1204" s="2">
        <v>2</v>
      </c>
      <c r="K1204" s="2">
        <v>12.99</v>
      </c>
      <c r="L1204" s="2"/>
      <c r="M1204" s="2">
        <v>0</v>
      </c>
      <c r="N1204" s="2">
        <v>5.99</v>
      </c>
      <c r="O1204" s="2">
        <v>31.97</v>
      </c>
      <c r="P1204" s="2" t="s">
        <v>74</v>
      </c>
      <c r="Q1204" s="2" t="s">
        <v>41</v>
      </c>
      <c r="R1204" s="2" t="s">
        <v>29</v>
      </c>
      <c r="S1204" s="2" t="s">
        <v>30</v>
      </c>
      <c r="T1204" s="2" t="s">
        <v>69</v>
      </c>
      <c r="U1204" s="2" t="str">
        <f t="shared" si="55"/>
        <v>Valid</v>
      </c>
      <c r="V1204" s="2" t="s">
        <v>1185</v>
      </c>
    </row>
    <row r="1205" spans="1:22" hidden="1" x14ac:dyDescent="0.3">
      <c r="A1205" s="2" t="s">
        <v>3347</v>
      </c>
      <c r="B1205" s="12">
        <f t="shared" si="54"/>
        <v>46238.579477708343</v>
      </c>
      <c r="C1205" s="13">
        <v>46238.579477708343</v>
      </c>
      <c r="D1205" s="2" t="s">
        <v>621</v>
      </c>
      <c r="E1205" s="2" t="str">
        <f t="shared" si="56"/>
        <v>Email Available</v>
      </c>
      <c r="F1205" s="2" t="s">
        <v>622</v>
      </c>
      <c r="G1205" s="2" t="s">
        <v>48</v>
      </c>
      <c r="H1205" s="2" t="s">
        <v>49</v>
      </c>
      <c r="I1205" s="2" t="s">
        <v>50</v>
      </c>
      <c r="J1205" s="2">
        <v>1</v>
      </c>
      <c r="K1205" s="2">
        <v>39.99</v>
      </c>
      <c r="L1205" s="2" t="s">
        <v>39</v>
      </c>
      <c r="M1205" s="2">
        <v>0</v>
      </c>
      <c r="N1205" s="2">
        <v>0</v>
      </c>
      <c r="O1205" s="2">
        <v>39.99</v>
      </c>
      <c r="P1205" s="2" t="s">
        <v>40</v>
      </c>
      <c r="Q1205" s="2" t="s">
        <v>28</v>
      </c>
      <c r="R1205" s="2" t="s">
        <v>52</v>
      </c>
      <c r="S1205" s="2" t="s">
        <v>30</v>
      </c>
      <c r="T1205" s="2" t="s">
        <v>454</v>
      </c>
      <c r="U1205" s="2" t="str">
        <f t="shared" si="55"/>
        <v>Valid</v>
      </c>
      <c r="V1205" s="2" t="s">
        <v>3348</v>
      </c>
    </row>
    <row r="1206" spans="1:22" hidden="1" x14ac:dyDescent="0.3">
      <c r="A1206" s="2" t="s">
        <v>3349</v>
      </c>
      <c r="B1206" s="12">
        <f t="shared" si="54"/>
        <v>46238.582250243053</v>
      </c>
      <c r="C1206" s="13">
        <v>46238.582250243053</v>
      </c>
      <c r="D1206" s="2" t="s">
        <v>3350</v>
      </c>
      <c r="E1206" s="2" t="str">
        <f t="shared" si="56"/>
        <v>Email Available</v>
      </c>
      <c r="F1206" s="2" t="s">
        <v>1393</v>
      </c>
      <c r="G1206" s="2" t="s">
        <v>65</v>
      </c>
      <c r="H1206" s="2" t="s">
        <v>49</v>
      </c>
      <c r="I1206" s="2" t="s">
        <v>453</v>
      </c>
      <c r="J1206" s="2">
        <v>1</v>
      </c>
      <c r="K1206" s="2">
        <v>14.99</v>
      </c>
      <c r="L1206" s="2" t="s">
        <v>39</v>
      </c>
      <c r="M1206" s="2">
        <v>0</v>
      </c>
      <c r="N1206" s="2">
        <v>0</v>
      </c>
      <c r="O1206" s="2">
        <v>14.99</v>
      </c>
      <c r="P1206" s="2" t="s">
        <v>74</v>
      </c>
      <c r="Q1206" s="2" t="s">
        <v>28</v>
      </c>
      <c r="R1206" s="2" t="s">
        <v>42</v>
      </c>
      <c r="S1206" s="2" t="s">
        <v>228</v>
      </c>
      <c r="T1206" s="2"/>
      <c r="U1206" s="2" t="str">
        <f t="shared" si="55"/>
        <v>Not Required</v>
      </c>
      <c r="V1206" s="2" t="s">
        <v>3351</v>
      </c>
    </row>
    <row r="1207" spans="1:22" hidden="1" x14ac:dyDescent="0.3">
      <c r="A1207" s="2" t="s">
        <v>3352</v>
      </c>
      <c r="B1207" s="12">
        <f t="shared" si="54"/>
        <v>46238</v>
      </c>
      <c r="C1207" s="13" t="s">
        <v>1209</v>
      </c>
      <c r="D1207" s="2" t="s">
        <v>211</v>
      </c>
      <c r="E1207" s="2" t="str">
        <f t="shared" si="56"/>
        <v>Email Available</v>
      </c>
      <c r="F1207" s="2" t="s">
        <v>212</v>
      </c>
      <c r="G1207" s="2" t="s">
        <v>151</v>
      </c>
      <c r="H1207" s="2" t="s">
        <v>49</v>
      </c>
      <c r="I1207" s="2" t="s">
        <v>152</v>
      </c>
      <c r="J1207" s="2">
        <v>1</v>
      </c>
      <c r="K1207" s="2" t="s">
        <v>346</v>
      </c>
      <c r="L1207" s="2" t="s">
        <v>39</v>
      </c>
      <c r="M1207" s="2">
        <v>0</v>
      </c>
      <c r="N1207" s="2">
        <v>0</v>
      </c>
      <c r="O1207" s="2">
        <v>34.99</v>
      </c>
      <c r="P1207" s="2" t="s">
        <v>40</v>
      </c>
      <c r="Q1207" s="2" t="s">
        <v>114</v>
      </c>
      <c r="R1207" s="2" t="s">
        <v>52</v>
      </c>
      <c r="S1207" s="2" t="s">
        <v>108</v>
      </c>
      <c r="T1207" s="2"/>
      <c r="U1207" s="2" t="str">
        <f t="shared" si="55"/>
        <v>Not Required</v>
      </c>
      <c r="V1207" s="2" t="s">
        <v>3353</v>
      </c>
    </row>
    <row r="1208" spans="1:22" hidden="1" x14ac:dyDescent="0.3">
      <c r="A1208" s="2" t="s">
        <v>3354</v>
      </c>
      <c r="B1208" s="12">
        <f t="shared" si="54"/>
        <v>46238.58383009259</v>
      </c>
      <c r="C1208" s="13">
        <v>46238.58383009259</v>
      </c>
      <c r="D1208" s="2" t="s">
        <v>748</v>
      </c>
      <c r="E1208" s="2" t="str">
        <f t="shared" si="56"/>
        <v>Email Available</v>
      </c>
      <c r="F1208" s="2" t="s">
        <v>749</v>
      </c>
      <c r="G1208" s="2" t="s">
        <v>3355</v>
      </c>
      <c r="H1208" s="2" t="s">
        <v>37</v>
      </c>
      <c r="I1208" s="2" t="s">
        <v>267</v>
      </c>
      <c r="J1208" s="2">
        <v>2</v>
      </c>
      <c r="K1208" s="2">
        <v>15.49</v>
      </c>
      <c r="L1208" s="2"/>
      <c r="M1208" s="2">
        <v>0</v>
      </c>
      <c r="N1208" s="2">
        <v>7.99</v>
      </c>
      <c r="O1208" s="2">
        <v>38.97</v>
      </c>
      <c r="P1208" s="2" t="s">
        <v>68</v>
      </c>
      <c r="Q1208" s="2" t="s">
        <v>114</v>
      </c>
      <c r="R1208" s="2" t="s">
        <v>99</v>
      </c>
      <c r="S1208" s="2" t="s">
        <v>108</v>
      </c>
      <c r="T1208" s="2"/>
      <c r="U1208" s="2" t="str">
        <f t="shared" si="55"/>
        <v>Not Required</v>
      </c>
      <c r="V1208" s="2" t="s">
        <v>3356</v>
      </c>
    </row>
    <row r="1209" spans="1:22" hidden="1" x14ac:dyDescent="0.3">
      <c r="A1209" s="2" t="s">
        <v>3357</v>
      </c>
      <c r="B1209" s="12">
        <f t="shared" si="54"/>
        <v>46238.589183715281</v>
      </c>
      <c r="C1209" s="13">
        <v>46238.589183715281</v>
      </c>
      <c r="D1209" s="2" t="s">
        <v>3358</v>
      </c>
      <c r="E1209" s="2" t="str">
        <f t="shared" si="56"/>
        <v>Email Available</v>
      </c>
      <c r="F1209" s="2" t="s">
        <v>3359</v>
      </c>
      <c r="G1209" s="2" t="s">
        <v>315</v>
      </c>
      <c r="H1209" s="2" t="s">
        <v>37</v>
      </c>
      <c r="I1209" s="2" t="s">
        <v>316</v>
      </c>
      <c r="J1209" s="2">
        <v>1</v>
      </c>
      <c r="K1209" s="2">
        <v>8.99</v>
      </c>
      <c r="L1209" s="2" t="s">
        <v>67</v>
      </c>
      <c r="M1209" s="2">
        <v>0.9</v>
      </c>
      <c r="N1209" s="2">
        <v>4.99</v>
      </c>
      <c r="O1209" s="2">
        <v>13.08</v>
      </c>
      <c r="P1209" s="2" t="s">
        <v>27</v>
      </c>
      <c r="Q1209" s="2" t="s">
        <v>114</v>
      </c>
      <c r="R1209" s="2" t="s">
        <v>52</v>
      </c>
      <c r="S1209" s="2" t="s">
        <v>30</v>
      </c>
      <c r="T1209" s="2" t="s">
        <v>53</v>
      </c>
      <c r="U1209" s="2" t="str">
        <f t="shared" si="55"/>
        <v>Valid</v>
      </c>
      <c r="V1209" s="2" t="s">
        <v>3360</v>
      </c>
    </row>
    <row r="1210" spans="1:22" x14ac:dyDescent="0.3">
      <c r="A1210" s="2" t="s">
        <v>3361</v>
      </c>
      <c r="B1210" s="12">
        <f t="shared" si="54"/>
        <v>46238.58072510417</v>
      </c>
      <c r="C1210" s="13">
        <v>46238.58072510417</v>
      </c>
      <c r="D1210" s="2" t="s">
        <v>2055</v>
      </c>
      <c r="E1210" s="2" t="str">
        <f t="shared" si="56"/>
        <v>Missing Email</v>
      </c>
      <c r="F1210" s="2"/>
      <c r="G1210" s="2" t="s">
        <v>241</v>
      </c>
      <c r="H1210" s="2" t="s">
        <v>242</v>
      </c>
      <c r="I1210" s="2" t="s">
        <v>243</v>
      </c>
      <c r="J1210" s="2">
        <v>1</v>
      </c>
      <c r="K1210" s="2">
        <v>27.99</v>
      </c>
      <c r="L1210" s="2"/>
      <c r="M1210" s="2">
        <v>0</v>
      </c>
      <c r="N1210" s="2">
        <v>5.99</v>
      </c>
      <c r="O1210" s="2">
        <v>33.979999999999997</v>
      </c>
      <c r="P1210" s="2" t="s">
        <v>51</v>
      </c>
      <c r="Q1210" s="2" t="s">
        <v>114</v>
      </c>
      <c r="R1210" s="2" t="s">
        <v>52</v>
      </c>
      <c r="S1210" s="2" t="s">
        <v>30</v>
      </c>
      <c r="T1210" s="2" t="s">
        <v>91</v>
      </c>
      <c r="U1210" s="2" t="str">
        <f t="shared" si="55"/>
        <v>Valid</v>
      </c>
      <c r="V1210" s="2" t="s">
        <v>3362</v>
      </c>
    </row>
    <row r="1211" spans="1:22" x14ac:dyDescent="0.3">
      <c r="A1211" s="2" t="s">
        <v>3363</v>
      </c>
      <c r="B1211" s="12">
        <f t="shared" ref="B1211:B1274" si="57">IF(ISNUMBER(C1211),C1211,DATEVALUE(SUBSTITUTE(TRIM(C1211),CHAR(160)," ")))</f>
        <v>46238.582149965281</v>
      </c>
      <c r="C1211" s="13">
        <v>46238.582149965281</v>
      </c>
      <c r="D1211" s="2" t="s">
        <v>685</v>
      </c>
      <c r="E1211" s="2" t="str">
        <f t="shared" si="56"/>
        <v>Missing Email</v>
      </c>
      <c r="F1211" s="2"/>
      <c r="G1211" s="2" t="s">
        <v>315</v>
      </c>
      <c r="H1211" s="2" t="s">
        <v>37</v>
      </c>
      <c r="I1211" s="2" t="s">
        <v>316</v>
      </c>
      <c r="J1211" s="2">
        <v>1</v>
      </c>
      <c r="K1211" s="2">
        <v>8.99</v>
      </c>
      <c r="L1211" s="2" t="s">
        <v>39</v>
      </c>
      <c r="M1211" s="2">
        <v>0</v>
      </c>
      <c r="N1211" s="2">
        <v>0</v>
      </c>
      <c r="O1211" s="2">
        <v>8.99</v>
      </c>
      <c r="P1211" s="2" t="s">
        <v>40</v>
      </c>
      <c r="Q1211" s="2" t="s">
        <v>28</v>
      </c>
      <c r="R1211" s="2" t="s">
        <v>52</v>
      </c>
      <c r="S1211" s="2" t="s">
        <v>30</v>
      </c>
      <c r="T1211" s="2" t="s">
        <v>115</v>
      </c>
      <c r="U1211" s="2" t="str">
        <f t="shared" ref="U1211:U1274" si="58">IF(AND(S1211="United States",T1211=""),"Missing state",IF(T1211="","Not Required","Valid"))</f>
        <v>Valid</v>
      </c>
      <c r="V1211" s="2" t="s">
        <v>3066</v>
      </c>
    </row>
    <row r="1212" spans="1:22" hidden="1" x14ac:dyDescent="0.3">
      <c r="A1212" s="2" t="s">
        <v>3364</v>
      </c>
      <c r="B1212" s="12">
        <f t="shared" si="57"/>
        <v>46238.57971046296</v>
      </c>
      <c r="C1212" s="13">
        <v>46238.57971046296</v>
      </c>
      <c r="D1212" s="2" t="s">
        <v>1280</v>
      </c>
      <c r="E1212" s="2" t="str">
        <f t="shared" si="56"/>
        <v>Email Available</v>
      </c>
      <c r="F1212" s="2" t="s">
        <v>1281</v>
      </c>
      <c r="G1212" s="2" t="s">
        <v>195</v>
      </c>
      <c r="H1212" s="2" t="s">
        <v>196</v>
      </c>
      <c r="I1212" s="2" t="s">
        <v>197</v>
      </c>
      <c r="J1212" s="2">
        <v>2</v>
      </c>
      <c r="K1212" s="2">
        <v>13.49</v>
      </c>
      <c r="L1212" s="2"/>
      <c r="M1212" s="2">
        <v>0</v>
      </c>
      <c r="N1212" s="2">
        <v>4.99</v>
      </c>
      <c r="O1212" s="2">
        <v>31.97</v>
      </c>
      <c r="P1212" s="2" t="s">
        <v>74</v>
      </c>
      <c r="Q1212" s="2" t="s">
        <v>28</v>
      </c>
      <c r="R1212" s="2" t="s">
        <v>52</v>
      </c>
      <c r="S1212" s="2" t="s">
        <v>337</v>
      </c>
      <c r="T1212" s="2"/>
      <c r="U1212" s="2" t="str">
        <f t="shared" si="58"/>
        <v>Not Required</v>
      </c>
      <c r="V1212" s="2" t="s">
        <v>3365</v>
      </c>
    </row>
    <row r="1213" spans="1:22" x14ac:dyDescent="0.3">
      <c r="A1213" s="2" t="s">
        <v>3366</v>
      </c>
      <c r="B1213" s="12">
        <f t="shared" si="57"/>
        <v>46238.584593425927</v>
      </c>
      <c r="C1213" s="13">
        <v>46238.584593425927</v>
      </c>
      <c r="D1213" s="2" t="s">
        <v>2954</v>
      </c>
      <c r="E1213" s="2" t="str">
        <f t="shared" si="56"/>
        <v>Missing Email</v>
      </c>
      <c r="F1213" s="2"/>
      <c r="G1213" s="2" t="s">
        <v>105</v>
      </c>
      <c r="H1213" s="2" t="s">
        <v>106</v>
      </c>
      <c r="I1213" s="2" t="s">
        <v>107</v>
      </c>
      <c r="J1213" s="2">
        <v>2</v>
      </c>
      <c r="K1213" s="2">
        <v>19.989999999999998</v>
      </c>
      <c r="L1213" s="2" t="s">
        <v>121</v>
      </c>
      <c r="M1213" s="2">
        <v>9.99</v>
      </c>
      <c r="N1213" s="2">
        <v>7.99</v>
      </c>
      <c r="O1213" s="2">
        <v>37.979999999999997</v>
      </c>
      <c r="P1213" s="2" t="s">
        <v>40</v>
      </c>
      <c r="Q1213" s="2" t="s">
        <v>114</v>
      </c>
      <c r="R1213" s="2" t="s">
        <v>99</v>
      </c>
      <c r="S1213" s="2" t="s">
        <v>43</v>
      </c>
      <c r="T1213" s="2"/>
      <c r="U1213" s="2" t="str">
        <f t="shared" si="58"/>
        <v>Not Required</v>
      </c>
      <c r="V1213" s="2" t="s">
        <v>3367</v>
      </c>
    </row>
    <row r="1214" spans="1:22" hidden="1" x14ac:dyDescent="0.3">
      <c r="A1214" s="2" t="s">
        <v>3368</v>
      </c>
      <c r="B1214" s="12">
        <f t="shared" si="57"/>
        <v>46238.585826666669</v>
      </c>
      <c r="C1214" s="13">
        <v>46238.585826666669</v>
      </c>
      <c r="D1214" s="2" t="s">
        <v>1645</v>
      </c>
      <c r="E1214" s="2" t="str">
        <f t="shared" si="56"/>
        <v>Email Available</v>
      </c>
      <c r="F1214" s="2" t="s">
        <v>1553</v>
      </c>
      <c r="G1214" s="2" t="s">
        <v>226</v>
      </c>
      <c r="H1214" s="2" t="s">
        <v>23</v>
      </c>
      <c r="I1214" s="2" t="s">
        <v>227</v>
      </c>
      <c r="J1214" s="2">
        <v>1</v>
      </c>
      <c r="K1214" s="2">
        <v>17.989999999999998</v>
      </c>
      <c r="L1214" s="2" t="s">
        <v>39</v>
      </c>
      <c r="M1214" s="2">
        <v>0</v>
      </c>
      <c r="N1214" s="2">
        <v>0</v>
      </c>
      <c r="O1214" s="2">
        <v>17.989999999999998</v>
      </c>
      <c r="P1214" s="2" t="s">
        <v>51</v>
      </c>
      <c r="Q1214" s="2" t="s">
        <v>41</v>
      </c>
      <c r="R1214" s="2" t="s">
        <v>29</v>
      </c>
      <c r="S1214" s="2" t="s">
        <v>75</v>
      </c>
      <c r="T1214" s="2"/>
      <c r="U1214" s="2" t="str">
        <f t="shared" si="58"/>
        <v>Not Required</v>
      </c>
      <c r="V1214" s="2" t="s">
        <v>3369</v>
      </c>
    </row>
    <row r="1215" spans="1:22" x14ac:dyDescent="0.3">
      <c r="A1215" s="2" t="s">
        <v>3370</v>
      </c>
      <c r="B1215" s="12">
        <f t="shared" si="57"/>
        <v>46238.586937523149</v>
      </c>
      <c r="C1215" s="13">
        <v>46238.586937523149</v>
      </c>
      <c r="D1215" s="2" t="s">
        <v>2033</v>
      </c>
      <c r="E1215" s="2" t="str">
        <f t="shared" si="56"/>
        <v>Missing Email</v>
      </c>
      <c r="F1215" s="2"/>
      <c r="G1215" s="2" t="s">
        <v>58</v>
      </c>
      <c r="H1215" s="2" t="s">
        <v>23</v>
      </c>
      <c r="I1215" s="2" t="s">
        <v>59</v>
      </c>
      <c r="J1215" s="2">
        <v>2</v>
      </c>
      <c r="K1215" s="2">
        <v>9.99</v>
      </c>
      <c r="L1215" s="2" t="s">
        <v>39</v>
      </c>
      <c r="M1215" s="2">
        <v>0</v>
      </c>
      <c r="N1215" s="2">
        <v>0</v>
      </c>
      <c r="O1215" s="2">
        <v>19.98</v>
      </c>
      <c r="P1215" s="2" t="s">
        <v>40</v>
      </c>
      <c r="Q1215" s="2" t="s">
        <v>28</v>
      </c>
      <c r="R1215" s="2" t="s">
        <v>52</v>
      </c>
      <c r="S1215" s="2" t="s">
        <v>30</v>
      </c>
      <c r="T1215" s="2" t="s">
        <v>53</v>
      </c>
      <c r="U1215" s="2" t="str">
        <f t="shared" si="58"/>
        <v>Valid</v>
      </c>
      <c r="V1215" s="2" t="s">
        <v>3371</v>
      </c>
    </row>
    <row r="1216" spans="1:22" hidden="1" x14ac:dyDescent="0.3">
      <c r="A1216" s="2" t="s">
        <v>3372</v>
      </c>
      <c r="B1216" s="12">
        <f t="shared" si="57"/>
        <v>46238.58326028935</v>
      </c>
      <c r="C1216" s="13">
        <v>46238.58326028935</v>
      </c>
      <c r="D1216" s="2" t="s">
        <v>3373</v>
      </c>
      <c r="E1216" s="2" t="str">
        <f t="shared" si="56"/>
        <v>Email Available</v>
      </c>
      <c r="F1216" s="2" t="s">
        <v>3374</v>
      </c>
      <c r="G1216" s="2" t="s">
        <v>272</v>
      </c>
      <c r="H1216" s="2" t="s">
        <v>23</v>
      </c>
      <c r="I1216" s="2" t="s">
        <v>273</v>
      </c>
      <c r="J1216" s="2">
        <v>2</v>
      </c>
      <c r="K1216" s="2">
        <v>18.989999999999998</v>
      </c>
      <c r="L1216" s="2"/>
      <c r="M1216" s="2">
        <v>0</v>
      </c>
      <c r="N1216" s="2">
        <v>7.99</v>
      </c>
      <c r="O1216" s="2">
        <v>45.97</v>
      </c>
      <c r="P1216" s="2" t="s">
        <v>40</v>
      </c>
      <c r="Q1216" s="2" t="s">
        <v>114</v>
      </c>
      <c r="R1216" s="2" t="s">
        <v>42</v>
      </c>
      <c r="S1216" s="2" t="s">
        <v>337</v>
      </c>
      <c r="T1216" s="2"/>
      <c r="U1216" s="2" t="str">
        <f t="shared" si="58"/>
        <v>Not Required</v>
      </c>
      <c r="V1216" s="2" t="s">
        <v>3375</v>
      </c>
    </row>
    <row r="1217" spans="1:22" hidden="1" x14ac:dyDescent="0.3">
      <c r="A1217" s="2" t="s">
        <v>3376</v>
      </c>
      <c r="B1217" s="12">
        <f t="shared" si="57"/>
        <v>46238.583070983797</v>
      </c>
      <c r="C1217" s="13">
        <v>46238.583070983797</v>
      </c>
      <c r="D1217" s="2" t="s">
        <v>488</v>
      </c>
      <c r="E1217" s="2" t="str">
        <f t="shared" si="56"/>
        <v>Email Available</v>
      </c>
      <c r="F1217" s="2" t="s">
        <v>489</v>
      </c>
      <c r="G1217" s="2" t="s">
        <v>284</v>
      </c>
      <c r="H1217" s="2" t="s">
        <v>23</v>
      </c>
      <c r="I1217" s="2" t="s">
        <v>285</v>
      </c>
      <c r="J1217" s="2">
        <v>1</v>
      </c>
      <c r="K1217" s="2">
        <v>24.99</v>
      </c>
      <c r="L1217" s="2"/>
      <c r="M1217" s="2">
        <v>0</v>
      </c>
      <c r="N1217" s="2">
        <v>4.99</v>
      </c>
      <c r="O1217" s="2">
        <v>29.98</v>
      </c>
      <c r="P1217" s="2" t="s">
        <v>40</v>
      </c>
      <c r="Q1217" s="2" t="s">
        <v>114</v>
      </c>
      <c r="R1217" s="2" t="s">
        <v>52</v>
      </c>
      <c r="S1217" s="2" t="s">
        <v>30</v>
      </c>
      <c r="T1217" s="2" t="s">
        <v>31</v>
      </c>
      <c r="U1217" s="2" t="str">
        <f t="shared" si="58"/>
        <v>Valid</v>
      </c>
      <c r="V1217" s="2" t="s">
        <v>3377</v>
      </c>
    </row>
    <row r="1218" spans="1:22" hidden="1" x14ac:dyDescent="0.3">
      <c r="A1218" s="2" t="s">
        <v>3378</v>
      </c>
      <c r="B1218" s="12">
        <f t="shared" si="57"/>
        <v>46120</v>
      </c>
      <c r="C1218" s="13" t="s">
        <v>142</v>
      </c>
      <c r="D1218" s="2" t="s">
        <v>432</v>
      </c>
      <c r="E1218" s="2" t="str">
        <f t="shared" si="56"/>
        <v>Email Available</v>
      </c>
      <c r="F1218" s="2" t="s">
        <v>433</v>
      </c>
      <c r="G1218" s="2" t="s">
        <v>241</v>
      </c>
      <c r="H1218" s="2" t="s">
        <v>242</v>
      </c>
      <c r="I1218" s="2" t="s">
        <v>243</v>
      </c>
      <c r="J1218" s="2">
        <v>1</v>
      </c>
      <c r="K1218" s="2">
        <v>27.99</v>
      </c>
      <c r="L1218" s="2" t="s">
        <v>39</v>
      </c>
      <c r="M1218" s="2">
        <v>0</v>
      </c>
      <c r="N1218" s="2">
        <v>0</v>
      </c>
      <c r="O1218" s="2" t="s">
        <v>1532</v>
      </c>
      <c r="P1218" s="2" t="s">
        <v>68</v>
      </c>
      <c r="Q1218" s="2" t="s">
        <v>114</v>
      </c>
      <c r="R1218" s="2" t="s">
        <v>52</v>
      </c>
      <c r="S1218" s="2" t="s">
        <v>337</v>
      </c>
      <c r="T1218" s="2"/>
      <c r="U1218" s="2" t="str">
        <f t="shared" si="58"/>
        <v>Not Required</v>
      </c>
      <c r="V1218" s="2" t="s">
        <v>3379</v>
      </c>
    </row>
    <row r="1219" spans="1:22" hidden="1" x14ac:dyDescent="0.3">
      <c r="A1219" s="2" t="s">
        <v>3380</v>
      </c>
      <c r="B1219" s="12">
        <f t="shared" si="57"/>
        <v>46238.581500231478</v>
      </c>
      <c r="C1219" s="13">
        <v>46238.581500231478</v>
      </c>
      <c r="D1219" s="2" t="s">
        <v>3381</v>
      </c>
      <c r="E1219" s="2" t="str">
        <f t="shared" ref="E1219:E1282" si="59">IF(TRIM(F1219)="","Missing Email","Email Available")</f>
        <v>Email Available</v>
      </c>
      <c r="F1219" s="2" t="s">
        <v>3382</v>
      </c>
      <c r="G1219" s="2" t="s">
        <v>3383</v>
      </c>
      <c r="H1219" s="2" t="s">
        <v>23</v>
      </c>
      <c r="I1219" s="2" t="s">
        <v>285</v>
      </c>
      <c r="J1219" s="2">
        <v>1</v>
      </c>
      <c r="K1219" s="2">
        <v>24.99</v>
      </c>
      <c r="L1219" s="2"/>
      <c r="M1219" s="2">
        <v>0</v>
      </c>
      <c r="N1219" s="2">
        <v>5.99</v>
      </c>
      <c r="O1219" s="2">
        <v>30.98</v>
      </c>
      <c r="P1219" s="2" t="s">
        <v>27</v>
      </c>
      <c r="Q1219" s="2" t="s">
        <v>41</v>
      </c>
      <c r="R1219" s="2" t="s">
        <v>52</v>
      </c>
      <c r="S1219" s="2" t="s">
        <v>75</v>
      </c>
      <c r="T1219" s="2"/>
      <c r="U1219" s="2" t="str">
        <f t="shared" si="58"/>
        <v>Not Required</v>
      </c>
      <c r="V1219" s="2" t="s">
        <v>3384</v>
      </c>
    </row>
    <row r="1220" spans="1:22" hidden="1" x14ac:dyDescent="0.3">
      <c r="A1220" s="2" t="s">
        <v>3385</v>
      </c>
      <c r="B1220" s="12">
        <f t="shared" si="57"/>
        <v>46238.580397175923</v>
      </c>
      <c r="C1220" s="13">
        <v>46238.580397175923</v>
      </c>
      <c r="D1220" s="2" t="s">
        <v>1368</v>
      </c>
      <c r="E1220" s="2" t="str">
        <f t="shared" si="59"/>
        <v>Email Available</v>
      </c>
      <c r="F1220" s="2" t="s">
        <v>1369</v>
      </c>
      <c r="G1220" s="2" t="s">
        <v>284</v>
      </c>
      <c r="H1220" s="2" t="s">
        <v>23</v>
      </c>
      <c r="I1220" s="2" t="s">
        <v>285</v>
      </c>
      <c r="J1220" s="2">
        <v>2</v>
      </c>
      <c r="K1220" s="2">
        <v>24.99</v>
      </c>
      <c r="L1220" s="2" t="s">
        <v>25</v>
      </c>
      <c r="M1220" s="2">
        <v>10</v>
      </c>
      <c r="N1220" s="2">
        <v>5.99</v>
      </c>
      <c r="O1220" s="2">
        <v>45.97</v>
      </c>
      <c r="P1220" s="2" t="s">
        <v>40</v>
      </c>
      <c r="Q1220" s="2" t="s">
        <v>90</v>
      </c>
      <c r="R1220" s="2" t="s">
        <v>52</v>
      </c>
      <c r="S1220" s="2" t="s">
        <v>43</v>
      </c>
      <c r="T1220" s="2"/>
      <c r="U1220" s="2" t="str">
        <f t="shared" si="58"/>
        <v>Not Required</v>
      </c>
      <c r="V1220" s="2" t="s">
        <v>3386</v>
      </c>
    </row>
    <row r="1221" spans="1:22" hidden="1" x14ac:dyDescent="0.3">
      <c r="A1221" s="2" t="s">
        <v>3387</v>
      </c>
      <c r="B1221" s="12">
        <f t="shared" si="57"/>
        <v>46238.586516388888</v>
      </c>
      <c r="C1221" s="13">
        <v>46238.586516388888</v>
      </c>
      <c r="D1221" s="2" t="s">
        <v>373</v>
      </c>
      <c r="E1221" s="2" t="str">
        <f t="shared" si="59"/>
        <v>Email Available</v>
      </c>
      <c r="F1221" s="2" t="s">
        <v>374</v>
      </c>
      <c r="G1221" s="2" t="s">
        <v>157</v>
      </c>
      <c r="H1221" s="2" t="s">
        <v>37</v>
      </c>
      <c r="I1221" s="2" t="s">
        <v>158</v>
      </c>
      <c r="J1221" s="2">
        <v>2</v>
      </c>
      <c r="K1221" s="2">
        <v>29.99</v>
      </c>
      <c r="L1221" s="2"/>
      <c r="M1221" s="2">
        <v>0</v>
      </c>
      <c r="N1221" s="2">
        <v>5.99</v>
      </c>
      <c r="O1221" s="2">
        <v>65.97</v>
      </c>
      <c r="P1221" s="2" t="s">
        <v>68</v>
      </c>
      <c r="Q1221" s="2" t="s">
        <v>28</v>
      </c>
      <c r="R1221" s="2" t="s">
        <v>52</v>
      </c>
      <c r="S1221" s="2" t="s">
        <v>337</v>
      </c>
      <c r="T1221" s="2"/>
      <c r="U1221" s="2" t="str">
        <f t="shared" si="58"/>
        <v>Not Required</v>
      </c>
      <c r="V1221" s="2" t="s">
        <v>3388</v>
      </c>
    </row>
    <row r="1222" spans="1:22" hidden="1" x14ac:dyDescent="0.3">
      <c r="A1222" s="2" t="s">
        <v>3389</v>
      </c>
      <c r="B1222" s="12">
        <f t="shared" si="57"/>
        <v>46238.57889863426</v>
      </c>
      <c r="C1222" s="13">
        <v>46238.57889863426</v>
      </c>
      <c r="D1222" s="2" t="s">
        <v>769</v>
      </c>
      <c r="E1222" s="2" t="str">
        <f t="shared" si="59"/>
        <v>Email Available</v>
      </c>
      <c r="F1222" s="2" t="s">
        <v>770</v>
      </c>
      <c r="G1222" s="2" t="s">
        <v>266</v>
      </c>
      <c r="H1222" s="2" t="s">
        <v>37</v>
      </c>
      <c r="I1222" s="2" t="s">
        <v>267</v>
      </c>
      <c r="J1222" s="2">
        <v>2</v>
      </c>
      <c r="K1222" s="2">
        <v>15.49</v>
      </c>
      <c r="L1222" s="2" t="s">
        <v>25</v>
      </c>
      <c r="M1222" s="2">
        <v>6.2</v>
      </c>
      <c r="N1222" s="2">
        <v>4.99</v>
      </c>
      <c r="O1222" s="2">
        <v>29.77</v>
      </c>
      <c r="P1222" s="2" t="s">
        <v>51</v>
      </c>
      <c r="Q1222" s="2" t="s">
        <v>114</v>
      </c>
      <c r="R1222" s="2" t="s">
        <v>52</v>
      </c>
      <c r="S1222" s="2" t="s">
        <v>30</v>
      </c>
      <c r="T1222" s="2" t="s">
        <v>53</v>
      </c>
      <c r="U1222" s="2" t="str">
        <f t="shared" si="58"/>
        <v>Valid</v>
      </c>
      <c r="V1222" s="2" t="s">
        <v>3390</v>
      </c>
    </row>
    <row r="1223" spans="1:22" hidden="1" x14ac:dyDescent="0.3">
      <c r="A1223" s="2" t="s">
        <v>3391</v>
      </c>
      <c r="B1223" s="12">
        <f t="shared" si="57"/>
        <v>46238.580955057871</v>
      </c>
      <c r="C1223" s="13">
        <v>46238.580955057871</v>
      </c>
      <c r="D1223" s="2" t="s">
        <v>1444</v>
      </c>
      <c r="E1223" s="2" t="str">
        <f t="shared" si="59"/>
        <v>Email Available</v>
      </c>
      <c r="F1223" s="2" t="s">
        <v>1445</v>
      </c>
      <c r="G1223" s="2" t="s">
        <v>80</v>
      </c>
      <c r="H1223" s="2" t="s">
        <v>81</v>
      </c>
      <c r="I1223" s="2" t="s">
        <v>82</v>
      </c>
      <c r="J1223" s="2">
        <v>1</v>
      </c>
      <c r="K1223" s="2">
        <v>89.99</v>
      </c>
      <c r="L1223" s="2"/>
      <c r="M1223" s="2">
        <v>0</v>
      </c>
      <c r="N1223" s="2">
        <v>0</v>
      </c>
      <c r="O1223" s="2">
        <v>89.99</v>
      </c>
      <c r="P1223" s="2" t="s">
        <v>27</v>
      </c>
      <c r="Q1223" s="2" t="s">
        <v>114</v>
      </c>
      <c r="R1223" s="2" t="s">
        <v>52</v>
      </c>
      <c r="S1223" s="2" t="s">
        <v>30</v>
      </c>
      <c r="T1223" s="2" t="s">
        <v>454</v>
      </c>
      <c r="U1223" s="2" t="str">
        <f t="shared" si="58"/>
        <v>Valid</v>
      </c>
      <c r="V1223" s="2" t="s">
        <v>619</v>
      </c>
    </row>
    <row r="1224" spans="1:22" hidden="1" x14ac:dyDescent="0.3">
      <c r="A1224" s="2" t="s">
        <v>3392</v>
      </c>
      <c r="B1224" s="12">
        <f t="shared" si="57"/>
        <v>46238.582832523149</v>
      </c>
      <c r="C1224" s="13">
        <v>46238.582832523149</v>
      </c>
      <c r="D1224" s="2" t="s">
        <v>2185</v>
      </c>
      <c r="E1224" s="2" t="str">
        <f t="shared" si="59"/>
        <v>Email Available</v>
      </c>
      <c r="F1224" s="2" t="s">
        <v>2798</v>
      </c>
      <c r="G1224" s="2" t="s">
        <v>241</v>
      </c>
      <c r="H1224" s="2" t="s">
        <v>242</v>
      </c>
      <c r="I1224" s="2" t="s">
        <v>243</v>
      </c>
      <c r="J1224" s="2">
        <v>3</v>
      </c>
      <c r="K1224" s="2">
        <v>27.99</v>
      </c>
      <c r="L1224" s="2"/>
      <c r="M1224" s="2">
        <v>0</v>
      </c>
      <c r="N1224" s="2">
        <v>0</v>
      </c>
      <c r="O1224" s="2">
        <v>83.97</v>
      </c>
      <c r="P1224" s="2" t="s">
        <v>27</v>
      </c>
      <c r="Q1224" s="2" t="s">
        <v>41</v>
      </c>
      <c r="R1224" s="2" t="s">
        <v>52</v>
      </c>
      <c r="S1224" s="2" t="s">
        <v>30</v>
      </c>
      <c r="T1224" s="2" t="s">
        <v>939</v>
      </c>
      <c r="U1224" s="2" t="str">
        <f t="shared" si="58"/>
        <v>Valid</v>
      </c>
      <c r="V1224" s="2" t="s">
        <v>3393</v>
      </c>
    </row>
    <row r="1225" spans="1:22" hidden="1" x14ac:dyDescent="0.3">
      <c r="A1225" s="2" t="s">
        <v>3394</v>
      </c>
      <c r="B1225" s="12">
        <f t="shared" si="57"/>
        <v>46238.582258958333</v>
      </c>
      <c r="C1225" s="13">
        <v>46238.582258958333</v>
      </c>
      <c r="D1225" s="2" t="s">
        <v>681</v>
      </c>
      <c r="E1225" s="2" t="str">
        <f t="shared" si="59"/>
        <v>Email Available</v>
      </c>
      <c r="F1225" s="2" t="s">
        <v>682</v>
      </c>
      <c r="G1225" s="2" t="s">
        <v>187</v>
      </c>
      <c r="H1225" s="2" t="s">
        <v>37</v>
      </c>
      <c r="I1225" s="2" t="s">
        <v>188</v>
      </c>
      <c r="J1225" s="2">
        <v>1</v>
      </c>
      <c r="K1225" s="2">
        <v>11.99</v>
      </c>
      <c r="L1225" s="2"/>
      <c r="M1225" s="2">
        <v>0</v>
      </c>
      <c r="N1225" s="2">
        <v>5.99</v>
      </c>
      <c r="O1225" s="2">
        <v>17.98</v>
      </c>
      <c r="P1225" s="2" t="s">
        <v>74</v>
      </c>
      <c r="Q1225" s="2" t="s">
        <v>28</v>
      </c>
      <c r="R1225" s="2" t="s">
        <v>99</v>
      </c>
      <c r="S1225" s="2" t="s">
        <v>75</v>
      </c>
      <c r="T1225" s="2"/>
      <c r="U1225" s="2" t="str">
        <f t="shared" si="58"/>
        <v>Not Required</v>
      </c>
      <c r="V1225" s="2" t="s">
        <v>3395</v>
      </c>
    </row>
    <row r="1226" spans="1:22" x14ac:dyDescent="0.3">
      <c r="A1226" s="2" t="s">
        <v>3396</v>
      </c>
      <c r="B1226" s="12">
        <f t="shared" si="57"/>
        <v>46238.578923067129</v>
      </c>
      <c r="C1226" s="13">
        <v>46238.578923067129</v>
      </c>
      <c r="D1226" s="2" t="s">
        <v>125</v>
      </c>
      <c r="E1226" s="2" t="str">
        <f t="shared" si="59"/>
        <v>Missing Email</v>
      </c>
      <c r="F1226" s="2"/>
      <c r="G1226" s="2" t="s">
        <v>65</v>
      </c>
      <c r="H1226" s="2" t="s">
        <v>49</v>
      </c>
      <c r="I1226" s="2" t="s">
        <v>66</v>
      </c>
      <c r="J1226" s="2">
        <v>1</v>
      </c>
      <c r="K1226" s="2" t="s">
        <v>1485</v>
      </c>
      <c r="L1226" s="2" t="s">
        <v>208</v>
      </c>
      <c r="M1226" s="2">
        <v>2.25</v>
      </c>
      <c r="N1226" s="2">
        <v>7.99</v>
      </c>
      <c r="O1226" s="2">
        <v>20.73</v>
      </c>
      <c r="P1226" s="2" t="s">
        <v>27</v>
      </c>
      <c r="Q1226" s="2" t="s">
        <v>28</v>
      </c>
      <c r="R1226" s="2" t="s">
        <v>52</v>
      </c>
      <c r="S1226" s="2" t="s">
        <v>43</v>
      </c>
      <c r="T1226" s="2"/>
      <c r="U1226" s="2" t="str">
        <f t="shared" si="58"/>
        <v>Not Required</v>
      </c>
      <c r="V1226" s="2" t="s">
        <v>3397</v>
      </c>
    </row>
    <row r="1227" spans="1:22" hidden="1" x14ac:dyDescent="0.3">
      <c r="A1227" s="2" t="s">
        <v>3398</v>
      </c>
      <c r="B1227" s="12">
        <f t="shared" si="57"/>
        <v>46238.586203217586</v>
      </c>
      <c r="C1227" s="13">
        <v>46238.586203217586</v>
      </c>
      <c r="D1227" s="2" t="s">
        <v>256</v>
      </c>
      <c r="E1227" s="2" t="str">
        <f t="shared" si="59"/>
        <v>Email Available</v>
      </c>
      <c r="F1227" s="2" t="s">
        <v>350</v>
      </c>
      <c r="G1227" s="2" t="s">
        <v>48</v>
      </c>
      <c r="H1227" s="2" t="s">
        <v>49</v>
      </c>
      <c r="I1227" s="2" t="s">
        <v>50</v>
      </c>
      <c r="J1227" s="2">
        <v>1</v>
      </c>
      <c r="K1227" s="2">
        <v>39.99</v>
      </c>
      <c r="L1227" s="2"/>
      <c r="M1227" s="2">
        <v>0</v>
      </c>
      <c r="N1227" s="2">
        <v>5.99</v>
      </c>
      <c r="O1227" s="2">
        <v>45.98</v>
      </c>
      <c r="P1227" s="2" t="s">
        <v>74</v>
      </c>
      <c r="Q1227" s="2" t="s">
        <v>41</v>
      </c>
      <c r="R1227" s="2" t="s">
        <v>29</v>
      </c>
      <c r="S1227" s="2" t="s">
        <v>30</v>
      </c>
      <c r="T1227" s="2" t="s">
        <v>347</v>
      </c>
      <c r="U1227" s="2" t="str">
        <f t="shared" si="58"/>
        <v>Valid</v>
      </c>
      <c r="V1227" s="2" t="s">
        <v>3399</v>
      </c>
    </row>
    <row r="1228" spans="1:22" x14ac:dyDescent="0.3">
      <c r="A1228" s="2" t="s">
        <v>3400</v>
      </c>
      <c r="B1228" s="12">
        <f t="shared" si="57"/>
        <v>46120</v>
      </c>
      <c r="C1228" s="13" t="s">
        <v>142</v>
      </c>
      <c r="D1228" s="2" t="s">
        <v>373</v>
      </c>
      <c r="E1228" s="2" t="str">
        <f t="shared" si="59"/>
        <v>Missing Email</v>
      </c>
      <c r="F1228" s="2"/>
      <c r="G1228" s="2" t="s">
        <v>272</v>
      </c>
      <c r="H1228" s="2" t="s">
        <v>23</v>
      </c>
      <c r="I1228" s="2" t="s">
        <v>273</v>
      </c>
      <c r="J1228" s="2">
        <v>1</v>
      </c>
      <c r="K1228" s="2">
        <v>18.989999999999998</v>
      </c>
      <c r="L1228" s="2" t="s">
        <v>67</v>
      </c>
      <c r="M1228" s="2">
        <v>1.9</v>
      </c>
      <c r="N1228" s="2">
        <v>7.99</v>
      </c>
      <c r="O1228" s="2">
        <v>25.08</v>
      </c>
      <c r="P1228" s="2" t="s">
        <v>68</v>
      </c>
      <c r="Q1228" s="2" t="s">
        <v>28</v>
      </c>
      <c r="R1228" s="2" t="s">
        <v>99</v>
      </c>
      <c r="S1228" s="2" t="s">
        <v>337</v>
      </c>
      <c r="T1228" s="2"/>
      <c r="U1228" s="2" t="str">
        <f t="shared" si="58"/>
        <v>Not Required</v>
      </c>
      <c r="V1228" s="2" t="s">
        <v>3401</v>
      </c>
    </row>
    <row r="1229" spans="1:22" hidden="1" x14ac:dyDescent="0.3">
      <c r="A1229" s="2" t="s">
        <v>3402</v>
      </c>
      <c r="B1229" s="12">
        <f t="shared" si="57"/>
        <v>46238.588756331017</v>
      </c>
      <c r="C1229" s="13">
        <v>46238.588756331017</v>
      </c>
      <c r="D1229" s="2" t="s">
        <v>2657</v>
      </c>
      <c r="E1229" s="2" t="str">
        <f t="shared" si="59"/>
        <v>Email Available</v>
      </c>
      <c r="F1229" s="2" t="s">
        <v>2658</v>
      </c>
      <c r="G1229" s="2" t="s">
        <v>195</v>
      </c>
      <c r="H1229" s="2" t="s">
        <v>196</v>
      </c>
      <c r="I1229" s="2" t="s">
        <v>197</v>
      </c>
      <c r="J1229" s="2">
        <v>1</v>
      </c>
      <c r="K1229" s="2" t="s">
        <v>957</v>
      </c>
      <c r="L1229" s="2" t="s">
        <v>67</v>
      </c>
      <c r="M1229" s="2">
        <v>1.35</v>
      </c>
      <c r="N1229" s="2">
        <v>4.99</v>
      </c>
      <c r="O1229" s="2">
        <v>17.13</v>
      </c>
      <c r="P1229" s="2" t="s">
        <v>74</v>
      </c>
      <c r="Q1229" s="2" t="s">
        <v>28</v>
      </c>
      <c r="R1229" s="2" t="s">
        <v>99</v>
      </c>
      <c r="S1229" s="2" t="s">
        <v>30</v>
      </c>
      <c r="T1229" s="2" t="s">
        <v>347</v>
      </c>
      <c r="U1229" s="2" t="str">
        <f t="shared" si="58"/>
        <v>Valid</v>
      </c>
      <c r="V1229" s="2" t="s">
        <v>3403</v>
      </c>
    </row>
    <row r="1230" spans="1:22" hidden="1" x14ac:dyDescent="0.3">
      <c r="A1230" s="2" t="s">
        <v>3404</v>
      </c>
      <c r="B1230" s="12">
        <f t="shared" si="57"/>
        <v>46238.579006967593</v>
      </c>
      <c r="C1230" s="13">
        <v>46238.579006967593</v>
      </c>
      <c r="D1230" s="2" t="s">
        <v>496</v>
      </c>
      <c r="E1230" s="2" t="str">
        <f t="shared" si="59"/>
        <v>Email Available</v>
      </c>
      <c r="F1230" s="2" t="s">
        <v>497</v>
      </c>
      <c r="G1230" s="2" t="s">
        <v>315</v>
      </c>
      <c r="H1230" s="2" t="s">
        <v>37</v>
      </c>
      <c r="I1230" s="2" t="s">
        <v>316</v>
      </c>
      <c r="J1230" s="2">
        <v>1</v>
      </c>
      <c r="K1230" s="2">
        <v>8.99</v>
      </c>
      <c r="L1230" s="2" t="s">
        <v>39</v>
      </c>
      <c r="M1230" s="2">
        <v>0</v>
      </c>
      <c r="N1230" s="2">
        <v>0</v>
      </c>
      <c r="O1230" s="2">
        <v>8.99</v>
      </c>
      <c r="P1230" s="2" t="s">
        <v>27</v>
      </c>
      <c r="Q1230" s="2" t="s">
        <v>28</v>
      </c>
      <c r="R1230" s="2" t="s">
        <v>52</v>
      </c>
      <c r="S1230" s="2" t="s">
        <v>30</v>
      </c>
      <c r="T1230" s="2" t="s">
        <v>53</v>
      </c>
      <c r="U1230" s="2" t="str">
        <f t="shared" si="58"/>
        <v>Valid</v>
      </c>
      <c r="V1230" s="2" t="s">
        <v>3405</v>
      </c>
    </row>
    <row r="1231" spans="1:22" hidden="1" x14ac:dyDescent="0.3">
      <c r="A1231" s="2" t="s">
        <v>3406</v>
      </c>
      <c r="B1231" s="12">
        <f t="shared" si="57"/>
        <v>46238.579405243057</v>
      </c>
      <c r="C1231" s="13">
        <v>46238.579405243057</v>
      </c>
      <c r="D1231" s="2" t="s">
        <v>3407</v>
      </c>
      <c r="E1231" s="2" t="str">
        <f t="shared" si="59"/>
        <v>Email Available</v>
      </c>
      <c r="F1231" s="2" t="s">
        <v>3408</v>
      </c>
      <c r="G1231" s="2" t="s">
        <v>226</v>
      </c>
      <c r="H1231" s="2" t="s">
        <v>23</v>
      </c>
      <c r="I1231" s="2" t="s">
        <v>227</v>
      </c>
      <c r="J1231" s="2">
        <v>1</v>
      </c>
      <c r="K1231" s="2">
        <v>17.989999999999998</v>
      </c>
      <c r="L1231" s="2" t="s">
        <v>208</v>
      </c>
      <c r="M1231" s="2">
        <v>2.7</v>
      </c>
      <c r="N1231" s="2">
        <v>4.99</v>
      </c>
      <c r="O1231" s="2">
        <v>20.28</v>
      </c>
      <c r="P1231" s="2" t="s">
        <v>27</v>
      </c>
      <c r="Q1231" s="2" t="s">
        <v>90</v>
      </c>
      <c r="R1231" s="2" t="s">
        <v>52</v>
      </c>
      <c r="S1231" s="2" t="s">
        <v>337</v>
      </c>
      <c r="T1231" s="2"/>
      <c r="U1231" s="2" t="str">
        <f t="shared" si="58"/>
        <v>Not Required</v>
      </c>
      <c r="V1231" s="2" t="s">
        <v>3409</v>
      </c>
    </row>
    <row r="1232" spans="1:22" hidden="1" x14ac:dyDescent="0.3">
      <c r="A1232" s="2" t="s">
        <v>3410</v>
      </c>
      <c r="B1232" s="12">
        <f t="shared" si="57"/>
        <v>46238.581457604167</v>
      </c>
      <c r="C1232" s="13">
        <v>46238.581457604167</v>
      </c>
      <c r="D1232" s="2" t="s">
        <v>1989</v>
      </c>
      <c r="E1232" s="2" t="str">
        <f t="shared" si="59"/>
        <v>Email Available</v>
      </c>
      <c r="F1232" s="2" t="s">
        <v>1990</v>
      </c>
      <c r="G1232" s="2" t="s">
        <v>151</v>
      </c>
      <c r="H1232" s="2" t="s">
        <v>49</v>
      </c>
      <c r="I1232" s="2" t="s">
        <v>152</v>
      </c>
      <c r="J1232" s="2">
        <v>1</v>
      </c>
      <c r="K1232" s="2">
        <v>34.99</v>
      </c>
      <c r="L1232" s="2"/>
      <c r="M1232" s="2">
        <v>0</v>
      </c>
      <c r="N1232" s="2">
        <v>4.99</v>
      </c>
      <c r="O1232" s="2">
        <v>39.979999999999997</v>
      </c>
      <c r="P1232" s="2" t="s">
        <v>51</v>
      </c>
      <c r="Q1232" s="2" t="s">
        <v>114</v>
      </c>
      <c r="R1232" s="2" t="s">
        <v>29</v>
      </c>
      <c r="S1232" s="2" t="s">
        <v>228</v>
      </c>
      <c r="T1232" s="2"/>
      <c r="U1232" s="2" t="str">
        <f t="shared" si="58"/>
        <v>Not Required</v>
      </c>
      <c r="V1232" s="2" t="s">
        <v>3411</v>
      </c>
    </row>
    <row r="1233" spans="1:22" x14ac:dyDescent="0.3">
      <c r="A1233" s="2" t="s">
        <v>3412</v>
      </c>
      <c r="B1233" s="12">
        <f t="shared" si="57"/>
        <v>46238.584842847224</v>
      </c>
      <c r="C1233" s="13">
        <v>46238.584842847224</v>
      </c>
      <c r="D1233" s="2" t="s">
        <v>778</v>
      </c>
      <c r="E1233" s="2" t="str">
        <f t="shared" si="59"/>
        <v>Missing Email</v>
      </c>
      <c r="F1233" s="2"/>
      <c r="G1233" s="2" t="s">
        <v>266</v>
      </c>
      <c r="H1233" s="2" t="s">
        <v>37</v>
      </c>
      <c r="I1233" s="2" t="s">
        <v>267</v>
      </c>
      <c r="J1233" s="2">
        <v>2</v>
      </c>
      <c r="K1233" s="2">
        <v>15.49</v>
      </c>
      <c r="L1233" s="2" t="s">
        <v>39</v>
      </c>
      <c r="M1233" s="2">
        <v>0</v>
      </c>
      <c r="N1233" s="2">
        <v>0</v>
      </c>
      <c r="O1233" s="2">
        <v>30.98</v>
      </c>
      <c r="P1233" s="2" t="s">
        <v>40</v>
      </c>
      <c r="Q1233" s="2" t="s">
        <v>114</v>
      </c>
      <c r="R1233" s="2" t="s">
        <v>99</v>
      </c>
      <c r="S1233" s="2" t="s">
        <v>108</v>
      </c>
      <c r="T1233" s="2"/>
      <c r="U1233" s="2" t="str">
        <f t="shared" si="58"/>
        <v>Not Required</v>
      </c>
      <c r="V1233" s="2" t="s">
        <v>3413</v>
      </c>
    </row>
    <row r="1234" spans="1:22" hidden="1" x14ac:dyDescent="0.3">
      <c r="A1234" s="2" t="s">
        <v>3414</v>
      </c>
      <c r="B1234" s="12">
        <f>DATE(VALUE(RIGHT(C1234,4)),MATCH(LEFT(C1234,3),{"Jan","Feb","Mar","Apr","May","Jun","Jul","Aug","Sep","Oct","Nov","Dec"},0),VALUE(MID(C1234,5,2)))</f>
        <v>46238</v>
      </c>
      <c r="C1234" s="13" t="s">
        <v>176</v>
      </c>
      <c r="D1234" s="2" t="s">
        <v>3415</v>
      </c>
      <c r="E1234" s="2" t="str">
        <f t="shared" si="59"/>
        <v>Email Available</v>
      </c>
      <c r="F1234" s="2" t="s">
        <v>1544</v>
      </c>
      <c r="G1234" s="2" t="s">
        <v>195</v>
      </c>
      <c r="H1234" s="2" t="s">
        <v>196</v>
      </c>
      <c r="I1234" s="2" t="s">
        <v>197</v>
      </c>
      <c r="J1234" s="2">
        <v>1</v>
      </c>
      <c r="K1234" s="2">
        <v>13.49</v>
      </c>
      <c r="L1234" s="2" t="s">
        <v>208</v>
      </c>
      <c r="M1234" s="2">
        <v>2.02</v>
      </c>
      <c r="N1234" s="2">
        <v>4.99</v>
      </c>
      <c r="O1234" s="2">
        <v>16.46</v>
      </c>
      <c r="P1234" s="2" t="s">
        <v>51</v>
      </c>
      <c r="Q1234" s="2" t="s">
        <v>114</v>
      </c>
      <c r="R1234" s="2" t="s">
        <v>52</v>
      </c>
      <c r="S1234" s="2" t="s">
        <v>30</v>
      </c>
      <c r="T1234" s="2" t="s">
        <v>115</v>
      </c>
      <c r="U1234" s="2" t="str">
        <f t="shared" si="58"/>
        <v>Valid</v>
      </c>
      <c r="V1234" s="2" t="s">
        <v>3416</v>
      </c>
    </row>
    <row r="1235" spans="1:22" hidden="1" x14ac:dyDescent="0.3">
      <c r="A1235" s="2" t="s">
        <v>3417</v>
      </c>
      <c r="B1235" s="12">
        <f t="shared" si="57"/>
        <v>46238.587091261572</v>
      </c>
      <c r="C1235" s="13">
        <v>46238.587091261572</v>
      </c>
      <c r="D1235" s="2" t="s">
        <v>614</v>
      </c>
      <c r="E1235" s="2" t="str">
        <f t="shared" si="59"/>
        <v>Email Available</v>
      </c>
      <c r="F1235" s="2" t="s">
        <v>615</v>
      </c>
      <c r="G1235" s="2" t="s">
        <v>157</v>
      </c>
      <c r="H1235" s="2" t="s">
        <v>37</v>
      </c>
      <c r="I1235" s="2" t="s">
        <v>158</v>
      </c>
      <c r="J1235" s="2">
        <v>1</v>
      </c>
      <c r="K1235" s="2" t="s">
        <v>618</v>
      </c>
      <c r="L1235" s="2"/>
      <c r="M1235" s="2">
        <v>0</v>
      </c>
      <c r="N1235" s="2">
        <v>4.99</v>
      </c>
      <c r="O1235" s="2">
        <v>34.979999999999997</v>
      </c>
      <c r="P1235" s="2" t="s">
        <v>68</v>
      </c>
      <c r="Q1235" s="2" t="s">
        <v>28</v>
      </c>
      <c r="R1235" s="2" t="s">
        <v>52</v>
      </c>
      <c r="S1235" s="2" t="s">
        <v>43</v>
      </c>
      <c r="T1235" s="2"/>
      <c r="U1235" s="2" t="str">
        <f t="shared" si="58"/>
        <v>Not Required</v>
      </c>
      <c r="V1235" s="2" t="s">
        <v>3418</v>
      </c>
    </row>
    <row r="1236" spans="1:22" hidden="1" x14ac:dyDescent="0.3">
      <c r="A1236" s="2" t="s">
        <v>3419</v>
      </c>
      <c r="B1236" s="12">
        <f t="shared" si="57"/>
        <v>46238.581039803241</v>
      </c>
      <c r="C1236" s="13">
        <v>46238.581039803241</v>
      </c>
      <c r="D1236" s="2" t="s">
        <v>177</v>
      </c>
      <c r="E1236" s="2" t="str">
        <f t="shared" si="59"/>
        <v>Email Available</v>
      </c>
      <c r="F1236" s="2" t="s">
        <v>178</v>
      </c>
      <c r="G1236" s="2" t="s">
        <v>171</v>
      </c>
      <c r="H1236" s="2" t="s">
        <v>106</v>
      </c>
      <c r="I1236" s="2" t="s">
        <v>172</v>
      </c>
      <c r="J1236" s="2">
        <v>1</v>
      </c>
      <c r="K1236" s="2">
        <v>32.99</v>
      </c>
      <c r="L1236" s="2" t="s">
        <v>67</v>
      </c>
      <c r="M1236" s="2">
        <v>3.3</v>
      </c>
      <c r="N1236" s="2">
        <v>5.99</v>
      </c>
      <c r="O1236" s="2">
        <v>35.68</v>
      </c>
      <c r="P1236" s="2" t="s">
        <v>68</v>
      </c>
      <c r="Q1236" s="2" t="s">
        <v>28</v>
      </c>
      <c r="R1236" s="2" t="s">
        <v>52</v>
      </c>
      <c r="S1236" s="2" t="s">
        <v>30</v>
      </c>
      <c r="T1236" s="2" t="s">
        <v>248</v>
      </c>
      <c r="U1236" s="2" t="str">
        <f t="shared" si="58"/>
        <v>Valid</v>
      </c>
      <c r="V1236" s="2" t="s">
        <v>3420</v>
      </c>
    </row>
    <row r="1237" spans="1:22" hidden="1" x14ac:dyDescent="0.3">
      <c r="A1237" s="2" t="s">
        <v>3421</v>
      </c>
      <c r="B1237" s="12">
        <f t="shared" si="57"/>
        <v>46238.582299120368</v>
      </c>
      <c r="C1237" s="13">
        <v>46238.582299120368</v>
      </c>
      <c r="D1237" s="2" t="s">
        <v>211</v>
      </c>
      <c r="E1237" s="2" t="str">
        <f t="shared" si="59"/>
        <v>Email Available</v>
      </c>
      <c r="F1237" s="2" t="s">
        <v>212</v>
      </c>
      <c r="G1237" s="2" t="s">
        <v>80</v>
      </c>
      <c r="H1237" s="2" t="s">
        <v>81</v>
      </c>
      <c r="I1237" s="2" t="s">
        <v>82</v>
      </c>
      <c r="J1237" s="2">
        <v>1</v>
      </c>
      <c r="K1237" s="2">
        <v>89.99</v>
      </c>
      <c r="L1237" s="2" t="s">
        <v>97</v>
      </c>
      <c r="M1237" s="2">
        <v>18</v>
      </c>
      <c r="N1237" s="2">
        <v>0</v>
      </c>
      <c r="O1237" s="2">
        <v>71.989999999999995</v>
      </c>
      <c r="P1237" s="2" t="s">
        <v>74</v>
      </c>
      <c r="Q1237" s="2" t="s">
        <v>114</v>
      </c>
      <c r="R1237" s="2" t="s">
        <v>52</v>
      </c>
      <c r="S1237" s="2" t="s">
        <v>108</v>
      </c>
      <c r="T1237" s="2"/>
      <c r="U1237" s="2" t="str">
        <f t="shared" si="58"/>
        <v>Not Required</v>
      </c>
      <c r="V1237" s="2" t="s">
        <v>3422</v>
      </c>
    </row>
    <row r="1238" spans="1:22" hidden="1" x14ac:dyDescent="0.3">
      <c r="A1238" s="2" t="s">
        <v>3423</v>
      </c>
      <c r="B1238" s="12">
        <f t="shared" si="57"/>
        <v>46238.582694398137</v>
      </c>
      <c r="C1238" s="13">
        <v>46238.582694398137</v>
      </c>
      <c r="D1238" s="2" t="s">
        <v>1131</v>
      </c>
      <c r="E1238" s="2" t="str">
        <f t="shared" si="59"/>
        <v>Email Available</v>
      </c>
      <c r="F1238" s="2" t="s">
        <v>1132</v>
      </c>
      <c r="G1238" s="2" t="s">
        <v>65</v>
      </c>
      <c r="H1238" s="2" t="s">
        <v>49</v>
      </c>
      <c r="I1238" s="2" t="s">
        <v>66</v>
      </c>
      <c r="J1238" s="2">
        <v>3</v>
      </c>
      <c r="K1238" s="2">
        <v>14.99</v>
      </c>
      <c r="L1238" s="2"/>
      <c r="M1238" s="2" t="s">
        <v>189</v>
      </c>
      <c r="N1238" s="2">
        <v>4.99</v>
      </c>
      <c r="O1238" s="2">
        <v>49.96</v>
      </c>
      <c r="P1238" s="2" t="s">
        <v>40</v>
      </c>
      <c r="Q1238" s="2" t="s">
        <v>28</v>
      </c>
      <c r="R1238" s="2" t="s">
        <v>42</v>
      </c>
      <c r="S1238" s="2" t="s">
        <v>337</v>
      </c>
      <c r="T1238" s="2"/>
      <c r="U1238" s="2" t="str">
        <f t="shared" si="58"/>
        <v>Not Required</v>
      </c>
      <c r="V1238" s="2" t="s">
        <v>3424</v>
      </c>
    </row>
    <row r="1239" spans="1:22" x14ac:dyDescent="0.3">
      <c r="A1239" s="2" t="s">
        <v>3425</v>
      </c>
      <c r="B1239" s="12">
        <f t="shared" si="57"/>
        <v>46238.579289664347</v>
      </c>
      <c r="C1239" s="13">
        <v>46238.579289664347</v>
      </c>
      <c r="D1239" s="2" t="s">
        <v>3426</v>
      </c>
      <c r="E1239" s="2" t="str">
        <f t="shared" si="59"/>
        <v>Missing Email</v>
      </c>
      <c r="F1239" s="2"/>
      <c r="G1239" s="2" t="s">
        <v>171</v>
      </c>
      <c r="H1239" s="2" t="s">
        <v>106</v>
      </c>
      <c r="I1239" s="2" t="s">
        <v>172</v>
      </c>
      <c r="J1239" s="2">
        <v>2</v>
      </c>
      <c r="K1239" s="2">
        <v>32.99</v>
      </c>
      <c r="L1239" s="2" t="s">
        <v>208</v>
      </c>
      <c r="M1239" s="2">
        <v>9.9</v>
      </c>
      <c r="N1239" s="2">
        <v>7.99</v>
      </c>
      <c r="O1239" s="2">
        <v>64.069999999999993</v>
      </c>
      <c r="P1239" s="2" t="s">
        <v>27</v>
      </c>
      <c r="Q1239" s="2" t="s">
        <v>28</v>
      </c>
      <c r="R1239" s="2" t="s">
        <v>99</v>
      </c>
      <c r="S1239" s="2" t="s">
        <v>75</v>
      </c>
      <c r="T1239" s="2"/>
      <c r="U1239" s="2" t="str">
        <f t="shared" si="58"/>
        <v>Not Required</v>
      </c>
      <c r="V1239" s="2" t="s">
        <v>3427</v>
      </c>
    </row>
    <row r="1240" spans="1:22" hidden="1" x14ac:dyDescent="0.3">
      <c r="A1240" s="2" t="s">
        <v>3428</v>
      </c>
      <c r="B1240" s="12">
        <f t="shared" si="57"/>
        <v>46238.584658807871</v>
      </c>
      <c r="C1240" s="13">
        <v>46238.584658807871</v>
      </c>
      <c r="D1240" s="2" t="s">
        <v>364</v>
      </c>
      <c r="E1240" s="2" t="str">
        <f t="shared" si="59"/>
        <v>Email Available</v>
      </c>
      <c r="F1240" s="2" t="s">
        <v>365</v>
      </c>
      <c r="G1240" s="2" t="s">
        <v>87</v>
      </c>
      <c r="H1240" s="2" t="s">
        <v>88</v>
      </c>
      <c r="I1240" s="2" t="s">
        <v>89</v>
      </c>
      <c r="J1240" s="2">
        <v>1</v>
      </c>
      <c r="K1240" s="2">
        <v>54.99</v>
      </c>
      <c r="L1240" s="2" t="s">
        <v>25</v>
      </c>
      <c r="M1240" s="2">
        <v>11</v>
      </c>
      <c r="N1240" s="2">
        <v>5.99</v>
      </c>
      <c r="O1240" s="2">
        <v>49.98</v>
      </c>
      <c r="P1240" s="2" t="s">
        <v>68</v>
      </c>
      <c r="Q1240" s="2" t="s">
        <v>114</v>
      </c>
      <c r="R1240" s="2" t="s">
        <v>99</v>
      </c>
      <c r="S1240" s="2" t="s">
        <v>75</v>
      </c>
      <c r="T1240" s="2"/>
      <c r="U1240" s="2" t="str">
        <f t="shared" si="58"/>
        <v>Not Required</v>
      </c>
      <c r="V1240" s="2" t="s">
        <v>3429</v>
      </c>
    </row>
    <row r="1241" spans="1:22" hidden="1" x14ac:dyDescent="0.3">
      <c r="A1241" s="2" t="s">
        <v>3430</v>
      </c>
      <c r="B1241" s="12">
        <f t="shared" si="57"/>
        <v>46238.580516111113</v>
      </c>
      <c r="C1241" s="13">
        <v>46238.580516111113</v>
      </c>
      <c r="D1241" s="2" t="s">
        <v>2174</v>
      </c>
      <c r="E1241" s="2" t="str">
        <f t="shared" si="59"/>
        <v>Email Available</v>
      </c>
      <c r="F1241" s="2" t="s">
        <v>2427</v>
      </c>
      <c r="G1241" s="2" t="s">
        <v>65</v>
      </c>
      <c r="H1241" s="2" t="s">
        <v>49</v>
      </c>
      <c r="I1241" s="2" t="s">
        <v>453</v>
      </c>
      <c r="J1241" s="2">
        <v>1</v>
      </c>
      <c r="K1241" s="2">
        <v>14.99</v>
      </c>
      <c r="L1241" s="2" t="s">
        <v>208</v>
      </c>
      <c r="M1241" s="2">
        <v>2.25</v>
      </c>
      <c r="N1241" s="2">
        <v>7.99</v>
      </c>
      <c r="O1241" s="2">
        <v>20.73</v>
      </c>
      <c r="P1241" s="2" t="s">
        <v>68</v>
      </c>
      <c r="Q1241" s="2" t="s">
        <v>41</v>
      </c>
      <c r="R1241" s="2" t="s">
        <v>52</v>
      </c>
      <c r="S1241" s="2" t="s">
        <v>30</v>
      </c>
      <c r="T1241" s="2" t="s">
        <v>1412</v>
      </c>
      <c r="U1241" s="2" t="str">
        <f t="shared" si="58"/>
        <v>Valid</v>
      </c>
      <c r="V1241" s="2" t="s">
        <v>3431</v>
      </c>
    </row>
    <row r="1242" spans="1:22" hidden="1" x14ac:dyDescent="0.3">
      <c r="A1242" s="2" t="s">
        <v>3432</v>
      </c>
      <c r="B1242" s="12">
        <f t="shared" si="57"/>
        <v>46238.586611365739</v>
      </c>
      <c r="C1242" s="13">
        <v>46238.586611365739</v>
      </c>
      <c r="D1242" s="2" t="s">
        <v>3433</v>
      </c>
      <c r="E1242" s="2" t="str">
        <f t="shared" si="59"/>
        <v>Email Available</v>
      </c>
      <c r="F1242" s="2" t="s">
        <v>194</v>
      </c>
      <c r="G1242" s="2" t="s">
        <v>284</v>
      </c>
      <c r="H1242" s="2" t="s">
        <v>23</v>
      </c>
      <c r="I1242" s="2" t="s">
        <v>285</v>
      </c>
      <c r="J1242" s="2">
        <v>2</v>
      </c>
      <c r="K1242" s="2">
        <v>24.99</v>
      </c>
      <c r="L1242" s="2" t="s">
        <v>39</v>
      </c>
      <c r="M1242" s="2">
        <v>0</v>
      </c>
      <c r="N1242" s="2">
        <v>0</v>
      </c>
      <c r="O1242" s="2">
        <v>49.98</v>
      </c>
      <c r="P1242" s="2" t="s">
        <v>40</v>
      </c>
      <c r="Q1242" s="2" t="s">
        <v>90</v>
      </c>
      <c r="R1242" s="2" t="s">
        <v>52</v>
      </c>
      <c r="S1242" s="2" t="s">
        <v>30</v>
      </c>
      <c r="T1242" s="2" t="s">
        <v>115</v>
      </c>
      <c r="U1242" s="2" t="str">
        <f t="shared" si="58"/>
        <v>Valid</v>
      </c>
      <c r="V1242" s="2" t="s">
        <v>3434</v>
      </c>
    </row>
    <row r="1243" spans="1:22" hidden="1" x14ac:dyDescent="0.3">
      <c r="A1243" s="2" t="s">
        <v>3435</v>
      </c>
      <c r="B1243" s="12">
        <f t="shared" si="57"/>
        <v>46238.587619814818</v>
      </c>
      <c r="C1243" s="13">
        <v>46238.587619814818</v>
      </c>
      <c r="D1243" s="2" t="s">
        <v>1210</v>
      </c>
      <c r="E1243" s="2" t="str">
        <f t="shared" si="59"/>
        <v>Email Available</v>
      </c>
      <c r="F1243" s="2" t="s">
        <v>1211</v>
      </c>
      <c r="G1243" s="2" t="s">
        <v>206</v>
      </c>
      <c r="H1243" s="2" t="s">
        <v>196</v>
      </c>
      <c r="I1243" s="2" t="s">
        <v>207</v>
      </c>
      <c r="J1243" s="2">
        <v>1</v>
      </c>
      <c r="K1243" s="2">
        <v>24.99</v>
      </c>
      <c r="L1243" s="2"/>
      <c r="M1243" s="2">
        <v>0</v>
      </c>
      <c r="N1243" s="2">
        <v>7.99</v>
      </c>
      <c r="O1243" s="2">
        <v>32.979999999999997</v>
      </c>
      <c r="P1243" s="2" t="s">
        <v>68</v>
      </c>
      <c r="Q1243" s="2" t="s">
        <v>114</v>
      </c>
      <c r="R1243" s="2" t="s">
        <v>99</v>
      </c>
      <c r="S1243" s="2" t="s">
        <v>108</v>
      </c>
      <c r="T1243" s="2"/>
      <c r="U1243" s="2" t="str">
        <f t="shared" si="58"/>
        <v>Not Required</v>
      </c>
      <c r="V1243" s="2" t="s">
        <v>3436</v>
      </c>
    </row>
    <row r="1244" spans="1:22" hidden="1" x14ac:dyDescent="0.3">
      <c r="A1244" s="2" t="s">
        <v>3437</v>
      </c>
      <c r="B1244" s="12">
        <f t="shared" si="57"/>
        <v>46238.578952291668</v>
      </c>
      <c r="C1244" s="13">
        <v>46238.578952291668</v>
      </c>
      <c r="D1244" s="2" t="s">
        <v>502</v>
      </c>
      <c r="E1244" s="2" t="str">
        <f t="shared" si="59"/>
        <v>Email Available</v>
      </c>
      <c r="F1244" s="2" t="s">
        <v>503</v>
      </c>
      <c r="G1244" s="2" t="s">
        <v>241</v>
      </c>
      <c r="H1244" s="2" t="s">
        <v>242</v>
      </c>
      <c r="I1244" s="2" t="s">
        <v>243</v>
      </c>
      <c r="J1244" s="2">
        <v>1</v>
      </c>
      <c r="K1244" s="2">
        <v>27.99</v>
      </c>
      <c r="L1244" s="2"/>
      <c r="M1244" s="2">
        <v>0</v>
      </c>
      <c r="N1244" s="2">
        <v>7.99</v>
      </c>
      <c r="O1244" s="2">
        <v>35.979999999999997</v>
      </c>
      <c r="P1244" s="2" t="s">
        <v>27</v>
      </c>
      <c r="Q1244" s="2" t="s">
        <v>28</v>
      </c>
      <c r="R1244" s="2" t="s">
        <v>29</v>
      </c>
      <c r="S1244" s="2" t="s">
        <v>108</v>
      </c>
      <c r="T1244" s="2"/>
      <c r="U1244" s="2" t="str">
        <f t="shared" si="58"/>
        <v>Not Required</v>
      </c>
      <c r="V1244" s="2" t="s">
        <v>3438</v>
      </c>
    </row>
    <row r="1245" spans="1:22" hidden="1" x14ac:dyDescent="0.3">
      <c r="A1245" s="2" t="s">
        <v>3439</v>
      </c>
      <c r="B1245" s="12">
        <f t="shared" si="57"/>
        <v>46238.584160046303</v>
      </c>
      <c r="C1245" s="13">
        <v>46238.584160046303</v>
      </c>
      <c r="D1245" s="2" t="s">
        <v>3440</v>
      </c>
      <c r="E1245" s="2" t="str">
        <f t="shared" si="59"/>
        <v>Email Available</v>
      </c>
      <c r="F1245" s="2" t="s">
        <v>3441</v>
      </c>
      <c r="G1245" s="2" t="s">
        <v>266</v>
      </c>
      <c r="H1245" s="2" t="s">
        <v>37</v>
      </c>
      <c r="I1245" s="2" t="s">
        <v>267</v>
      </c>
      <c r="J1245" s="2">
        <v>1</v>
      </c>
      <c r="K1245" s="2">
        <v>15.49</v>
      </c>
      <c r="L1245" s="2"/>
      <c r="M1245" s="2">
        <v>0</v>
      </c>
      <c r="N1245" s="2">
        <v>4.99</v>
      </c>
      <c r="O1245" s="2">
        <v>20.48</v>
      </c>
      <c r="P1245" s="2" t="s">
        <v>51</v>
      </c>
      <c r="Q1245" s="2" t="s">
        <v>41</v>
      </c>
      <c r="R1245" s="2" t="s">
        <v>42</v>
      </c>
      <c r="S1245" s="2" t="s">
        <v>228</v>
      </c>
      <c r="T1245" s="2"/>
      <c r="U1245" s="2" t="str">
        <f t="shared" si="58"/>
        <v>Not Required</v>
      </c>
      <c r="V1245" s="2" t="s">
        <v>3442</v>
      </c>
    </row>
    <row r="1246" spans="1:22" hidden="1" x14ac:dyDescent="0.3">
      <c r="A1246" s="2" t="s">
        <v>3443</v>
      </c>
      <c r="B1246" s="12">
        <f t="shared" si="57"/>
        <v>46238.586418217586</v>
      </c>
      <c r="C1246" s="13">
        <v>46238.586418217586</v>
      </c>
      <c r="D1246" s="2" t="s">
        <v>562</v>
      </c>
      <c r="E1246" s="2" t="str">
        <f t="shared" si="59"/>
        <v>Email Available</v>
      </c>
      <c r="F1246" s="2" t="s">
        <v>47</v>
      </c>
      <c r="G1246" s="2" t="s">
        <v>105</v>
      </c>
      <c r="H1246" s="2" t="s">
        <v>106</v>
      </c>
      <c r="I1246" s="2" t="s">
        <v>107</v>
      </c>
      <c r="J1246" s="2">
        <v>2</v>
      </c>
      <c r="K1246" s="2">
        <v>19.989999999999998</v>
      </c>
      <c r="L1246" s="2"/>
      <c r="M1246" s="2">
        <v>0</v>
      </c>
      <c r="N1246" s="2">
        <v>7.99</v>
      </c>
      <c r="O1246" s="2">
        <v>47.97</v>
      </c>
      <c r="P1246" s="2" t="s">
        <v>51</v>
      </c>
      <c r="Q1246" s="2" t="s">
        <v>41</v>
      </c>
      <c r="R1246" s="2" t="s">
        <v>52</v>
      </c>
      <c r="S1246" s="2" t="s">
        <v>30</v>
      </c>
      <c r="T1246" s="2" t="s">
        <v>31</v>
      </c>
      <c r="U1246" s="2" t="str">
        <f t="shared" si="58"/>
        <v>Valid</v>
      </c>
      <c r="V1246" s="2" t="s">
        <v>3444</v>
      </c>
    </row>
    <row r="1247" spans="1:22" hidden="1" x14ac:dyDescent="0.3">
      <c r="A1247" s="2" t="s">
        <v>3445</v>
      </c>
      <c r="B1247" s="12">
        <f t="shared" si="57"/>
        <v>46238.579541863422</v>
      </c>
      <c r="C1247" s="13">
        <v>46238.579541863422</v>
      </c>
      <c r="D1247" s="2" t="s">
        <v>3446</v>
      </c>
      <c r="E1247" s="2" t="str">
        <f t="shared" si="59"/>
        <v>Email Available</v>
      </c>
      <c r="F1247" s="2" t="s">
        <v>3447</v>
      </c>
      <c r="G1247" s="2" t="s">
        <v>3448</v>
      </c>
      <c r="H1247" s="2" t="s">
        <v>81</v>
      </c>
      <c r="I1247" s="2" t="s">
        <v>82</v>
      </c>
      <c r="J1247" s="2">
        <v>1</v>
      </c>
      <c r="K1247" s="2">
        <v>89.99</v>
      </c>
      <c r="L1247" s="2"/>
      <c r="M1247" s="2">
        <v>0</v>
      </c>
      <c r="N1247" s="2">
        <v>0</v>
      </c>
      <c r="O1247" s="2">
        <v>89.99</v>
      </c>
      <c r="P1247" s="2" t="s">
        <v>68</v>
      </c>
      <c r="Q1247" s="2" t="s">
        <v>28</v>
      </c>
      <c r="R1247" s="2" t="s">
        <v>52</v>
      </c>
      <c r="S1247" s="2" t="s">
        <v>108</v>
      </c>
      <c r="T1247" s="2"/>
      <c r="U1247" s="2" t="str">
        <f t="shared" si="58"/>
        <v>Not Required</v>
      </c>
      <c r="V1247" s="2" t="s">
        <v>3449</v>
      </c>
    </row>
    <row r="1248" spans="1:22" hidden="1" x14ac:dyDescent="0.3">
      <c r="A1248" s="2" t="s">
        <v>3450</v>
      </c>
      <c r="B1248" s="12">
        <f t="shared" si="57"/>
        <v>46238.579658518524</v>
      </c>
      <c r="C1248" s="13">
        <v>46238.579658518524</v>
      </c>
      <c r="D1248" s="2" t="s">
        <v>3451</v>
      </c>
      <c r="E1248" s="2" t="str">
        <f t="shared" si="59"/>
        <v>Email Available</v>
      </c>
      <c r="F1248" s="2" t="s">
        <v>3452</v>
      </c>
      <c r="G1248" s="2" t="s">
        <v>284</v>
      </c>
      <c r="H1248" s="2" t="s">
        <v>23</v>
      </c>
      <c r="I1248" s="2" t="s">
        <v>285</v>
      </c>
      <c r="J1248" s="2">
        <v>1</v>
      </c>
      <c r="K1248" s="2" t="s">
        <v>1229</v>
      </c>
      <c r="L1248" s="2" t="s">
        <v>121</v>
      </c>
      <c r="M1248" s="2">
        <v>6.25</v>
      </c>
      <c r="N1248" s="2">
        <v>5.99</v>
      </c>
      <c r="O1248" s="2">
        <v>24.73</v>
      </c>
      <c r="P1248" s="2" t="s">
        <v>68</v>
      </c>
      <c r="Q1248" s="2" t="s">
        <v>90</v>
      </c>
      <c r="R1248" s="2" t="s">
        <v>52</v>
      </c>
      <c r="S1248" s="2" t="s">
        <v>30</v>
      </c>
      <c r="T1248" s="2" t="s">
        <v>31</v>
      </c>
      <c r="U1248" s="2" t="str">
        <f t="shared" si="58"/>
        <v>Valid</v>
      </c>
      <c r="V1248" s="2" t="s">
        <v>3453</v>
      </c>
    </row>
    <row r="1249" spans="1:22" hidden="1" x14ac:dyDescent="0.3">
      <c r="A1249" s="2" t="s">
        <v>3454</v>
      </c>
      <c r="B1249" s="12">
        <f t="shared" si="57"/>
        <v>46238.579533449083</v>
      </c>
      <c r="C1249" s="13">
        <v>46238.579533449083</v>
      </c>
      <c r="D1249" s="2" t="s">
        <v>193</v>
      </c>
      <c r="E1249" s="2" t="str">
        <f t="shared" si="59"/>
        <v>Email Available</v>
      </c>
      <c r="F1249" s="2" t="s">
        <v>194</v>
      </c>
      <c r="G1249" s="2" t="s">
        <v>36</v>
      </c>
      <c r="H1249" s="2" t="s">
        <v>37</v>
      </c>
      <c r="I1249" s="2" t="s">
        <v>38</v>
      </c>
      <c r="J1249" s="2">
        <v>4</v>
      </c>
      <c r="K1249" s="2">
        <v>21.99</v>
      </c>
      <c r="L1249" s="2" t="s">
        <v>208</v>
      </c>
      <c r="M1249" s="2">
        <v>13.19</v>
      </c>
      <c r="N1249" s="2">
        <v>0</v>
      </c>
      <c r="O1249" s="2" t="s">
        <v>3455</v>
      </c>
      <c r="P1249" s="2" t="s">
        <v>40</v>
      </c>
      <c r="Q1249" s="2" t="s">
        <v>90</v>
      </c>
      <c r="R1249" s="2" t="s">
        <v>52</v>
      </c>
      <c r="S1249" s="2" t="s">
        <v>30</v>
      </c>
      <c r="T1249" s="2" t="s">
        <v>69</v>
      </c>
      <c r="U1249" s="2" t="str">
        <f t="shared" si="58"/>
        <v>Valid</v>
      </c>
      <c r="V1249" s="2" t="s">
        <v>3456</v>
      </c>
    </row>
    <row r="1250" spans="1:22" hidden="1" x14ac:dyDescent="0.3">
      <c r="A1250" s="2" t="s">
        <v>3457</v>
      </c>
      <c r="B1250" s="12">
        <f t="shared" si="57"/>
        <v>46238.579787499999</v>
      </c>
      <c r="C1250" s="13">
        <v>46238.579787499999</v>
      </c>
      <c r="D1250" s="2" t="s">
        <v>713</v>
      </c>
      <c r="E1250" s="2" t="str">
        <f t="shared" si="59"/>
        <v>Email Available</v>
      </c>
      <c r="F1250" s="2" t="s">
        <v>714</v>
      </c>
      <c r="G1250" s="2" t="s">
        <v>315</v>
      </c>
      <c r="H1250" s="2" t="s">
        <v>37</v>
      </c>
      <c r="I1250" s="2" t="s">
        <v>316</v>
      </c>
      <c r="J1250" s="2">
        <v>1</v>
      </c>
      <c r="K1250" s="2">
        <v>8.99</v>
      </c>
      <c r="L1250" s="2"/>
      <c r="M1250" s="2">
        <v>0</v>
      </c>
      <c r="N1250" s="2">
        <v>4.99</v>
      </c>
      <c r="O1250" s="2">
        <v>13.98</v>
      </c>
      <c r="P1250" s="2" t="s">
        <v>68</v>
      </c>
      <c r="Q1250" s="2" t="s">
        <v>114</v>
      </c>
      <c r="R1250" s="2" t="s">
        <v>42</v>
      </c>
      <c r="S1250" s="2" t="s">
        <v>337</v>
      </c>
      <c r="T1250" s="2"/>
      <c r="U1250" s="2" t="str">
        <f t="shared" si="58"/>
        <v>Not Required</v>
      </c>
      <c r="V1250" s="2" t="s">
        <v>3458</v>
      </c>
    </row>
    <row r="1251" spans="1:22" hidden="1" x14ac:dyDescent="0.3">
      <c r="A1251" s="2" t="s">
        <v>3459</v>
      </c>
      <c r="B1251" s="12">
        <f t="shared" si="57"/>
        <v>46238.579175416657</v>
      </c>
      <c r="C1251" s="13">
        <v>46238.579175416657</v>
      </c>
      <c r="D1251" s="2" t="s">
        <v>1475</v>
      </c>
      <c r="E1251" s="2" t="str">
        <f t="shared" si="59"/>
        <v>Email Available</v>
      </c>
      <c r="F1251" s="2" t="s">
        <v>1298</v>
      </c>
      <c r="G1251" s="2" t="s">
        <v>241</v>
      </c>
      <c r="H1251" s="2" t="s">
        <v>242</v>
      </c>
      <c r="I1251" s="2" t="s">
        <v>243</v>
      </c>
      <c r="J1251" s="2">
        <v>1</v>
      </c>
      <c r="K1251" s="2">
        <v>27.99</v>
      </c>
      <c r="L1251" s="2" t="s">
        <v>208</v>
      </c>
      <c r="M1251" s="2" t="s">
        <v>3460</v>
      </c>
      <c r="N1251" s="2">
        <v>7.99</v>
      </c>
      <c r="O1251" s="2">
        <v>31.78</v>
      </c>
      <c r="P1251" s="2" t="s">
        <v>68</v>
      </c>
      <c r="Q1251" s="2" t="s">
        <v>90</v>
      </c>
      <c r="R1251" s="2" t="s">
        <v>52</v>
      </c>
      <c r="S1251" s="2" t="s">
        <v>30</v>
      </c>
      <c r="T1251" s="2" t="s">
        <v>69</v>
      </c>
      <c r="U1251" s="2" t="str">
        <f t="shared" si="58"/>
        <v>Valid</v>
      </c>
      <c r="V1251" s="2" t="s">
        <v>3461</v>
      </c>
    </row>
    <row r="1252" spans="1:22" hidden="1" x14ac:dyDescent="0.3">
      <c r="A1252" s="2" t="s">
        <v>3462</v>
      </c>
      <c r="B1252" s="12">
        <f t="shared" si="57"/>
        <v>46238.588975891202</v>
      </c>
      <c r="C1252" s="13">
        <v>46238.588975891202</v>
      </c>
      <c r="D1252" s="2" t="s">
        <v>3463</v>
      </c>
      <c r="E1252" s="2" t="str">
        <f t="shared" si="59"/>
        <v>Email Available</v>
      </c>
      <c r="F1252" s="2" t="s">
        <v>3464</v>
      </c>
      <c r="G1252" s="2" t="s">
        <v>48</v>
      </c>
      <c r="H1252" s="2" t="s">
        <v>49</v>
      </c>
      <c r="I1252" s="2" t="s">
        <v>50</v>
      </c>
      <c r="J1252" s="2">
        <v>1</v>
      </c>
      <c r="K1252" s="2">
        <v>39.99</v>
      </c>
      <c r="L1252" s="2"/>
      <c r="M1252" s="2">
        <v>0</v>
      </c>
      <c r="N1252" s="2">
        <v>5.99</v>
      </c>
      <c r="O1252" s="2" t="s">
        <v>3465</v>
      </c>
      <c r="P1252" s="2" t="s">
        <v>51</v>
      </c>
      <c r="Q1252" s="2" t="s">
        <v>28</v>
      </c>
      <c r="R1252" s="2" t="s">
        <v>99</v>
      </c>
      <c r="S1252" s="2" t="s">
        <v>43</v>
      </c>
      <c r="T1252" s="2"/>
      <c r="U1252" s="2" t="str">
        <f t="shared" si="58"/>
        <v>Not Required</v>
      </c>
      <c r="V1252" s="2" t="s">
        <v>3466</v>
      </c>
    </row>
    <row r="1253" spans="1:22" hidden="1" x14ac:dyDescent="0.3">
      <c r="A1253" s="2" t="s">
        <v>3467</v>
      </c>
      <c r="B1253" s="12">
        <f t="shared" si="57"/>
        <v>46238.586853553243</v>
      </c>
      <c r="C1253" s="13">
        <v>46238.586853553243</v>
      </c>
      <c r="D1253" s="2" t="s">
        <v>2572</v>
      </c>
      <c r="E1253" s="2" t="str">
        <f t="shared" si="59"/>
        <v>Email Available</v>
      </c>
      <c r="F1253" s="2" t="s">
        <v>2573</v>
      </c>
      <c r="G1253" s="2" t="s">
        <v>120</v>
      </c>
      <c r="H1253" s="2" t="s">
        <v>23</v>
      </c>
      <c r="I1253" s="2" t="s">
        <v>24</v>
      </c>
      <c r="J1253" s="2">
        <v>1</v>
      </c>
      <c r="K1253" s="2">
        <v>12.99</v>
      </c>
      <c r="L1253" s="2"/>
      <c r="M1253" s="2">
        <v>0</v>
      </c>
      <c r="N1253" s="2">
        <v>5.99</v>
      </c>
      <c r="O1253" s="2">
        <v>18.98</v>
      </c>
      <c r="P1253" s="2" t="s">
        <v>68</v>
      </c>
      <c r="Q1253" s="2" t="s">
        <v>28</v>
      </c>
      <c r="R1253" s="2" t="s">
        <v>52</v>
      </c>
      <c r="S1253" s="2" t="s">
        <v>337</v>
      </c>
      <c r="T1253" s="2"/>
      <c r="U1253" s="2" t="str">
        <f t="shared" si="58"/>
        <v>Not Required</v>
      </c>
      <c r="V1253" s="2" t="s">
        <v>3468</v>
      </c>
    </row>
    <row r="1254" spans="1:22" hidden="1" x14ac:dyDescent="0.3">
      <c r="A1254" s="2" t="s">
        <v>3469</v>
      </c>
      <c r="B1254" s="12">
        <f t="shared" si="57"/>
        <v>46238.582516180562</v>
      </c>
      <c r="C1254" s="13">
        <v>46238.582516180562</v>
      </c>
      <c r="D1254" s="2" t="s">
        <v>2182</v>
      </c>
      <c r="E1254" s="2" t="str">
        <f t="shared" si="59"/>
        <v>Email Available</v>
      </c>
      <c r="F1254" s="2" t="s">
        <v>3470</v>
      </c>
      <c r="G1254" s="2" t="s">
        <v>48</v>
      </c>
      <c r="H1254" s="2" t="s">
        <v>49</v>
      </c>
      <c r="I1254" s="2" t="s">
        <v>50</v>
      </c>
      <c r="J1254" s="2">
        <v>2</v>
      </c>
      <c r="K1254" s="2">
        <v>39.99</v>
      </c>
      <c r="L1254" s="2"/>
      <c r="M1254" s="2" t="s">
        <v>189</v>
      </c>
      <c r="N1254" s="2">
        <v>0</v>
      </c>
      <c r="O1254" s="2">
        <v>79.98</v>
      </c>
      <c r="P1254" s="2" t="s">
        <v>27</v>
      </c>
      <c r="Q1254" s="2" t="s">
        <v>28</v>
      </c>
      <c r="R1254" s="2" t="s">
        <v>52</v>
      </c>
      <c r="S1254" s="2" t="s">
        <v>228</v>
      </c>
      <c r="T1254" s="2"/>
      <c r="U1254" s="2" t="str">
        <f t="shared" si="58"/>
        <v>Not Required</v>
      </c>
      <c r="V1254" s="2" t="s">
        <v>3471</v>
      </c>
    </row>
    <row r="1255" spans="1:22" hidden="1" x14ac:dyDescent="0.3">
      <c r="A1255" s="2" t="s">
        <v>3472</v>
      </c>
      <c r="B1255" s="12">
        <f t="shared" si="57"/>
        <v>46238.583406493053</v>
      </c>
      <c r="C1255" s="13">
        <v>46238.583406493053</v>
      </c>
      <c r="D1255" s="2" t="s">
        <v>1089</v>
      </c>
      <c r="E1255" s="2" t="str">
        <f t="shared" si="59"/>
        <v>Email Available</v>
      </c>
      <c r="F1255" s="2" t="s">
        <v>595</v>
      </c>
      <c r="G1255" s="2" t="s">
        <v>120</v>
      </c>
      <c r="H1255" s="2" t="s">
        <v>23</v>
      </c>
      <c r="I1255" s="2" t="s">
        <v>24</v>
      </c>
      <c r="J1255" s="2">
        <v>1</v>
      </c>
      <c r="K1255" s="2">
        <v>12.99</v>
      </c>
      <c r="L1255" s="2"/>
      <c r="M1255" s="2">
        <v>0</v>
      </c>
      <c r="N1255" s="2">
        <v>4.99</v>
      </c>
      <c r="O1255" s="2">
        <v>17.98</v>
      </c>
      <c r="P1255" s="2" t="s">
        <v>51</v>
      </c>
      <c r="Q1255" s="2" t="s">
        <v>90</v>
      </c>
      <c r="R1255" s="2" t="s">
        <v>29</v>
      </c>
      <c r="S1255" s="2" t="s">
        <v>30</v>
      </c>
      <c r="T1255" s="2" t="s">
        <v>454</v>
      </c>
      <c r="U1255" s="2" t="str">
        <f t="shared" si="58"/>
        <v>Valid</v>
      </c>
      <c r="V1255" s="2" t="s">
        <v>3473</v>
      </c>
    </row>
    <row r="1256" spans="1:22" hidden="1" x14ac:dyDescent="0.3">
      <c r="A1256" s="2" t="s">
        <v>3474</v>
      </c>
      <c r="B1256" s="12">
        <f t="shared" si="57"/>
        <v>46238.58545402778</v>
      </c>
      <c r="C1256" s="13">
        <v>46238.58545402778</v>
      </c>
      <c r="D1256" s="2" t="s">
        <v>1131</v>
      </c>
      <c r="E1256" s="2" t="str">
        <f t="shared" si="59"/>
        <v>Email Available</v>
      </c>
      <c r="F1256" s="2" t="s">
        <v>1132</v>
      </c>
      <c r="G1256" s="2" t="s">
        <v>65</v>
      </c>
      <c r="H1256" s="2" t="s">
        <v>49</v>
      </c>
      <c r="I1256" s="2" t="s">
        <v>66</v>
      </c>
      <c r="J1256" s="2">
        <v>1</v>
      </c>
      <c r="K1256" s="2">
        <v>14.99</v>
      </c>
      <c r="L1256" s="2" t="s">
        <v>121</v>
      </c>
      <c r="M1256" s="2">
        <v>3.75</v>
      </c>
      <c r="N1256" s="2">
        <v>7.99</v>
      </c>
      <c r="O1256" s="2">
        <v>19.23</v>
      </c>
      <c r="P1256" s="2" t="s">
        <v>27</v>
      </c>
      <c r="Q1256" s="2" t="s">
        <v>28</v>
      </c>
      <c r="R1256" s="2" t="s">
        <v>52</v>
      </c>
      <c r="S1256" s="2" t="s">
        <v>337</v>
      </c>
      <c r="T1256" s="2"/>
      <c r="U1256" s="2" t="str">
        <f t="shared" si="58"/>
        <v>Not Required</v>
      </c>
      <c r="V1256" s="2" t="s">
        <v>3475</v>
      </c>
    </row>
    <row r="1257" spans="1:22" hidden="1" x14ac:dyDescent="0.3">
      <c r="A1257" s="2" t="s">
        <v>3476</v>
      </c>
      <c r="B1257" s="12">
        <f t="shared" si="57"/>
        <v>46238.587872800927</v>
      </c>
      <c r="C1257" s="13">
        <v>46238.587872800927</v>
      </c>
      <c r="D1257" s="2" t="s">
        <v>1475</v>
      </c>
      <c r="E1257" s="2" t="str">
        <f t="shared" si="59"/>
        <v>Email Available</v>
      </c>
      <c r="F1257" s="2" t="s">
        <v>1298</v>
      </c>
      <c r="G1257" s="2" t="s">
        <v>36</v>
      </c>
      <c r="H1257" s="2" t="s">
        <v>37</v>
      </c>
      <c r="I1257" s="2" t="s">
        <v>38</v>
      </c>
      <c r="J1257" s="2">
        <v>1</v>
      </c>
      <c r="K1257" s="2">
        <v>21.99</v>
      </c>
      <c r="L1257" s="2" t="s">
        <v>208</v>
      </c>
      <c r="M1257" s="2">
        <v>3.3</v>
      </c>
      <c r="N1257" s="2">
        <v>5.99</v>
      </c>
      <c r="O1257" s="2">
        <v>24.68</v>
      </c>
      <c r="P1257" s="2" t="s">
        <v>27</v>
      </c>
      <c r="Q1257" s="2" t="s">
        <v>28</v>
      </c>
      <c r="R1257" s="2" t="s">
        <v>52</v>
      </c>
      <c r="S1257" s="2" t="s">
        <v>30</v>
      </c>
      <c r="T1257" s="2" t="s">
        <v>91</v>
      </c>
      <c r="U1257" s="2" t="str">
        <f t="shared" si="58"/>
        <v>Valid</v>
      </c>
      <c r="V1257" s="2" t="s">
        <v>1700</v>
      </c>
    </row>
    <row r="1258" spans="1:22" x14ac:dyDescent="0.3">
      <c r="A1258" s="2" t="s">
        <v>3477</v>
      </c>
      <c r="B1258" s="12">
        <f t="shared" si="57"/>
        <v>46238.581303171297</v>
      </c>
      <c r="C1258" s="13">
        <v>46238.581303171297</v>
      </c>
      <c r="D1258" s="2" t="s">
        <v>681</v>
      </c>
      <c r="E1258" s="2" t="str">
        <f t="shared" si="59"/>
        <v>Missing Email</v>
      </c>
      <c r="F1258" s="2"/>
      <c r="G1258" s="2" t="s">
        <v>133</v>
      </c>
      <c r="H1258" s="2" t="s">
        <v>106</v>
      </c>
      <c r="I1258" s="2" t="s">
        <v>134</v>
      </c>
      <c r="J1258" s="2">
        <v>1</v>
      </c>
      <c r="K1258" s="2">
        <v>16.989999999999998</v>
      </c>
      <c r="L1258" s="2"/>
      <c r="M1258" s="2">
        <v>0</v>
      </c>
      <c r="N1258" s="2">
        <v>7.99</v>
      </c>
      <c r="O1258" s="2">
        <v>24.98</v>
      </c>
      <c r="P1258" s="2" t="s">
        <v>40</v>
      </c>
      <c r="Q1258" s="2" t="s">
        <v>41</v>
      </c>
      <c r="R1258" s="2" t="s">
        <v>99</v>
      </c>
      <c r="S1258" s="2" t="s">
        <v>75</v>
      </c>
      <c r="T1258" s="2"/>
      <c r="U1258" s="2" t="str">
        <f t="shared" si="58"/>
        <v>Not Required</v>
      </c>
      <c r="V1258" s="2" t="s">
        <v>2120</v>
      </c>
    </row>
    <row r="1259" spans="1:22" x14ac:dyDescent="0.3">
      <c r="A1259" s="2" t="s">
        <v>3478</v>
      </c>
      <c r="B1259" s="12">
        <f t="shared" si="57"/>
        <v>46238</v>
      </c>
      <c r="C1259" s="13" t="s">
        <v>148</v>
      </c>
      <c r="D1259" s="2" t="s">
        <v>3479</v>
      </c>
      <c r="E1259" s="2" t="str">
        <f t="shared" si="59"/>
        <v>Missing Email</v>
      </c>
      <c r="F1259" s="2"/>
      <c r="G1259" s="2" t="s">
        <v>171</v>
      </c>
      <c r="H1259" s="2" t="s">
        <v>106</v>
      </c>
      <c r="I1259" s="2" t="s">
        <v>172</v>
      </c>
      <c r="J1259" s="2">
        <v>1</v>
      </c>
      <c r="K1259" s="2">
        <v>32.99</v>
      </c>
      <c r="L1259" s="2" t="s">
        <v>67</v>
      </c>
      <c r="M1259" s="2">
        <v>3.3</v>
      </c>
      <c r="N1259" s="2">
        <v>4.99</v>
      </c>
      <c r="O1259" s="2" t="s">
        <v>3480</v>
      </c>
      <c r="P1259" s="2" t="s">
        <v>27</v>
      </c>
      <c r="Q1259" s="2" t="s">
        <v>28</v>
      </c>
      <c r="R1259" s="2" t="s">
        <v>29</v>
      </c>
      <c r="S1259" s="2" t="s">
        <v>108</v>
      </c>
      <c r="T1259" s="2"/>
      <c r="U1259" s="2" t="str">
        <f t="shared" si="58"/>
        <v>Not Required</v>
      </c>
      <c r="V1259" s="2" t="s">
        <v>1902</v>
      </c>
    </row>
    <row r="1260" spans="1:22" hidden="1" x14ac:dyDescent="0.3">
      <c r="A1260" s="2" t="s">
        <v>3481</v>
      </c>
      <c r="B1260" s="12">
        <f t="shared" si="57"/>
        <v>46238.579728136567</v>
      </c>
      <c r="C1260" s="13">
        <v>46238.579728136567</v>
      </c>
      <c r="D1260" s="2" t="s">
        <v>177</v>
      </c>
      <c r="E1260" s="2" t="str">
        <f t="shared" si="59"/>
        <v>Email Available</v>
      </c>
      <c r="F1260" s="2" t="s">
        <v>178</v>
      </c>
      <c r="G1260" s="2" t="s">
        <v>368</v>
      </c>
      <c r="H1260" s="2" t="s">
        <v>88</v>
      </c>
      <c r="I1260" s="2" t="s">
        <v>369</v>
      </c>
      <c r="J1260" s="2">
        <v>1</v>
      </c>
      <c r="K1260" s="2">
        <v>54.99</v>
      </c>
      <c r="L1260" s="2"/>
      <c r="M1260" s="2" t="s">
        <v>189</v>
      </c>
      <c r="N1260" s="2">
        <v>7.99</v>
      </c>
      <c r="O1260" s="2">
        <v>62.98</v>
      </c>
      <c r="P1260" s="2" t="s">
        <v>51</v>
      </c>
      <c r="Q1260" s="2" t="s">
        <v>28</v>
      </c>
      <c r="R1260" s="2" t="s">
        <v>42</v>
      </c>
      <c r="S1260" s="2" t="s">
        <v>30</v>
      </c>
      <c r="T1260" s="2" t="s">
        <v>347</v>
      </c>
      <c r="U1260" s="2" t="str">
        <f t="shared" si="58"/>
        <v>Valid</v>
      </c>
      <c r="V1260" s="2" t="s">
        <v>3482</v>
      </c>
    </row>
    <row r="1261" spans="1:22" hidden="1" x14ac:dyDescent="0.3">
      <c r="A1261" s="2" t="s">
        <v>3483</v>
      </c>
      <c r="B1261" s="12">
        <f t="shared" si="57"/>
        <v>46238.58324550926</v>
      </c>
      <c r="C1261" s="13">
        <v>46238.58324550926</v>
      </c>
      <c r="D1261" s="2" t="s">
        <v>1803</v>
      </c>
      <c r="E1261" s="2" t="str">
        <f t="shared" si="59"/>
        <v>Email Available</v>
      </c>
      <c r="F1261" s="2" t="s">
        <v>1804</v>
      </c>
      <c r="G1261" s="2" t="s">
        <v>120</v>
      </c>
      <c r="H1261" s="2" t="s">
        <v>23</v>
      </c>
      <c r="I1261" s="2" t="s">
        <v>24</v>
      </c>
      <c r="J1261" s="2">
        <v>2</v>
      </c>
      <c r="K1261" s="2">
        <v>12.99</v>
      </c>
      <c r="L1261" s="2"/>
      <c r="M1261" s="2" t="s">
        <v>189</v>
      </c>
      <c r="N1261" s="2">
        <v>7.99</v>
      </c>
      <c r="O1261" s="2" t="s">
        <v>1911</v>
      </c>
      <c r="P1261" s="2" t="s">
        <v>74</v>
      </c>
      <c r="Q1261" s="2" t="s">
        <v>28</v>
      </c>
      <c r="R1261" s="2" t="s">
        <v>99</v>
      </c>
      <c r="S1261" s="2" t="s">
        <v>30</v>
      </c>
      <c r="T1261" s="2" t="s">
        <v>454</v>
      </c>
      <c r="U1261" s="2" t="str">
        <f t="shared" si="58"/>
        <v>Valid</v>
      </c>
      <c r="V1261" s="2" t="s">
        <v>3484</v>
      </c>
    </row>
    <row r="1262" spans="1:22" hidden="1" x14ac:dyDescent="0.3">
      <c r="A1262" s="2" t="s">
        <v>3488</v>
      </c>
      <c r="B1262" s="12">
        <f t="shared" si="57"/>
        <v>46238.586225300933</v>
      </c>
      <c r="C1262" s="13">
        <v>46238.586225300933</v>
      </c>
      <c r="D1262" s="2" t="s">
        <v>177</v>
      </c>
      <c r="E1262" s="2" t="str">
        <f t="shared" si="59"/>
        <v>Email Available</v>
      </c>
      <c r="F1262" s="2" t="s">
        <v>178</v>
      </c>
      <c r="G1262" s="2" t="s">
        <v>105</v>
      </c>
      <c r="H1262" s="2" t="s">
        <v>106</v>
      </c>
      <c r="I1262" s="2" t="s">
        <v>107</v>
      </c>
      <c r="J1262" s="2">
        <v>1</v>
      </c>
      <c r="K1262" s="2">
        <v>19.989999999999998</v>
      </c>
      <c r="L1262" s="2" t="s">
        <v>25</v>
      </c>
      <c r="M1262" s="2">
        <v>4</v>
      </c>
      <c r="N1262" s="2">
        <v>5.99</v>
      </c>
      <c r="O1262" s="2">
        <v>21.98</v>
      </c>
      <c r="P1262" s="2" t="s">
        <v>74</v>
      </c>
      <c r="Q1262" s="2" t="s">
        <v>41</v>
      </c>
      <c r="R1262" s="2" t="s">
        <v>52</v>
      </c>
      <c r="S1262" s="2" t="s">
        <v>30</v>
      </c>
      <c r="T1262" s="2" t="s">
        <v>347</v>
      </c>
      <c r="U1262" s="2" t="str">
        <f t="shared" si="58"/>
        <v>Valid</v>
      </c>
      <c r="V1262" s="2" t="s">
        <v>3489</v>
      </c>
    </row>
    <row r="1263" spans="1:22" hidden="1" x14ac:dyDescent="0.3">
      <c r="A1263" s="2" t="s">
        <v>3490</v>
      </c>
      <c r="B1263" s="12">
        <f t="shared" si="57"/>
        <v>46238.58005434028</v>
      </c>
      <c r="C1263" s="13">
        <v>46238.58005434028</v>
      </c>
      <c r="D1263" s="2" t="s">
        <v>815</v>
      </c>
      <c r="E1263" s="2" t="str">
        <f t="shared" si="59"/>
        <v>Email Available</v>
      </c>
      <c r="F1263" s="2" t="s">
        <v>816</v>
      </c>
      <c r="G1263" s="2" t="s">
        <v>120</v>
      </c>
      <c r="H1263" s="2" t="s">
        <v>23</v>
      </c>
      <c r="I1263" s="2" t="s">
        <v>24</v>
      </c>
      <c r="J1263" s="2">
        <v>2</v>
      </c>
      <c r="K1263" s="2">
        <v>12.99</v>
      </c>
      <c r="L1263" s="2"/>
      <c r="M1263" s="2">
        <v>0</v>
      </c>
      <c r="N1263" s="2">
        <v>7.99</v>
      </c>
      <c r="O1263" s="2">
        <v>33.97</v>
      </c>
      <c r="P1263" s="2" t="s">
        <v>51</v>
      </c>
      <c r="Q1263" s="2" t="s">
        <v>28</v>
      </c>
      <c r="R1263" s="2" t="s">
        <v>52</v>
      </c>
      <c r="S1263" s="2" t="s">
        <v>30</v>
      </c>
      <c r="T1263" s="2" t="s">
        <v>31</v>
      </c>
      <c r="U1263" s="2" t="str">
        <f t="shared" si="58"/>
        <v>Valid</v>
      </c>
      <c r="V1263" s="2" t="s">
        <v>3491</v>
      </c>
    </row>
    <row r="1264" spans="1:22" hidden="1" x14ac:dyDescent="0.3">
      <c r="A1264" s="2" t="s">
        <v>3492</v>
      </c>
      <c r="B1264" s="12">
        <f t="shared" si="57"/>
        <v>46238.580699351849</v>
      </c>
      <c r="C1264" s="13">
        <v>46238.580699351849</v>
      </c>
      <c r="D1264" s="2" t="s">
        <v>2013</v>
      </c>
      <c r="E1264" s="2" t="str">
        <f t="shared" si="59"/>
        <v>Email Available</v>
      </c>
      <c r="F1264" s="2" t="s">
        <v>2014</v>
      </c>
      <c r="G1264" s="2" t="s">
        <v>206</v>
      </c>
      <c r="H1264" s="2" t="s">
        <v>196</v>
      </c>
      <c r="I1264" s="2" t="s">
        <v>207</v>
      </c>
      <c r="J1264" s="2">
        <v>1</v>
      </c>
      <c r="K1264" s="2">
        <v>24.99</v>
      </c>
      <c r="L1264" s="2" t="s">
        <v>208</v>
      </c>
      <c r="M1264" s="2">
        <v>3.75</v>
      </c>
      <c r="N1264" s="2">
        <v>4.99</v>
      </c>
      <c r="O1264" s="2">
        <v>26.23</v>
      </c>
      <c r="P1264" s="2" t="s">
        <v>40</v>
      </c>
      <c r="Q1264" s="2" t="s">
        <v>41</v>
      </c>
      <c r="R1264" s="2" t="s">
        <v>52</v>
      </c>
      <c r="S1264" s="2" t="s">
        <v>228</v>
      </c>
      <c r="T1264" s="2"/>
      <c r="U1264" s="2" t="str">
        <f t="shared" si="58"/>
        <v>Not Required</v>
      </c>
      <c r="V1264" s="2" t="s">
        <v>3493</v>
      </c>
    </row>
    <row r="1265" spans="1:22" hidden="1" x14ac:dyDescent="0.3">
      <c r="A1265" s="2" t="s">
        <v>3494</v>
      </c>
      <c r="B1265" s="12">
        <f t="shared" si="57"/>
        <v>46238.583207847223</v>
      </c>
      <c r="C1265" s="13">
        <v>46238.583207847223</v>
      </c>
      <c r="D1265" s="2" t="s">
        <v>1131</v>
      </c>
      <c r="E1265" s="2" t="str">
        <f t="shared" si="59"/>
        <v>Email Available</v>
      </c>
      <c r="F1265" s="2" t="s">
        <v>1132</v>
      </c>
      <c r="G1265" s="2" t="s">
        <v>87</v>
      </c>
      <c r="H1265" s="2" t="s">
        <v>88</v>
      </c>
      <c r="I1265" s="2" t="s">
        <v>89</v>
      </c>
      <c r="J1265" s="2">
        <v>2</v>
      </c>
      <c r="K1265" s="2">
        <v>54.99</v>
      </c>
      <c r="L1265" s="2"/>
      <c r="M1265" s="2">
        <v>0</v>
      </c>
      <c r="N1265" s="2">
        <v>0</v>
      </c>
      <c r="O1265" s="2">
        <v>109.98</v>
      </c>
      <c r="P1265" s="2" t="s">
        <v>40</v>
      </c>
      <c r="Q1265" s="2" t="s">
        <v>28</v>
      </c>
      <c r="R1265" s="2" t="s">
        <v>99</v>
      </c>
      <c r="S1265" s="2" t="s">
        <v>337</v>
      </c>
      <c r="T1265" s="2"/>
      <c r="U1265" s="2" t="str">
        <f t="shared" si="58"/>
        <v>Not Required</v>
      </c>
      <c r="V1265" s="2" t="s">
        <v>3495</v>
      </c>
    </row>
    <row r="1266" spans="1:22" hidden="1" x14ac:dyDescent="0.3">
      <c r="A1266" s="2" t="s">
        <v>3496</v>
      </c>
      <c r="B1266" s="12">
        <f t="shared" si="57"/>
        <v>46238.585646273154</v>
      </c>
      <c r="C1266" s="13">
        <v>46238.585646273154</v>
      </c>
      <c r="D1266" s="2" t="s">
        <v>3440</v>
      </c>
      <c r="E1266" s="2" t="str">
        <f t="shared" si="59"/>
        <v>Email Available</v>
      </c>
      <c r="F1266" s="2" t="s">
        <v>3441</v>
      </c>
      <c r="G1266" s="2" t="s">
        <v>87</v>
      </c>
      <c r="H1266" s="2" t="s">
        <v>88</v>
      </c>
      <c r="I1266" s="2" t="s">
        <v>89</v>
      </c>
      <c r="J1266" s="2">
        <v>1</v>
      </c>
      <c r="K1266" s="2">
        <v>54.99</v>
      </c>
      <c r="L1266" s="2"/>
      <c r="M1266" s="2">
        <v>0</v>
      </c>
      <c r="N1266" s="2">
        <v>5.99</v>
      </c>
      <c r="O1266" s="2">
        <v>60.98</v>
      </c>
      <c r="P1266" s="2" t="s">
        <v>27</v>
      </c>
      <c r="Q1266" s="2" t="s">
        <v>41</v>
      </c>
      <c r="R1266" s="2" t="s">
        <v>52</v>
      </c>
      <c r="S1266" s="2" t="s">
        <v>228</v>
      </c>
      <c r="T1266" s="2"/>
      <c r="U1266" s="2" t="str">
        <f t="shared" si="58"/>
        <v>Not Required</v>
      </c>
      <c r="V1266" s="2" t="s">
        <v>3497</v>
      </c>
    </row>
    <row r="1267" spans="1:22" hidden="1" x14ac:dyDescent="0.3">
      <c r="A1267" s="2" t="s">
        <v>3498</v>
      </c>
      <c r="B1267" s="12">
        <f t="shared" si="57"/>
        <v>46238.583554872683</v>
      </c>
      <c r="C1267" s="13">
        <v>46238.583554872683</v>
      </c>
      <c r="D1267" s="2" t="s">
        <v>1785</v>
      </c>
      <c r="E1267" s="2" t="str">
        <f t="shared" si="59"/>
        <v>Email Available</v>
      </c>
      <c r="F1267" s="2" t="s">
        <v>1786</v>
      </c>
      <c r="G1267" s="2" t="s">
        <v>187</v>
      </c>
      <c r="H1267" s="2" t="s">
        <v>37</v>
      </c>
      <c r="I1267" s="2" t="s">
        <v>188</v>
      </c>
      <c r="J1267" s="2">
        <v>2</v>
      </c>
      <c r="K1267" s="2" t="s">
        <v>409</v>
      </c>
      <c r="L1267" s="2"/>
      <c r="M1267" s="2">
        <v>0</v>
      </c>
      <c r="N1267" s="2">
        <v>5.99</v>
      </c>
      <c r="O1267" s="2">
        <v>29.97</v>
      </c>
      <c r="P1267" s="2" t="s">
        <v>40</v>
      </c>
      <c r="Q1267" s="2" t="s">
        <v>28</v>
      </c>
      <c r="R1267" s="2" t="s">
        <v>52</v>
      </c>
      <c r="S1267" s="2" t="s">
        <v>30</v>
      </c>
      <c r="T1267" s="2" t="s">
        <v>145</v>
      </c>
      <c r="U1267" s="2" t="str">
        <f t="shared" si="58"/>
        <v>Valid</v>
      </c>
      <c r="V1267" s="2" t="s">
        <v>3499</v>
      </c>
    </row>
    <row r="1268" spans="1:22" hidden="1" x14ac:dyDescent="0.3">
      <c r="A1268" s="2" t="s">
        <v>3500</v>
      </c>
      <c r="B1268" s="12">
        <f t="shared" si="57"/>
        <v>46238.581926689818</v>
      </c>
      <c r="C1268" s="13">
        <v>46238.581926689818</v>
      </c>
      <c r="D1268" s="2" t="s">
        <v>177</v>
      </c>
      <c r="E1268" s="2" t="str">
        <f t="shared" si="59"/>
        <v>Email Available</v>
      </c>
      <c r="F1268" s="2" t="s">
        <v>178</v>
      </c>
      <c r="G1268" s="2" t="s">
        <v>151</v>
      </c>
      <c r="H1268" s="2" t="s">
        <v>49</v>
      </c>
      <c r="I1268" s="2" t="s">
        <v>152</v>
      </c>
      <c r="J1268" s="2">
        <v>1</v>
      </c>
      <c r="K1268" s="2" t="s">
        <v>346</v>
      </c>
      <c r="L1268" s="2"/>
      <c r="M1268" s="2">
        <v>0</v>
      </c>
      <c r="N1268" s="2">
        <v>4.99</v>
      </c>
      <c r="O1268" s="2" t="s">
        <v>3501</v>
      </c>
      <c r="P1268" s="2" t="s">
        <v>27</v>
      </c>
      <c r="Q1268" s="2" t="s">
        <v>41</v>
      </c>
      <c r="R1268" s="2" t="s">
        <v>52</v>
      </c>
      <c r="S1268" s="2" t="s">
        <v>30</v>
      </c>
      <c r="T1268" s="2" t="s">
        <v>60</v>
      </c>
      <c r="U1268" s="2" t="str">
        <f t="shared" si="58"/>
        <v>Valid</v>
      </c>
      <c r="V1268" s="2" t="s">
        <v>3502</v>
      </c>
    </row>
    <row r="1269" spans="1:22" hidden="1" x14ac:dyDescent="0.3">
      <c r="A1269" s="2" t="s">
        <v>3505</v>
      </c>
      <c r="B1269" s="12">
        <f t="shared" si="57"/>
        <v>46238.584832870372</v>
      </c>
      <c r="C1269" s="13">
        <v>46238.584832870372</v>
      </c>
      <c r="D1269" s="2" t="s">
        <v>860</v>
      </c>
      <c r="E1269" s="2" t="str">
        <f t="shared" si="59"/>
        <v>Email Available</v>
      </c>
      <c r="F1269" s="2" t="s">
        <v>861</v>
      </c>
      <c r="G1269" s="2" t="s">
        <v>315</v>
      </c>
      <c r="H1269" s="2" t="s">
        <v>37</v>
      </c>
      <c r="I1269" s="2" t="s">
        <v>316</v>
      </c>
      <c r="J1269" s="2">
        <v>1</v>
      </c>
      <c r="K1269" s="2" t="s">
        <v>2267</v>
      </c>
      <c r="L1269" s="2" t="s">
        <v>39</v>
      </c>
      <c r="M1269" s="2">
        <v>0</v>
      </c>
      <c r="N1269" s="2">
        <v>0</v>
      </c>
      <c r="O1269" s="2">
        <v>8.99</v>
      </c>
      <c r="P1269" s="2" t="s">
        <v>40</v>
      </c>
      <c r="Q1269" s="2" t="s">
        <v>28</v>
      </c>
      <c r="R1269" s="2" t="s">
        <v>52</v>
      </c>
      <c r="S1269" s="2" t="s">
        <v>43</v>
      </c>
      <c r="T1269" s="2"/>
      <c r="U1269" s="2" t="str">
        <f t="shared" si="58"/>
        <v>Not Required</v>
      </c>
      <c r="V1269" s="2" t="s">
        <v>3506</v>
      </c>
    </row>
    <row r="1270" spans="1:22" hidden="1" x14ac:dyDescent="0.3">
      <c r="A1270" s="2" t="s">
        <v>3507</v>
      </c>
      <c r="B1270" s="12">
        <f t="shared" si="57"/>
        <v>46238.581544189823</v>
      </c>
      <c r="C1270" s="13">
        <v>46238.581544189823</v>
      </c>
      <c r="D1270" s="2" t="s">
        <v>3508</v>
      </c>
      <c r="E1270" s="2" t="str">
        <f t="shared" si="59"/>
        <v>Email Available</v>
      </c>
      <c r="F1270" s="2" t="s">
        <v>3509</v>
      </c>
      <c r="G1270" s="2" t="s">
        <v>187</v>
      </c>
      <c r="H1270" s="2" t="s">
        <v>37</v>
      </c>
      <c r="I1270" s="2" t="s">
        <v>188</v>
      </c>
      <c r="J1270" s="2">
        <v>2</v>
      </c>
      <c r="K1270" s="2">
        <v>11.99</v>
      </c>
      <c r="L1270" s="2"/>
      <c r="M1270" s="2">
        <v>0</v>
      </c>
      <c r="N1270" s="2">
        <v>7.99</v>
      </c>
      <c r="O1270" s="2">
        <v>31.97</v>
      </c>
      <c r="P1270" s="2" t="s">
        <v>74</v>
      </c>
      <c r="Q1270" s="2" t="s">
        <v>28</v>
      </c>
      <c r="R1270" s="2" t="s">
        <v>52</v>
      </c>
      <c r="S1270" s="2" t="s">
        <v>337</v>
      </c>
      <c r="T1270" s="2"/>
      <c r="U1270" s="2" t="str">
        <f t="shared" si="58"/>
        <v>Not Required</v>
      </c>
      <c r="V1270" s="2" t="s">
        <v>3510</v>
      </c>
    </row>
    <row r="1271" spans="1:22" hidden="1" x14ac:dyDescent="0.3">
      <c r="A1271" s="2" t="s">
        <v>3511</v>
      </c>
      <c r="B1271" s="12">
        <f t="shared" si="57"/>
        <v>46120</v>
      </c>
      <c r="C1271" s="13" t="s">
        <v>142</v>
      </c>
      <c r="D1271" s="2" t="s">
        <v>3512</v>
      </c>
      <c r="E1271" s="2" t="str">
        <f t="shared" si="59"/>
        <v>Email Available</v>
      </c>
      <c r="F1271" s="2" t="s">
        <v>3513</v>
      </c>
      <c r="G1271" s="2" t="s">
        <v>171</v>
      </c>
      <c r="H1271" s="2" t="s">
        <v>106</v>
      </c>
      <c r="I1271" s="2" t="s">
        <v>172</v>
      </c>
      <c r="J1271" s="2">
        <v>1</v>
      </c>
      <c r="K1271" s="2">
        <v>32.99</v>
      </c>
      <c r="L1271" s="2" t="s">
        <v>25</v>
      </c>
      <c r="M1271" s="2">
        <v>6.6</v>
      </c>
      <c r="N1271" s="2">
        <v>4.99</v>
      </c>
      <c r="O1271" s="2">
        <v>31.38</v>
      </c>
      <c r="P1271" s="2" t="s">
        <v>68</v>
      </c>
      <c r="Q1271" s="2" t="s">
        <v>41</v>
      </c>
      <c r="R1271" s="2" t="s">
        <v>99</v>
      </c>
      <c r="S1271" s="2" t="s">
        <v>108</v>
      </c>
      <c r="T1271" s="2"/>
      <c r="U1271" s="2" t="str">
        <f t="shared" si="58"/>
        <v>Not Required</v>
      </c>
      <c r="V1271" s="2" t="s">
        <v>3514</v>
      </c>
    </row>
    <row r="1272" spans="1:22" hidden="1" x14ac:dyDescent="0.3">
      <c r="A1272" s="2" t="s">
        <v>3515</v>
      </c>
      <c r="B1272" s="12">
        <f t="shared" si="57"/>
        <v>46120</v>
      </c>
      <c r="C1272" s="13" t="s">
        <v>142</v>
      </c>
      <c r="D1272" s="2" t="s">
        <v>1325</v>
      </c>
      <c r="E1272" s="2" t="str">
        <f t="shared" si="59"/>
        <v>Email Available</v>
      </c>
      <c r="F1272" s="2" t="s">
        <v>1326</v>
      </c>
      <c r="G1272" s="2" t="s">
        <v>187</v>
      </c>
      <c r="H1272" s="2" t="s">
        <v>37</v>
      </c>
      <c r="I1272" s="2" t="s">
        <v>188</v>
      </c>
      <c r="J1272" s="2">
        <v>2</v>
      </c>
      <c r="K1272" s="2">
        <v>11.99</v>
      </c>
      <c r="L1272" s="2"/>
      <c r="M1272" s="2">
        <v>0</v>
      </c>
      <c r="N1272" s="2">
        <v>7.99</v>
      </c>
      <c r="O1272" s="2">
        <v>31.97</v>
      </c>
      <c r="P1272" s="2" t="s">
        <v>40</v>
      </c>
      <c r="Q1272" s="2" t="s">
        <v>41</v>
      </c>
      <c r="R1272" s="2" t="s">
        <v>99</v>
      </c>
      <c r="S1272" s="2" t="s">
        <v>30</v>
      </c>
      <c r="T1272" s="2" t="s">
        <v>53</v>
      </c>
      <c r="U1272" s="2" t="str">
        <f t="shared" si="58"/>
        <v>Valid</v>
      </c>
      <c r="V1272" s="2" t="s">
        <v>3516</v>
      </c>
    </row>
    <row r="1273" spans="1:22" hidden="1" x14ac:dyDescent="0.3">
      <c r="A1273" s="2" t="s">
        <v>3517</v>
      </c>
      <c r="B1273" s="12">
        <f t="shared" si="57"/>
        <v>46238.581430636572</v>
      </c>
      <c r="C1273" s="13">
        <v>46238.581430636572</v>
      </c>
      <c r="D1273" s="2" t="s">
        <v>2422</v>
      </c>
      <c r="E1273" s="2" t="str">
        <f t="shared" si="59"/>
        <v>Email Available</v>
      </c>
      <c r="F1273" s="2" t="s">
        <v>2423</v>
      </c>
      <c r="G1273" s="2" t="s">
        <v>80</v>
      </c>
      <c r="H1273" s="2" t="s">
        <v>81</v>
      </c>
      <c r="I1273" s="2" t="s">
        <v>82</v>
      </c>
      <c r="J1273" s="2">
        <v>1</v>
      </c>
      <c r="K1273" s="2">
        <v>89.99</v>
      </c>
      <c r="L1273" s="2" t="s">
        <v>67</v>
      </c>
      <c r="M1273" s="2">
        <v>9</v>
      </c>
      <c r="N1273" s="2">
        <v>0</v>
      </c>
      <c r="O1273" s="2">
        <v>80.989999999999995</v>
      </c>
      <c r="P1273" s="2" t="s">
        <v>27</v>
      </c>
      <c r="Q1273" s="2" t="s">
        <v>41</v>
      </c>
      <c r="R1273" s="2" t="s">
        <v>52</v>
      </c>
      <c r="S1273" s="2" t="s">
        <v>228</v>
      </c>
      <c r="T1273" s="2"/>
      <c r="U1273" s="2" t="str">
        <f t="shared" si="58"/>
        <v>Not Required</v>
      </c>
      <c r="V1273" s="2" t="s">
        <v>262</v>
      </c>
    </row>
    <row r="1274" spans="1:22" hidden="1" x14ac:dyDescent="0.3">
      <c r="A1274" s="2" t="s">
        <v>3518</v>
      </c>
      <c r="B1274" s="12">
        <f t="shared" si="57"/>
        <v>46120</v>
      </c>
      <c r="C1274" s="13" t="s">
        <v>142</v>
      </c>
      <c r="D1274" s="2" t="s">
        <v>2689</v>
      </c>
      <c r="E1274" s="2" t="str">
        <f t="shared" si="59"/>
        <v>Email Available</v>
      </c>
      <c r="F1274" s="2" t="s">
        <v>3519</v>
      </c>
      <c r="G1274" s="2" t="s">
        <v>112</v>
      </c>
      <c r="H1274" s="2" t="s">
        <v>81</v>
      </c>
      <c r="I1274" s="2" t="s">
        <v>113</v>
      </c>
      <c r="J1274" s="2">
        <v>1</v>
      </c>
      <c r="K1274" s="2">
        <v>22.99</v>
      </c>
      <c r="L1274" s="2"/>
      <c r="M1274" s="2">
        <v>0</v>
      </c>
      <c r="N1274" s="2">
        <v>7.99</v>
      </c>
      <c r="O1274" s="2">
        <v>30.98</v>
      </c>
      <c r="P1274" s="2" t="s">
        <v>27</v>
      </c>
      <c r="Q1274" s="2" t="s">
        <v>28</v>
      </c>
      <c r="R1274" s="2" t="s">
        <v>52</v>
      </c>
      <c r="S1274" s="2" t="s">
        <v>30</v>
      </c>
      <c r="T1274" s="2" t="s">
        <v>145</v>
      </c>
      <c r="U1274" s="2" t="str">
        <f t="shared" si="58"/>
        <v>Valid</v>
      </c>
      <c r="V1274" s="2" t="s">
        <v>3520</v>
      </c>
    </row>
    <row r="1275" spans="1:22" hidden="1" x14ac:dyDescent="0.3">
      <c r="A1275" s="2" t="s">
        <v>3521</v>
      </c>
      <c r="B1275" s="12">
        <f t="shared" ref="B1275:B1338" si="60">IF(ISNUMBER(C1275),C1275,DATEVALUE(SUBSTITUTE(TRIM(C1275),CHAR(160)," ")))</f>
        <v>46238.585772025457</v>
      </c>
      <c r="C1275" s="13">
        <v>46238.585772025457</v>
      </c>
      <c r="D1275" s="2" t="s">
        <v>866</v>
      </c>
      <c r="E1275" s="2" t="str">
        <f t="shared" si="59"/>
        <v>Email Available</v>
      </c>
      <c r="F1275" s="2" t="s">
        <v>867</v>
      </c>
      <c r="G1275" s="2" t="s">
        <v>272</v>
      </c>
      <c r="H1275" s="2" t="s">
        <v>23</v>
      </c>
      <c r="I1275" s="2" t="s">
        <v>273</v>
      </c>
      <c r="J1275" s="2">
        <v>2</v>
      </c>
      <c r="K1275" s="2">
        <v>18.989999999999998</v>
      </c>
      <c r="L1275" s="2" t="s">
        <v>25</v>
      </c>
      <c r="M1275" s="2">
        <v>7.6</v>
      </c>
      <c r="N1275" s="2">
        <v>5.99</v>
      </c>
      <c r="O1275" s="2">
        <v>36.369999999999997</v>
      </c>
      <c r="P1275" s="2" t="s">
        <v>51</v>
      </c>
      <c r="Q1275" s="2" t="s">
        <v>28</v>
      </c>
      <c r="R1275" s="2" t="s">
        <v>99</v>
      </c>
      <c r="S1275" s="2" t="s">
        <v>108</v>
      </c>
      <c r="T1275" s="2"/>
      <c r="U1275" s="2" t="str">
        <f t="shared" ref="U1275:U1338" si="61">IF(AND(S1275="United States",T1275=""),"Missing state",IF(T1275="","Not Required","Valid"))</f>
        <v>Not Required</v>
      </c>
      <c r="V1275" s="2" t="s">
        <v>3522</v>
      </c>
    </row>
    <row r="1276" spans="1:22" hidden="1" x14ac:dyDescent="0.3">
      <c r="A1276" s="2" t="s">
        <v>3523</v>
      </c>
      <c r="B1276" s="12">
        <f t="shared" si="60"/>
        <v>46238.588493622687</v>
      </c>
      <c r="C1276" s="13">
        <v>46238.588493622687</v>
      </c>
      <c r="D1276" s="2" t="s">
        <v>1853</v>
      </c>
      <c r="E1276" s="2" t="str">
        <f t="shared" si="59"/>
        <v>Email Available</v>
      </c>
      <c r="F1276" s="2" t="s">
        <v>1854</v>
      </c>
      <c r="G1276" s="2" t="s">
        <v>105</v>
      </c>
      <c r="H1276" s="2" t="s">
        <v>106</v>
      </c>
      <c r="I1276" s="2" t="s">
        <v>107</v>
      </c>
      <c r="J1276" s="2">
        <v>1</v>
      </c>
      <c r="K1276" s="2">
        <v>19.989999999999998</v>
      </c>
      <c r="L1276" s="2"/>
      <c r="M1276" s="2">
        <v>0</v>
      </c>
      <c r="N1276" s="2">
        <v>5.99</v>
      </c>
      <c r="O1276" s="2">
        <v>25.98</v>
      </c>
      <c r="P1276" s="2" t="s">
        <v>51</v>
      </c>
      <c r="Q1276" s="2" t="s">
        <v>28</v>
      </c>
      <c r="R1276" s="2" t="s">
        <v>52</v>
      </c>
      <c r="S1276" s="2" t="s">
        <v>30</v>
      </c>
      <c r="T1276" s="2" t="s">
        <v>454</v>
      </c>
      <c r="U1276" s="2" t="str">
        <f t="shared" si="61"/>
        <v>Valid</v>
      </c>
      <c r="V1276" s="2" t="s">
        <v>3524</v>
      </c>
    </row>
    <row r="1277" spans="1:22" hidden="1" x14ac:dyDescent="0.3">
      <c r="A1277" s="2" t="s">
        <v>3525</v>
      </c>
      <c r="B1277" s="12">
        <f t="shared" si="60"/>
        <v>46238.586815868053</v>
      </c>
      <c r="C1277" s="13">
        <v>46238.586815868053</v>
      </c>
      <c r="D1277" s="2" t="s">
        <v>1520</v>
      </c>
      <c r="E1277" s="2" t="str">
        <f t="shared" si="59"/>
        <v>Email Available</v>
      </c>
      <c r="F1277" s="2" t="s">
        <v>1521</v>
      </c>
      <c r="G1277" s="2" t="s">
        <v>368</v>
      </c>
      <c r="H1277" s="2" t="s">
        <v>88</v>
      </c>
      <c r="I1277" s="2" t="s">
        <v>369</v>
      </c>
      <c r="J1277" s="2">
        <v>1</v>
      </c>
      <c r="K1277" s="2">
        <v>54.99</v>
      </c>
      <c r="L1277" s="2" t="s">
        <v>121</v>
      </c>
      <c r="M1277" s="2">
        <v>13.75</v>
      </c>
      <c r="N1277" s="2">
        <v>7.99</v>
      </c>
      <c r="O1277" s="2">
        <v>49.23</v>
      </c>
      <c r="P1277" s="2" t="s">
        <v>51</v>
      </c>
      <c r="Q1277" s="2" t="s">
        <v>90</v>
      </c>
      <c r="R1277" s="2" t="s">
        <v>52</v>
      </c>
      <c r="S1277" s="2" t="s">
        <v>30</v>
      </c>
      <c r="T1277" s="2" t="s">
        <v>454</v>
      </c>
      <c r="U1277" s="2" t="str">
        <f t="shared" si="61"/>
        <v>Valid</v>
      </c>
      <c r="V1277" s="2" t="s">
        <v>3526</v>
      </c>
    </row>
    <row r="1278" spans="1:22" hidden="1" x14ac:dyDescent="0.3">
      <c r="A1278" s="2" t="s">
        <v>3527</v>
      </c>
      <c r="B1278" s="12">
        <f t="shared" si="60"/>
        <v>46238.58415091435</v>
      </c>
      <c r="C1278" s="13">
        <v>46238.58415091435</v>
      </c>
      <c r="D1278" s="2" t="s">
        <v>651</v>
      </c>
      <c r="E1278" s="2" t="str">
        <f t="shared" si="59"/>
        <v>Email Available</v>
      </c>
      <c r="F1278" s="2" t="s">
        <v>652</v>
      </c>
      <c r="G1278" s="2" t="s">
        <v>80</v>
      </c>
      <c r="H1278" s="2" t="s">
        <v>81</v>
      </c>
      <c r="I1278" s="2" t="s">
        <v>82</v>
      </c>
      <c r="J1278" s="2">
        <v>1</v>
      </c>
      <c r="K1278" s="2">
        <v>89.99</v>
      </c>
      <c r="L1278" s="2" t="s">
        <v>39</v>
      </c>
      <c r="M1278" s="2">
        <v>0</v>
      </c>
      <c r="N1278" s="2">
        <v>0</v>
      </c>
      <c r="O1278" s="2">
        <v>89.99</v>
      </c>
      <c r="P1278" s="2" t="s">
        <v>27</v>
      </c>
      <c r="Q1278" s="2" t="s">
        <v>28</v>
      </c>
      <c r="R1278" s="2" t="s">
        <v>52</v>
      </c>
      <c r="S1278" s="2" t="s">
        <v>30</v>
      </c>
      <c r="T1278" s="2" t="s">
        <v>60</v>
      </c>
      <c r="U1278" s="2" t="str">
        <f t="shared" si="61"/>
        <v>Valid</v>
      </c>
      <c r="V1278" s="2" t="s">
        <v>3528</v>
      </c>
    </row>
    <row r="1279" spans="1:22" hidden="1" x14ac:dyDescent="0.3">
      <c r="A1279" s="2" t="s">
        <v>3529</v>
      </c>
      <c r="B1279" s="12">
        <f t="shared" si="60"/>
        <v>46238.579470590281</v>
      </c>
      <c r="C1279" s="13">
        <v>46238.579470590281</v>
      </c>
      <c r="D1279" s="2" t="s">
        <v>764</v>
      </c>
      <c r="E1279" s="2" t="str">
        <f t="shared" si="59"/>
        <v>Email Available</v>
      </c>
      <c r="F1279" s="2" t="s">
        <v>765</v>
      </c>
      <c r="G1279" s="2" t="s">
        <v>315</v>
      </c>
      <c r="H1279" s="2" t="s">
        <v>37</v>
      </c>
      <c r="I1279" s="2" t="s">
        <v>316</v>
      </c>
      <c r="J1279" s="2">
        <v>1</v>
      </c>
      <c r="K1279" s="2">
        <v>8.99</v>
      </c>
      <c r="L1279" s="2" t="s">
        <v>121</v>
      </c>
      <c r="M1279" s="2">
        <v>2.25</v>
      </c>
      <c r="N1279" s="2">
        <v>5.99</v>
      </c>
      <c r="O1279" s="2">
        <v>12.73</v>
      </c>
      <c r="P1279" s="2" t="s">
        <v>68</v>
      </c>
      <c r="Q1279" s="2" t="s">
        <v>114</v>
      </c>
      <c r="R1279" s="2" t="s">
        <v>29</v>
      </c>
      <c r="S1279" s="2" t="s">
        <v>30</v>
      </c>
      <c r="T1279" s="2" t="s">
        <v>69</v>
      </c>
      <c r="U1279" s="2" t="str">
        <f t="shared" si="61"/>
        <v>Valid</v>
      </c>
      <c r="V1279" s="2" t="s">
        <v>3530</v>
      </c>
    </row>
    <row r="1280" spans="1:22" hidden="1" x14ac:dyDescent="0.3">
      <c r="A1280" s="2" t="s">
        <v>3531</v>
      </c>
      <c r="B1280" s="12">
        <f t="shared" si="60"/>
        <v>46238.583844733803</v>
      </c>
      <c r="C1280" s="13">
        <v>46238.583844733803</v>
      </c>
      <c r="D1280" s="2" t="s">
        <v>1570</v>
      </c>
      <c r="E1280" s="2" t="str">
        <f t="shared" si="59"/>
        <v>Email Available</v>
      </c>
      <c r="F1280" s="2" t="s">
        <v>1571</v>
      </c>
      <c r="G1280" s="2" t="s">
        <v>105</v>
      </c>
      <c r="H1280" s="2" t="s">
        <v>106</v>
      </c>
      <c r="I1280" s="2" t="s">
        <v>107</v>
      </c>
      <c r="J1280" s="2">
        <v>2</v>
      </c>
      <c r="K1280" s="2">
        <v>19.989999999999998</v>
      </c>
      <c r="L1280" s="2" t="s">
        <v>121</v>
      </c>
      <c r="M1280" s="2">
        <v>9.99</v>
      </c>
      <c r="N1280" s="2">
        <v>7.99</v>
      </c>
      <c r="O1280" s="2">
        <v>37.979999999999997</v>
      </c>
      <c r="P1280" s="2" t="s">
        <v>74</v>
      </c>
      <c r="Q1280" s="2" t="s">
        <v>41</v>
      </c>
      <c r="R1280" s="2" t="s">
        <v>52</v>
      </c>
      <c r="S1280" s="2" t="s">
        <v>43</v>
      </c>
      <c r="T1280" s="2"/>
      <c r="U1280" s="2" t="str">
        <f t="shared" si="61"/>
        <v>Not Required</v>
      </c>
      <c r="V1280" s="2" t="s">
        <v>3532</v>
      </c>
    </row>
    <row r="1281" spans="1:22" hidden="1" x14ac:dyDescent="0.3">
      <c r="A1281" s="2" t="s">
        <v>3533</v>
      </c>
      <c r="B1281" s="12">
        <f t="shared" si="60"/>
        <v>46238.586883425924</v>
      </c>
      <c r="C1281" s="13">
        <v>46238.586883425924</v>
      </c>
      <c r="D1281" s="2" t="s">
        <v>2461</v>
      </c>
      <c r="E1281" s="2" t="str">
        <f t="shared" si="59"/>
        <v>Email Available</v>
      </c>
      <c r="F1281" s="2" t="s">
        <v>2462</v>
      </c>
      <c r="G1281" s="2" t="s">
        <v>112</v>
      </c>
      <c r="H1281" s="2" t="s">
        <v>81</v>
      </c>
      <c r="I1281" s="2" t="s">
        <v>113</v>
      </c>
      <c r="J1281" s="2">
        <v>1</v>
      </c>
      <c r="K1281" s="2">
        <v>22.99</v>
      </c>
      <c r="L1281" s="2" t="s">
        <v>121</v>
      </c>
      <c r="M1281" s="2">
        <v>5.75</v>
      </c>
      <c r="N1281" s="2">
        <v>5.99</v>
      </c>
      <c r="O1281" s="2">
        <v>23.23</v>
      </c>
      <c r="P1281" s="2" t="s">
        <v>40</v>
      </c>
      <c r="Q1281" s="2" t="s">
        <v>114</v>
      </c>
      <c r="R1281" s="2" t="s">
        <v>52</v>
      </c>
      <c r="S1281" s="2" t="s">
        <v>43</v>
      </c>
      <c r="T1281" s="2"/>
      <c r="U1281" s="2" t="str">
        <f t="shared" si="61"/>
        <v>Not Required</v>
      </c>
      <c r="V1281" s="2" t="s">
        <v>1370</v>
      </c>
    </row>
    <row r="1282" spans="1:22" hidden="1" x14ac:dyDescent="0.3">
      <c r="A1282" s="2" t="s">
        <v>3534</v>
      </c>
      <c r="B1282" s="12">
        <f t="shared" si="60"/>
        <v>46120</v>
      </c>
      <c r="C1282" s="13" t="s">
        <v>142</v>
      </c>
      <c r="D1282" s="2" t="s">
        <v>900</v>
      </c>
      <c r="E1282" s="2" t="str">
        <f t="shared" si="59"/>
        <v>Email Available</v>
      </c>
      <c r="F1282" s="2" t="s">
        <v>901</v>
      </c>
      <c r="G1282" s="2" t="s">
        <v>133</v>
      </c>
      <c r="H1282" s="2" t="s">
        <v>106</v>
      </c>
      <c r="I1282" s="2" t="s">
        <v>134</v>
      </c>
      <c r="J1282" s="2">
        <v>1</v>
      </c>
      <c r="K1282" s="2">
        <v>16.989999999999998</v>
      </c>
      <c r="L1282" s="2"/>
      <c r="M1282" s="2">
        <v>0</v>
      </c>
      <c r="N1282" s="2">
        <v>4.99</v>
      </c>
      <c r="O1282" s="2">
        <v>21.98</v>
      </c>
      <c r="P1282" s="2" t="s">
        <v>68</v>
      </c>
      <c r="Q1282" s="2" t="s">
        <v>90</v>
      </c>
      <c r="R1282" s="2" t="s">
        <v>52</v>
      </c>
      <c r="S1282" s="2" t="s">
        <v>30</v>
      </c>
      <c r="T1282" s="2" t="s">
        <v>454</v>
      </c>
      <c r="U1282" s="2" t="str">
        <f t="shared" si="61"/>
        <v>Valid</v>
      </c>
      <c r="V1282" s="2" t="s">
        <v>3535</v>
      </c>
    </row>
    <row r="1283" spans="1:22" hidden="1" x14ac:dyDescent="0.3">
      <c r="A1283" s="2" t="s">
        <v>3536</v>
      </c>
      <c r="B1283" s="12">
        <f t="shared" si="60"/>
        <v>46238.580845694443</v>
      </c>
      <c r="C1283" s="13">
        <v>46238.580845694443</v>
      </c>
      <c r="D1283" s="2" t="s">
        <v>34</v>
      </c>
      <c r="E1283" s="2" t="str">
        <f t="shared" ref="E1283:E1346" si="62">IF(TRIM(F1283)="","Missing Email","Email Available")</f>
        <v>Email Available</v>
      </c>
      <c r="F1283" s="2" t="s">
        <v>35</v>
      </c>
      <c r="G1283" s="2" t="s">
        <v>315</v>
      </c>
      <c r="H1283" s="2" t="s">
        <v>37</v>
      </c>
      <c r="I1283" s="2" t="s">
        <v>316</v>
      </c>
      <c r="J1283" s="2">
        <v>1</v>
      </c>
      <c r="K1283" s="2">
        <v>8.99</v>
      </c>
      <c r="L1283" s="2"/>
      <c r="M1283" s="2">
        <v>0</v>
      </c>
      <c r="N1283" s="2">
        <v>7.99</v>
      </c>
      <c r="O1283" s="2">
        <v>16.98</v>
      </c>
      <c r="P1283" s="2" t="s">
        <v>40</v>
      </c>
      <c r="Q1283" s="2" t="s">
        <v>41</v>
      </c>
      <c r="R1283" s="2" t="s">
        <v>42</v>
      </c>
      <c r="S1283" s="2" t="s">
        <v>43</v>
      </c>
      <c r="T1283" s="2"/>
      <c r="U1283" s="2" t="str">
        <f t="shared" si="61"/>
        <v>Not Required</v>
      </c>
      <c r="V1283" s="2" t="s">
        <v>3537</v>
      </c>
    </row>
    <row r="1284" spans="1:22" hidden="1" x14ac:dyDescent="0.3">
      <c r="A1284" s="2" t="s">
        <v>3538</v>
      </c>
      <c r="B1284" s="12">
        <f t="shared" si="60"/>
        <v>46238.58484019676</v>
      </c>
      <c r="C1284" s="13">
        <v>46238.58484019676</v>
      </c>
      <c r="D1284" s="2" t="s">
        <v>1575</v>
      </c>
      <c r="E1284" s="2" t="str">
        <f t="shared" si="62"/>
        <v>Email Available</v>
      </c>
      <c r="F1284" s="2" t="s">
        <v>1576</v>
      </c>
      <c r="G1284" s="2" t="s">
        <v>2070</v>
      </c>
      <c r="H1284" s="2" t="s">
        <v>49</v>
      </c>
      <c r="I1284" s="2" t="s">
        <v>66</v>
      </c>
      <c r="J1284" s="2">
        <v>1</v>
      </c>
      <c r="K1284" s="2">
        <v>14.99</v>
      </c>
      <c r="L1284" s="2" t="s">
        <v>25</v>
      </c>
      <c r="M1284" s="2">
        <v>3</v>
      </c>
      <c r="N1284" s="2">
        <v>4.99</v>
      </c>
      <c r="O1284" s="2">
        <v>16.98</v>
      </c>
      <c r="P1284" s="2" t="s">
        <v>40</v>
      </c>
      <c r="Q1284" s="2" t="s">
        <v>28</v>
      </c>
      <c r="R1284" s="2" t="s">
        <v>99</v>
      </c>
      <c r="S1284" s="2" t="s">
        <v>108</v>
      </c>
      <c r="T1284" s="2"/>
      <c r="U1284" s="2" t="str">
        <f t="shared" si="61"/>
        <v>Not Required</v>
      </c>
      <c r="V1284" s="2" t="s">
        <v>767</v>
      </c>
    </row>
    <row r="1285" spans="1:22" hidden="1" x14ac:dyDescent="0.3">
      <c r="A1285" s="2" t="s">
        <v>3539</v>
      </c>
      <c r="B1285" s="12">
        <f t="shared" si="60"/>
        <v>46238.586436574071</v>
      </c>
      <c r="C1285" s="13">
        <v>46238.586436574071</v>
      </c>
      <c r="D1285" s="2" t="s">
        <v>3540</v>
      </c>
      <c r="E1285" s="2" t="str">
        <f t="shared" si="62"/>
        <v>Email Available</v>
      </c>
      <c r="F1285" s="2" t="s">
        <v>3541</v>
      </c>
      <c r="G1285" s="2" t="s">
        <v>284</v>
      </c>
      <c r="H1285" s="2" t="s">
        <v>23</v>
      </c>
      <c r="I1285" s="2" t="s">
        <v>285</v>
      </c>
      <c r="J1285" s="2">
        <v>2</v>
      </c>
      <c r="K1285" s="2">
        <v>24.99</v>
      </c>
      <c r="L1285" s="2" t="s">
        <v>208</v>
      </c>
      <c r="M1285" s="2">
        <v>7.5</v>
      </c>
      <c r="N1285" s="2">
        <v>5.99</v>
      </c>
      <c r="O1285" s="2">
        <v>48.47</v>
      </c>
      <c r="P1285" s="2" t="s">
        <v>74</v>
      </c>
      <c r="Q1285" s="2" t="s">
        <v>90</v>
      </c>
      <c r="R1285" s="2" t="s">
        <v>99</v>
      </c>
      <c r="S1285" s="2" t="s">
        <v>30</v>
      </c>
      <c r="T1285" s="2" t="s">
        <v>248</v>
      </c>
      <c r="U1285" s="2" t="str">
        <f t="shared" si="61"/>
        <v>Valid</v>
      </c>
      <c r="V1285" s="2" t="s">
        <v>3542</v>
      </c>
    </row>
    <row r="1286" spans="1:22" hidden="1" x14ac:dyDescent="0.3">
      <c r="A1286" s="2" t="s">
        <v>3543</v>
      </c>
      <c r="B1286" s="12">
        <f t="shared" si="60"/>
        <v>46238</v>
      </c>
      <c r="C1286" s="13" t="s">
        <v>1037</v>
      </c>
      <c r="D1286" s="2" t="s">
        <v>1475</v>
      </c>
      <c r="E1286" s="2" t="str">
        <f t="shared" si="62"/>
        <v>Email Available</v>
      </c>
      <c r="F1286" s="2" t="s">
        <v>1298</v>
      </c>
      <c r="G1286" s="2" t="s">
        <v>133</v>
      </c>
      <c r="H1286" s="2" t="s">
        <v>106</v>
      </c>
      <c r="I1286" s="2" t="s">
        <v>134</v>
      </c>
      <c r="J1286" s="2">
        <v>1</v>
      </c>
      <c r="K1286" s="2">
        <v>16.989999999999998</v>
      </c>
      <c r="L1286" s="2"/>
      <c r="M1286" s="2">
        <v>0</v>
      </c>
      <c r="N1286" s="2">
        <v>7.99</v>
      </c>
      <c r="O1286" s="2">
        <v>24.98</v>
      </c>
      <c r="P1286" s="2" t="s">
        <v>74</v>
      </c>
      <c r="Q1286" s="2" t="s">
        <v>28</v>
      </c>
      <c r="R1286" s="2" t="s">
        <v>99</v>
      </c>
      <c r="S1286" s="2" t="s">
        <v>30</v>
      </c>
      <c r="T1286" s="2" t="s">
        <v>454</v>
      </c>
      <c r="U1286" s="2" t="str">
        <f t="shared" si="61"/>
        <v>Valid</v>
      </c>
      <c r="V1286" s="2" t="s">
        <v>3544</v>
      </c>
    </row>
    <row r="1287" spans="1:22" hidden="1" x14ac:dyDescent="0.3">
      <c r="A1287" s="2" t="s">
        <v>3545</v>
      </c>
      <c r="B1287" s="12">
        <f t="shared" si="60"/>
        <v>46238.578994513889</v>
      </c>
      <c r="C1287" s="13">
        <v>46238.578994513889</v>
      </c>
      <c r="D1287" s="2" t="s">
        <v>3546</v>
      </c>
      <c r="E1287" s="2" t="str">
        <f t="shared" si="62"/>
        <v>Email Available</v>
      </c>
      <c r="F1287" s="2" t="s">
        <v>289</v>
      </c>
      <c r="G1287" s="2" t="s">
        <v>80</v>
      </c>
      <c r="H1287" s="2" t="s">
        <v>81</v>
      </c>
      <c r="I1287" s="2" t="s">
        <v>82</v>
      </c>
      <c r="J1287" s="2">
        <v>2</v>
      </c>
      <c r="K1287" s="2">
        <v>89.99</v>
      </c>
      <c r="L1287" s="2" t="s">
        <v>25</v>
      </c>
      <c r="M1287" s="2">
        <v>36</v>
      </c>
      <c r="N1287" s="2">
        <v>0</v>
      </c>
      <c r="O1287" s="2">
        <v>143.97999999999999</v>
      </c>
      <c r="P1287" s="2" t="s">
        <v>40</v>
      </c>
      <c r="Q1287" s="2" t="s">
        <v>28</v>
      </c>
      <c r="R1287" s="2" t="s">
        <v>52</v>
      </c>
      <c r="S1287" s="2" t="s">
        <v>30</v>
      </c>
      <c r="T1287" s="2" t="s">
        <v>31</v>
      </c>
      <c r="U1287" s="2" t="str">
        <f t="shared" si="61"/>
        <v>Valid</v>
      </c>
      <c r="V1287" s="2" t="s">
        <v>3547</v>
      </c>
    </row>
    <row r="1288" spans="1:22" hidden="1" x14ac:dyDescent="0.3">
      <c r="A1288" s="2" t="s">
        <v>3548</v>
      </c>
      <c r="B1288" s="12">
        <f t="shared" si="60"/>
        <v>46238.581982685188</v>
      </c>
      <c r="C1288" s="13">
        <v>46238.581982685188</v>
      </c>
      <c r="D1288" s="2" t="s">
        <v>1983</v>
      </c>
      <c r="E1288" s="2" t="str">
        <f t="shared" si="62"/>
        <v>Email Available</v>
      </c>
      <c r="F1288" s="2" t="s">
        <v>1984</v>
      </c>
      <c r="G1288" s="2" t="s">
        <v>206</v>
      </c>
      <c r="H1288" s="2" t="s">
        <v>196</v>
      </c>
      <c r="I1288" s="2" t="s">
        <v>207</v>
      </c>
      <c r="J1288" s="2">
        <v>2</v>
      </c>
      <c r="K1288" s="2" t="s">
        <v>1229</v>
      </c>
      <c r="L1288" s="2" t="s">
        <v>121</v>
      </c>
      <c r="M1288" s="2" t="s">
        <v>3549</v>
      </c>
      <c r="N1288" s="2">
        <v>7.99</v>
      </c>
      <c r="O1288" s="2">
        <v>45.48</v>
      </c>
      <c r="P1288" s="2" t="s">
        <v>68</v>
      </c>
      <c r="Q1288" s="2" t="s">
        <v>41</v>
      </c>
      <c r="R1288" s="2" t="s">
        <v>29</v>
      </c>
      <c r="S1288" s="2" t="s">
        <v>30</v>
      </c>
      <c r="T1288" s="2" t="s">
        <v>60</v>
      </c>
      <c r="U1288" s="2" t="str">
        <f t="shared" si="61"/>
        <v>Valid</v>
      </c>
      <c r="V1288" s="2" t="s">
        <v>3550</v>
      </c>
    </row>
    <row r="1289" spans="1:22" hidden="1" x14ac:dyDescent="0.3">
      <c r="A1289" s="2" t="s">
        <v>3551</v>
      </c>
      <c r="B1289" s="12">
        <f t="shared" si="60"/>
        <v>46238.5813543287</v>
      </c>
      <c r="C1289" s="13">
        <v>46238.5813543287</v>
      </c>
      <c r="D1289" s="2" t="s">
        <v>1535</v>
      </c>
      <c r="E1289" s="2" t="str">
        <f t="shared" si="62"/>
        <v>Email Available</v>
      </c>
      <c r="F1289" s="2" t="s">
        <v>1536</v>
      </c>
      <c r="G1289" s="2" t="s">
        <v>133</v>
      </c>
      <c r="H1289" s="2" t="s">
        <v>106</v>
      </c>
      <c r="I1289" s="2" t="s">
        <v>134</v>
      </c>
      <c r="J1289" s="2">
        <v>1</v>
      </c>
      <c r="K1289" s="2">
        <v>16.989999999999998</v>
      </c>
      <c r="L1289" s="2" t="s">
        <v>67</v>
      </c>
      <c r="M1289" s="2">
        <v>1.7</v>
      </c>
      <c r="N1289" s="2">
        <v>7.99</v>
      </c>
      <c r="O1289" s="2">
        <v>23.28</v>
      </c>
      <c r="P1289" s="2" t="s">
        <v>27</v>
      </c>
      <c r="Q1289" s="2" t="s">
        <v>28</v>
      </c>
      <c r="R1289" s="2" t="s">
        <v>52</v>
      </c>
      <c r="S1289" s="2" t="s">
        <v>75</v>
      </c>
      <c r="T1289" s="2"/>
      <c r="U1289" s="2" t="str">
        <f t="shared" si="61"/>
        <v>Not Required</v>
      </c>
      <c r="V1289" s="2" t="s">
        <v>3552</v>
      </c>
    </row>
    <row r="1290" spans="1:22" hidden="1" x14ac:dyDescent="0.3">
      <c r="A1290" s="2" t="s">
        <v>3553</v>
      </c>
      <c r="B1290" s="12">
        <f t="shared" si="60"/>
        <v>46238.584080844907</v>
      </c>
      <c r="C1290" s="13">
        <v>46238.584080844907</v>
      </c>
      <c r="D1290" s="2" t="s">
        <v>577</v>
      </c>
      <c r="E1290" s="2" t="str">
        <f t="shared" si="62"/>
        <v>Email Available</v>
      </c>
      <c r="F1290" s="2" t="s">
        <v>578</v>
      </c>
      <c r="G1290" s="2" t="s">
        <v>133</v>
      </c>
      <c r="H1290" s="2" t="s">
        <v>106</v>
      </c>
      <c r="I1290" s="2" t="s">
        <v>134</v>
      </c>
      <c r="J1290" s="2">
        <v>1</v>
      </c>
      <c r="K1290" s="2">
        <v>16.989999999999998</v>
      </c>
      <c r="L1290" s="2"/>
      <c r="M1290" s="2">
        <v>0</v>
      </c>
      <c r="N1290" s="2">
        <v>7.99</v>
      </c>
      <c r="O1290" s="2" t="s">
        <v>954</v>
      </c>
      <c r="P1290" s="2" t="s">
        <v>27</v>
      </c>
      <c r="Q1290" s="2" t="s">
        <v>90</v>
      </c>
      <c r="R1290" s="2" t="s">
        <v>29</v>
      </c>
      <c r="S1290" s="2" t="s">
        <v>108</v>
      </c>
      <c r="T1290" s="2"/>
      <c r="U1290" s="2" t="str">
        <f t="shared" si="61"/>
        <v>Not Required</v>
      </c>
      <c r="V1290" s="2" t="s">
        <v>3554</v>
      </c>
    </row>
    <row r="1291" spans="1:22" hidden="1" x14ac:dyDescent="0.3">
      <c r="A1291" s="2" t="s">
        <v>3555</v>
      </c>
      <c r="B1291" s="12">
        <f t="shared" si="60"/>
        <v>46238.588730416668</v>
      </c>
      <c r="C1291" s="13">
        <v>46238.588730416668</v>
      </c>
      <c r="D1291" s="2" t="s">
        <v>2812</v>
      </c>
      <c r="E1291" s="2" t="str">
        <f t="shared" si="62"/>
        <v>Email Available</v>
      </c>
      <c r="F1291" s="2" t="s">
        <v>2813</v>
      </c>
      <c r="G1291" s="2" t="s">
        <v>58</v>
      </c>
      <c r="H1291" s="2" t="s">
        <v>23</v>
      </c>
      <c r="I1291" s="2" t="s">
        <v>59</v>
      </c>
      <c r="J1291" s="2">
        <v>1</v>
      </c>
      <c r="K1291" s="2">
        <v>9.99</v>
      </c>
      <c r="L1291" s="2"/>
      <c r="M1291" s="2">
        <v>0</v>
      </c>
      <c r="N1291" s="2">
        <v>5.99</v>
      </c>
      <c r="O1291" s="2">
        <v>15.98</v>
      </c>
      <c r="P1291" s="2" t="s">
        <v>27</v>
      </c>
      <c r="Q1291" s="2" t="s">
        <v>28</v>
      </c>
      <c r="R1291" s="2" t="s">
        <v>52</v>
      </c>
      <c r="S1291" s="2" t="s">
        <v>30</v>
      </c>
      <c r="T1291" s="2" t="s">
        <v>31</v>
      </c>
      <c r="U1291" s="2" t="str">
        <f t="shared" si="61"/>
        <v>Valid</v>
      </c>
      <c r="V1291" s="2" t="s">
        <v>3556</v>
      </c>
    </row>
    <row r="1292" spans="1:22" hidden="1" x14ac:dyDescent="0.3">
      <c r="A1292" s="2" t="s">
        <v>3557</v>
      </c>
      <c r="B1292" s="12">
        <f t="shared" si="60"/>
        <v>46238.588576655093</v>
      </c>
      <c r="C1292" s="13">
        <v>46238.588576655093</v>
      </c>
      <c r="D1292" s="2" t="s">
        <v>2343</v>
      </c>
      <c r="E1292" s="2" t="str">
        <f t="shared" si="62"/>
        <v>Email Available</v>
      </c>
      <c r="F1292" s="2" t="s">
        <v>2344</v>
      </c>
      <c r="G1292" s="2" t="s">
        <v>266</v>
      </c>
      <c r="H1292" s="2" t="s">
        <v>37</v>
      </c>
      <c r="I1292" s="2" t="s">
        <v>267</v>
      </c>
      <c r="J1292" s="2">
        <v>1</v>
      </c>
      <c r="K1292" s="2">
        <v>15.49</v>
      </c>
      <c r="L1292" s="2"/>
      <c r="M1292" s="2">
        <v>0</v>
      </c>
      <c r="N1292" s="2">
        <v>7.99</v>
      </c>
      <c r="O1292" s="2">
        <v>23.48</v>
      </c>
      <c r="P1292" s="2" t="s">
        <v>40</v>
      </c>
      <c r="Q1292" s="2" t="s">
        <v>28</v>
      </c>
      <c r="R1292" s="2" t="s">
        <v>29</v>
      </c>
      <c r="S1292" s="2" t="s">
        <v>43</v>
      </c>
      <c r="T1292" s="2"/>
      <c r="U1292" s="2" t="str">
        <f t="shared" si="61"/>
        <v>Not Required</v>
      </c>
      <c r="V1292" s="2" t="s">
        <v>3558</v>
      </c>
    </row>
    <row r="1293" spans="1:22" hidden="1" x14ac:dyDescent="0.3">
      <c r="A1293" s="2" t="s">
        <v>3559</v>
      </c>
      <c r="B1293" s="12">
        <f t="shared" si="60"/>
        <v>46238.579585416657</v>
      </c>
      <c r="C1293" s="13">
        <v>46238.579585416657</v>
      </c>
      <c r="D1293" s="2" t="s">
        <v>1089</v>
      </c>
      <c r="E1293" s="2" t="str">
        <f t="shared" si="62"/>
        <v>Email Available</v>
      </c>
      <c r="F1293" s="2" t="s">
        <v>595</v>
      </c>
      <c r="G1293" s="2" t="s">
        <v>368</v>
      </c>
      <c r="H1293" s="2" t="s">
        <v>88</v>
      </c>
      <c r="I1293" s="2" t="s">
        <v>369</v>
      </c>
      <c r="J1293" s="2">
        <v>1</v>
      </c>
      <c r="K1293" s="2">
        <v>54.99</v>
      </c>
      <c r="L1293" s="2"/>
      <c r="M1293" s="2">
        <v>0</v>
      </c>
      <c r="N1293" s="2">
        <v>7.99</v>
      </c>
      <c r="O1293" s="2">
        <v>62.98</v>
      </c>
      <c r="P1293" s="2" t="s">
        <v>51</v>
      </c>
      <c r="Q1293" s="2" t="s">
        <v>114</v>
      </c>
      <c r="R1293" s="2" t="s">
        <v>29</v>
      </c>
      <c r="S1293" s="2" t="s">
        <v>30</v>
      </c>
      <c r="T1293" s="2" t="s">
        <v>766</v>
      </c>
      <c r="U1293" s="2" t="str">
        <f t="shared" si="61"/>
        <v>Valid</v>
      </c>
      <c r="V1293" s="2" t="s">
        <v>3560</v>
      </c>
    </row>
    <row r="1294" spans="1:22" hidden="1" x14ac:dyDescent="0.3">
      <c r="A1294" s="2" t="s">
        <v>3561</v>
      </c>
      <c r="B1294" s="12">
        <f t="shared" si="60"/>
        <v>46120</v>
      </c>
      <c r="C1294" s="13" t="s">
        <v>142</v>
      </c>
      <c r="D1294" s="2" t="s">
        <v>647</v>
      </c>
      <c r="E1294" s="2" t="str">
        <f t="shared" si="62"/>
        <v>Email Available</v>
      </c>
      <c r="F1294" s="2" t="s">
        <v>648</v>
      </c>
      <c r="G1294" s="2" t="s">
        <v>241</v>
      </c>
      <c r="H1294" s="2" t="s">
        <v>242</v>
      </c>
      <c r="I1294" s="2" t="s">
        <v>243</v>
      </c>
      <c r="J1294" s="2">
        <v>2</v>
      </c>
      <c r="K1294" s="2">
        <v>27.99</v>
      </c>
      <c r="L1294" s="2"/>
      <c r="M1294" s="2">
        <v>0</v>
      </c>
      <c r="N1294" s="2">
        <v>7.99</v>
      </c>
      <c r="O1294" s="2">
        <v>63.97</v>
      </c>
      <c r="P1294" s="2" t="s">
        <v>74</v>
      </c>
      <c r="Q1294" s="2" t="s">
        <v>28</v>
      </c>
      <c r="R1294" s="2" t="s">
        <v>52</v>
      </c>
      <c r="S1294" s="2" t="s">
        <v>30</v>
      </c>
      <c r="T1294" s="2" t="s">
        <v>31</v>
      </c>
      <c r="U1294" s="2" t="str">
        <f t="shared" si="61"/>
        <v>Valid</v>
      </c>
      <c r="V1294" s="2" t="s">
        <v>3562</v>
      </c>
    </row>
    <row r="1295" spans="1:22" hidden="1" x14ac:dyDescent="0.3">
      <c r="A1295" s="2" t="s">
        <v>3563</v>
      </c>
      <c r="B1295" s="12">
        <f t="shared" si="60"/>
        <v>46238</v>
      </c>
      <c r="C1295" s="13" t="s">
        <v>1245</v>
      </c>
      <c r="D1295" s="2" t="s">
        <v>204</v>
      </c>
      <c r="E1295" s="2" t="str">
        <f t="shared" si="62"/>
        <v>Email Available</v>
      </c>
      <c r="F1295" s="2" t="s">
        <v>205</v>
      </c>
      <c r="G1295" s="2" t="s">
        <v>65</v>
      </c>
      <c r="H1295" s="2" t="s">
        <v>49</v>
      </c>
      <c r="I1295" s="2" t="s">
        <v>66</v>
      </c>
      <c r="J1295" s="2">
        <v>1</v>
      </c>
      <c r="K1295" s="2">
        <v>14.99</v>
      </c>
      <c r="L1295" s="2"/>
      <c r="M1295" s="2">
        <v>0</v>
      </c>
      <c r="N1295" s="2">
        <v>4.99</v>
      </c>
      <c r="O1295" s="2" t="s">
        <v>1834</v>
      </c>
      <c r="P1295" s="2" t="s">
        <v>68</v>
      </c>
      <c r="Q1295" s="2" t="s">
        <v>28</v>
      </c>
      <c r="R1295" s="2" t="s">
        <v>52</v>
      </c>
      <c r="S1295" s="2" t="s">
        <v>75</v>
      </c>
      <c r="T1295" s="2"/>
      <c r="U1295" s="2" t="str">
        <f t="shared" si="61"/>
        <v>Not Required</v>
      </c>
      <c r="V1295" s="2" t="s">
        <v>3564</v>
      </c>
    </row>
    <row r="1296" spans="1:22" hidden="1" x14ac:dyDescent="0.3">
      <c r="A1296" s="2" t="s">
        <v>3565</v>
      </c>
      <c r="B1296" s="12">
        <f t="shared" si="60"/>
        <v>46238.584643888891</v>
      </c>
      <c r="C1296" s="13">
        <v>46238.584643888891</v>
      </c>
      <c r="D1296" s="2" t="s">
        <v>3566</v>
      </c>
      <c r="E1296" s="2" t="str">
        <f t="shared" si="62"/>
        <v>Email Available</v>
      </c>
      <c r="F1296" s="2" t="s">
        <v>2292</v>
      </c>
      <c r="G1296" s="2" t="s">
        <v>284</v>
      </c>
      <c r="H1296" s="2" t="s">
        <v>23</v>
      </c>
      <c r="I1296" s="2" t="s">
        <v>285</v>
      </c>
      <c r="J1296" s="2">
        <v>1</v>
      </c>
      <c r="K1296" s="2">
        <v>24.99</v>
      </c>
      <c r="L1296" s="2" t="s">
        <v>67</v>
      </c>
      <c r="M1296" s="2">
        <v>2.5</v>
      </c>
      <c r="N1296" s="2">
        <v>5.99</v>
      </c>
      <c r="O1296" s="2">
        <v>28.48</v>
      </c>
      <c r="P1296" s="2" t="s">
        <v>51</v>
      </c>
      <c r="Q1296" s="2" t="s">
        <v>114</v>
      </c>
      <c r="R1296" s="2" t="s">
        <v>52</v>
      </c>
      <c r="S1296" s="2" t="s">
        <v>228</v>
      </c>
      <c r="T1296" s="2"/>
      <c r="U1296" s="2" t="str">
        <f t="shared" si="61"/>
        <v>Not Required</v>
      </c>
      <c r="V1296" s="2" t="s">
        <v>3567</v>
      </c>
    </row>
    <row r="1297" spans="1:22" hidden="1" x14ac:dyDescent="0.3">
      <c r="A1297" s="2" t="s">
        <v>3568</v>
      </c>
      <c r="B1297" s="12">
        <f t="shared" si="60"/>
        <v>46238.580668310176</v>
      </c>
      <c r="C1297" s="13">
        <v>46238.580668310176</v>
      </c>
      <c r="D1297" s="2" t="s">
        <v>1482</v>
      </c>
      <c r="E1297" s="2" t="str">
        <f t="shared" si="62"/>
        <v>Email Available</v>
      </c>
      <c r="F1297" s="2" t="s">
        <v>1483</v>
      </c>
      <c r="G1297" s="2" t="s">
        <v>105</v>
      </c>
      <c r="H1297" s="2" t="s">
        <v>106</v>
      </c>
      <c r="I1297" s="2" t="s">
        <v>107</v>
      </c>
      <c r="J1297" s="2">
        <v>1</v>
      </c>
      <c r="K1297" s="2">
        <v>19.989999999999998</v>
      </c>
      <c r="L1297" s="2"/>
      <c r="M1297" s="2">
        <v>0</v>
      </c>
      <c r="N1297" s="2">
        <v>4.99</v>
      </c>
      <c r="O1297" s="2" t="s">
        <v>954</v>
      </c>
      <c r="P1297" s="2" t="s">
        <v>51</v>
      </c>
      <c r="Q1297" s="2" t="s">
        <v>114</v>
      </c>
      <c r="R1297" s="2" t="s">
        <v>29</v>
      </c>
      <c r="S1297" s="2" t="s">
        <v>75</v>
      </c>
      <c r="T1297" s="2"/>
      <c r="U1297" s="2" t="str">
        <f t="shared" si="61"/>
        <v>Not Required</v>
      </c>
      <c r="V1297" s="2" t="s">
        <v>3569</v>
      </c>
    </row>
    <row r="1298" spans="1:22" hidden="1" x14ac:dyDescent="0.3">
      <c r="A1298" s="2" t="s">
        <v>3570</v>
      </c>
      <c r="B1298" s="12">
        <f t="shared" si="60"/>
        <v>46238.579853449082</v>
      </c>
      <c r="C1298" s="13">
        <v>46238.579853449082</v>
      </c>
      <c r="D1298" s="2" t="s">
        <v>610</v>
      </c>
      <c r="E1298" s="2" t="str">
        <f t="shared" si="62"/>
        <v>Email Available</v>
      </c>
      <c r="F1298" s="2" t="s">
        <v>611</v>
      </c>
      <c r="G1298" s="2" t="s">
        <v>105</v>
      </c>
      <c r="H1298" s="2" t="s">
        <v>106</v>
      </c>
      <c r="I1298" s="2" t="s">
        <v>107</v>
      </c>
      <c r="J1298" s="2">
        <v>1</v>
      </c>
      <c r="K1298" s="2">
        <v>19.989999999999998</v>
      </c>
      <c r="L1298" s="2" t="s">
        <v>208</v>
      </c>
      <c r="M1298" s="2">
        <v>3</v>
      </c>
      <c r="N1298" s="2">
        <v>7.99</v>
      </c>
      <c r="O1298" s="2">
        <v>24.98</v>
      </c>
      <c r="P1298" s="2" t="s">
        <v>51</v>
      </c>
      <c r="Q1298" s="2" t="s">
        <v>114</v>
      </c>
      <c r="R1298" s="2" t="s">
        <v>99</v>
      </c>
      <c r="S1298" s="2" t="s">
        <v>43</v>
      </c>
      <c r="T1298" s="2"/>
      <c r="U1298" s="2" t="str">
        <f t="shared" si="61"/>
        <v>Not Required</v>
      </c>
      <c r="V1298" s="2" t="s">
        <v>3571</v>
      </c>
    </row>
    <row r="1299" spans="1:22" hidden="1" x14ac:dyDescent="0.3">
      <c r="A1299" s="2" t="s">
        <v>3572</v>
      </c>
      <c r="B1299" s="12">
        <f t="shared" si="60"/>
        <v>46238.587722847224</v>
      </c>
      <c r="C1299" s="13">
        <v>46238.587722847224</v>
      </c>
      <c r="D1299" s="2" t="s">
        <v>778</v>
      </c>
      <c r="E1299" s="2" t="str">
        <f t="shared" si="62"/>
        <v>Email Available</v>
      </c>
      <c r="F1299" s="2" t="s">
        <v>779</v>
      </c>
      <c r="G1299" s="2" t="s">
        <v>368</v>
      </c>
      <c r="H1299" s="2" t="s">
        <v>88</v>
      </c>
      <c r="I1299" s="2" t="s">
        <v>369</v>
      </c>
      <c r="J1299" s="2">
        <v>1</v>
      </c>
      <c r="K1299" s="2" t="s">
        <v>370</v>
      </c>
      <c r="L1299" s="2" t="s">
        <v>25</v>
      </c>
      <c r="M1299" s="2">
        <v>11</v>
      </c>
      <c r="N1299" s="2">
        <v>5.99</v>
      </c>
      <c r="O1299" s="2">
        <v>49.98</v>
      </c>
      <c r="P1299" s="2" t="s">
        <v>27</v>
      </c>
      <c r="Q1299" s="2" t="s">
        <v>41</v>
      </c>
      <c r="R1299" s="2" t="s">
        <v>52</v>
      </c>
      <c r="S1299" s="2" t="s">
        <v>108</v>
      </c>
      <c r="T1299" s="2"/>
      <c r="U1299" s="2" t="str">
        <f t="shared" si="61"/>
        <v>Not Required</v>
      </c>
      <c r="V1299" s="2" t="s">
        <v>3573</v>
      </c>
    </row>
    <row r="1300" spans="1:22" hidden="1" x14ac:dyDescent="0.3">
      <c r="A1300" s="2" t="s">
        <v>3574</v>
      </c>
      <c r="B1300" s="12">
        <f t="shared" si="60"/>
        <v>46238.585382893521</v>
      </c>
      <c r="C1300" s="13">
        <v>46238.585382893521</v>
      </c>
      <c r="D1300" s="2" t="s">
        <v>1813</v>
      </c>
      <c r="E1300" s="2" t="str">
        <f t="shared" si="62"/>
        <v>Email Available</v>
      </c>
      <c r="F1300" s="2" t="s">
        <v>1814</v>
      </c>
      <c r="G1300" s="2" t="s">
        <v>266</v>
      </c>
      <c r="H1300" s="2" t="s">
        <v>37</v>
      </c>
      <c r="I1300" s="2" t="s">
        <v>267</v>
      </c>
      <c r="J1300" s="2">
        <v>1</v>
      </c>
      <c r="K1300" s="2">
        <v>15.49</v>
      </c>
      <c r="L1300" s="2" t="s">
        <v>121</v>
      </c>
      <c r="M1300" s="2">
        <v>3.87</v>
      </c>
      <c r="N1300" s="2">
        <v>5.99</v>
      </c>
      <c r="O1300" s="2">
        <v>17.61</v>
      </c>
      <c r="P1300" s="2" t="s">
        <v>27</v>
      </c>
      <c r="Q1300" s="2" t="s">
        <v>90</v>
      </c>
      <c r="R1300" s="2" t="s">
        <v>52</v>
      </c>
      <c r="S1300" s="2" t="s">
        <v>337</v>
      </c>
      <c r="T1300" s="2"/>
      <c r="U1300" s="2" t="str">
        <f t="shared" si="61"/>
        <v>Not Required</v>
      </c>
      <c r="V1300" s="2" t="s">
        <v>3575</v>
      </c>
    </row>
    <row r="1301" spans="1:22" hidden="1" x14ac:dyDescent="0.3">
      <c r="A1301" s="2" t="s">
        <v>3576</v>
      </c>
      <c r="B1301" s="12">
        <f t="shared" si="60"/>
        <v>46120</v>
      </c>
      <c r="C1301" s="13" t="s">
        <v>142</v>
      </c>
      <c r="D1301" s="2" t="s">
        <v>1045</v>
      </c>
      <c r="E1301" s="2" t="str">
        <f t="shared" si="62"/>
        <v>Email Available</v>
      </c>
      <c r="F1301" s="2" t="s">
        <v>1046</v>
      </c>
      <c r="G1301" s="2" t="s">
        <v>120</v>
      </c>
      <c r="H1301" s="2" t="s">
        <v>23</v>
      </c>
      <c r="I1301" s="2" t="s">
        <v>24</v>
      </c>
      <c r="J1301" s="2">
        <v>1</v>
      </c>
      <c r="K1301" s="2">
        <v>12.99</v>
      </c>
      <c r="L1301" s="2"/>
      <c r="M1301" s="2" t="s">
        <v>189</v>
      </c>
      <c r="N1301" s="2">
        <v>7.99</v>
      </c>
      <c r="O1301" s="2">
        <v>20.98</v>
      </c>
      <c r="P1301" s="2" t="s">
        <v>51</v>
      </c>
      <c r="Q1301" s="2" t="s">
        <v>90</v>
      </c>
      <c r="R1301" s="2" t="s">
        <v>52</v>
      </c>
      <c r="S1301" s="2" t="s">
        <v>30</v>
      </c>
      <c r="T1301" s="2" t="s">
        <v>115</v>
      </c>
      <c r="U1301" s="2" t="str">
        <f t="shared" si="61"/>
        <v>Valid</v>
      </c>
      <c r="V1301" s="2" t="s">
        <v>3577</v>
      </c>
    </row>
    <row r="1302" spans="1:22" hidden="1" x14ac:dyDescent="0.3">
      <c r="A1302" s="2" t="s">
        <v>3578</v>
      </c>
      <c r="B1302" s="12">
        <f t="shared" si="60"/>
        <v>46238.58798394676</v>
      </c>
      <c r="C1302" s="13">
        <v>46238.58798394676</v>
      </c>
      <c r="D1302" s="2" t="s">
        <v>2045</v>
      </c>
      <c r="E1302" s="2" t="str">
        <f t="shared" si="62"/>
        <v>Email Available</v>
      </c>
      <c r="F1302" s="2" t="s">
        <v>2046</v>
      </c>
      <c r="G1302" s="2" t="s">
        <v>133</v>
      </c>
      <c r="H1302" s="2" t="s">
        <v>106</v>
      </c>
      <c r="I1302" s="2" t="s">
        <v>134</v>
      </c>
      <c r="J1302" s="2">
        <v>1</v>
      </c>
      <c r="K1302" s="2" t="s">
        <v>999</v>
      </c>
      <c r="L1302" s="2"/>
      <c r="M1302" s="2">
        <v>0</v>
      </c>
      <c r="N1302" s="2">
        <v>4.99</v>
      </c>
      <c r="O1302" s="2" t="s">
        <v>3579</v>
      </c>
      <c r="P1302" s="2" t="s">
        <v>74</v>
      </c>
      <c r="Q1302" s="2" t="s">
        <v>28</v>
      </c>
      <c r="R1302" s="2" t="s">
        <v>99</v>
      </c>
      <c r="S1302" s="2" t="s">
        <v>108</v>
      </c>
      <c r="T1302" s="2"/>
      <c r="U1302" s="2" t="str">
        <f t="shared" si="61"/>
        <v>Not Required</v>
      </c>
      <c r="V1302" s="2" t="s">
        <v>3580</v>
      </c>
    </row>
    <row r="1303" spans="1:22" x14ac:dyDescent="0.3">
      <c r="A1303" s="2" t="s">
        <v>3581</v>
      </c>
      <c r="B1303" s="12">
        <f t="shared" si="60"/>
        <v>46238.581825578702</v>
      </c>
      <c r="C1303" s="13">
        <v>46238.581825578702</v>
      </c>
      <c r="D1303" s="2" t="s">
        <v>1847</v>
      </c>
      <c r="E1303" s="2" t="str">
        <f t="shared" si="62"/>
        <v>Missing Email</v>
      </c>
      <c r="F1303" s="2"/>
      <c r="G1303" s="2" t="s">
        <v>105</v>
      </c>
      <c r="H1303" s="2" t="s">
        <v>106</v>
      </c>
      <c r="I1303" s="2" t="s">
        <v>107</v>
      </c>
      <c r="J1303" s="2">
        <v>1</v>
      </c>
      <c r="K1303" s="2">
        <v>19.989999999999998</v>
      </c>
      <c r="L1303" s="2"/>
      <c r="M1303" s="2">
        <v>0</v>
      </c>
      <c r="N1303" s="2">
        <v>5.99</v>
      </c>
      <c r="O1303" s="2" t="s">
        <v>2465</v>
      </c>
      <c r="P1303" s="2" t="s">
        <v>51</v>
      </c>
      <c r="Q1303" s="2" t="s">
        <v>28</v>
      </c>
      <c r="R1303" s="2" t="s">
        <v>99</v>
      </c>
      <c r="S1303" s="2" t="s">
        <v>30</v>
      </c>
      <c r="T1303" s="2" t="s">
        <v>347</v>
      </c>
      <c r="U1303" s="2" t="str">
        <f t="shared" si="61"/>
        <v>Valid</v>
      </c>
      <c r="V1303" s="2" t="s">
        <v>3582</v>
      </c>
    </row>
    <row r="1304" spans="1:22" hidden="1" x14ac:dyDescent="0.3">
      <c r="A1304" s="2" t="s">
        <v>3583</v>
      </c>
      <c r="B1304" s="12">
        <f t="shared" si="60"/>
        <v>46238</v>
      </c>
      <c r="C1304" s="13" t="s">
        <v>148</v>
      </c>
      <c r="D1304" s="2" t="s">
        <v>877</v>
      </c>
      <c r="E1304" s="2" t="str">
        <f t="shared" si="62"/>
        <v>Email Available</v>
      </c>
      <c r="F1304" s="2" t="s">
        <v>878</v>
      </c>
      <c r="G1304" s="2" t="s">
        <v>272</v>
      </c>
      <c r="H1304" s="2" t="s">
        <v>23</v>
      </c>
      <c r="I1304" s="2" t="s">
        <v>273</v>
      </c>
      <c r="J1304" s="2">
        <v>2</v>
      </c>
      <c r="K1304" s="2">
        <v>18.989999999999998</v>
      </c>
      <c r="L1304" s="2" t="s">
        <v>67</v>
      </c>
      <c r="M1304" s="2">
        <v>3.8</v>
      </c>
      <c r="N1304" s="2">
        <v>4.99</v>
      </c>
      <c r="O1304" s="2">
        <v>39.17</v>
      </c>
      <c r="P1304" s="2" t="s">
        <v>27</v>
      </c>
      <c r="Q1304" s="2" t="s">
        <v>41</v>
      </c>
      <c r="R1304" s="2" t="s">
        <v>42</v>
      </c>
      <c r="S1304" s="2" t="s">
        <v>75</v>
      </c>
      <c r="T1304" s="2"/>
      <c r="U1304" s="2" t="str">
        <f t="shared" si="61"/>
        <v>Not Required</v>
      </c>
      <c r="V1304" s="2" t="s">
        <v>3584</v>
      </c>
    </row>
    <row r="1305" spans="1:22" hidden="1" x14ac:dyDescent="0.3">
      <c r="A1305" s="2" t="s">
        <v>3585</v>
      </c>
      <c r="B1305" s="12">
        <f t="shared" si="60"/>
        <v>46238.588224861109</v>
      </c>
      <c r="C1305" s="13">
        <v>46238.588224861109</v>
      </c>
      <c r="D1305" s="2" t="s">
        <v>993</v>
      </c>
      <c r="E1305" s="2" t="str">
        <f t="shared" si="62"/>
        <v>Email Available</v>
      </c>
      <c r="F1305" s="2" t="s">
        <v>678</v>
      </c>
      <c r="G1305" s="2" t="s">
        <v>206</v>
      </c>
      <c r="H1305" s="2" t="s">
        <v>196</v>
      </c>
      <c r="I1305" s="2" t="s">
        <v>207</v>
      </c>
      <c r="J1305" s="2">
        <v>1</v>
      </c>
      <c r="K1305" s="2">
        <v>24.99</v>
      </c>
      <c r="L1305" s="2" t="s">
        <v>208</v>
      </c>
      <c r="M1305" s="2">
        <v>3.75</v>
      </c>
      <c r="N1305" s="2">
        <v>4.99</v>
      </c>
      <c r="O1305" s="2">
        <v>26.23</v>
      </c>
      <c r="P1305" s="2" t="s">
        <v>40</v>
      </c>
      <c r="Q1305" s="2" t="s">
        <v>28</v>
      </c>
      <c r="R1305" s="2" t="s">
        <v>52</v>
      </c>
      <c r="S1305" s="2" t="s">
        <v>30</v>
      </c>
      <c r="T1305" s="2" t="s">
        <v>248</v>
      </c>
      <c r="U1305" s="2" t="str">
        <f t="shared" si="61"/>
        <v>Valid</v>
      </c>
      <c r="V1305" s="2" t="s">
        <v>3586</v>
      </c>
    </row>
    <row r="1306" spans="1:22" hidden="1" x14ac:dyDescent="0.3">
      <c r="A1306" s="2" t="s">
        <v>3587</v>
      </c>
      <c r="B1306" s="12">
        <f t="shared" si="60"/>
        <v>46238.588608402781</v>
      </c>
      <c r="C1306" s="13">
        <v>46238.588608402781</v>
      </c>
      <c r="D1306" s="2" t="s">
        <v>384</v>
      </c>
      <c r="E1306" s="2" t="str">
        <f t="shared" si="62"/>
        <v>Email Available</v>
      </c>
      <c r="F1306" s="2" t="s">
        <v>385</v>
      </c>
      <c r="G1306" s="2" t="s">
        <v>48</v>
      </c>
      <c r="H1306" s="2" t="s">
        <v>49</v>
      </c>
      <c r="I1306" s="2" t="s">
        <v>50</v>
      </c>
      <c r="J1306" s="2">
        <v>4</v>
      </c>
      <c r="K1306" s="2">
        <v>39.99</v>
      </c>
      <c r="L1306" s="2" t="s">
        <v>67</v>
      </c>
      <c r="M1306" s="2">
        <v>16</v>
      </c>
      <c r="N1306" s="2">
        <v>0</v>
      </c>
      <c r="O1306" s="2">
        <v>143.96</v>
      </c>
      <c r="P1306" s="2" t="s">
        <v>51</v>
      </c>
      <c r="Q1306" s="2" t="s">
        <v>90</v>
      </c>
      <c r="R1306" s="2" t="s">
        <v>42</v>
      </c>
      <c r="S1306" s="2" t="s">
        <v>75</v>
      </c>
      <c r="T1306" s="2"/>
      <c r="U1306" s="2" t="str">
        <f t="shared" si="61"/>
        <v>Not Required</v>
      </c>
      <c r="V1306" s="2" t="s">
        <v>3588</v>
      </c>
    </row>
    <row r="1307" spans="1:22" hidden="1" x14ac:dyDescent="0.3">
      <c r="A1307" s="2" t="s">
        <v>3589</v>
      </c>
      <c r="B1307" s="12">
        <f t="shared" si="60"/>
        <v>46238.585290428236</v>
      </c>
      <c r="C1307" s="13">
        <v>46238.585290428236</v>
      </c>
      <c r="D1307" s="2" t="s">
        <v>1495</v>
      </c>
      <c r="E1307" s="2" t="str">
        <f t="shared" si="62"/>
        <v>Email Available</v>
      </c>
      <c r="F1307" s="2" t="s">
        <v>1496</v>
      </c>
      <c r="G1307" s="2" t="s">
        <v>284</v>
      </c>
      <c r="H1307" s="2" t="s">
        <v>23</v>
      </c>
      <c r="I1307" s="2" t="s">
        <v>285</v>
      </c>
      <c r="J1307" s="2">
        <v>1</v>
      </c>
      <c r="K1307" s="2">
        <v>24.99</v>
      </c>
      <c r="L1307" s="2"/>
      <c r="M1307" s="2">
        <v>0</v>
      </c>
      <c r="N1307" s="2">
        <v>7.99</v>
      </c>
      <c r="O1307" s="2">
        <v>32.979999999999997</v>
      </c>
      <c r="P1307" s="2" t="s">
        <v>40</v>
      </c>
      <c r="Q1307" s="2" t="s">
        <v>28</v>
      </c>
      <c r="R1307" s="2" t="s">
        <v>42</v>
      </c>
      <c r="S1307" s="2" t="s">
        <v>43</v>
      </c>
      <c r="T1307" s="2"/>
      <c r="U1307" s="2" t="str">
        <f t="shared" si="61"/>
        <v>Not Required</v>
      </c>
      <c r="V1307" s="2" t="s">
        <v>3590</v>
      </c>
    </row>
    <row r="1308" spans="1:22" hidden="1" x14ac:dyDescent="0.3">
      <c r="A1308" s="2" t="s">
        <v>3591</v>
      </c>
      <c r="B1308" s="12">
        <f t="shared" si="60"/>
        <v>46238.587548229167</v>
      </c>
      <c r="C1308" s="13">
        <v>46238.587548229167</v>
      </c>
      <c r="D1308" s="2" t="s">
        <v>569</v>
      </c>
      <c r="E1308" s="2" t="str">
        <f t="shared" si="62"/>
        <v>Email Available</v>
      </c>
      <c r="F1308" s="2" t="s">
        <v>570</v>
      </c>
      <c r="G1308" s="2" t="s">
        <v>151</v>
      </c>
      <c r="H1308" s="2" t="s">
        <v>49</v>
      </c>
      <c r="I1308" s="2" t="s">
        <v>152</v>
      </c>
      <c r="J1308" s="2">
        <v>2</v>
      </c>
      <c r="K1308" s="2">
        <v>34.99</v>
      </c>
      <c r="L1308" s="2"/>
      <c r="M1308" s="2">
        <v>0</v>
      </c>
      <c r="N1308" s="2">
        <v>4.99</v>
      </c>
      <c r="O1308" s="2">
        <v>74.97</v>
      </c>
      <c r="P1308" s="2" t="s">
        <v>27</v>
      </c>
      <c r="Q1308" s="2" t="s">
        <v>41</v>
      </c>
      <c r="R1308" s="2" t="s">
        <v>52</v>
      </c>
      <c r="S1308" s="2" t="s">
        <v>337</v>
      </c>
      <c r="T1308" s="2"/>
      <c r="U1308" s="2" t="str">
        <f t="shared" si="61"/>
        <v>Not Required</v>
      </c>
      <c r="V1308" s="2" t="s">
        <v>1191</v>
      </c>
    </row>
    <row r="1309" spans="1:22" hidden="1" x14ac:dyDescent="0.3">
      <c r="A1309" s="2" t="s">
        <v>3592</v>
      </c>
      <c r="B1309" s="12">
        <f t="shared" si="60"/>
        <v>46238.58227324074</v>
      </c>
      <c r="C1309" s="13">
        <v>46238.58227324074</v>
      </c>
      <c r="D1309" s="2" t="s">
        <v>476</v>
      </c>
      <c r="E1309" s="2" t="str">
        <f t="shared" si="62"/>
        <v>Email Available</v>
      </c>
      <c r="F1309" s="2" t="s">
        <v>477</v>
      </c>
      <c r="G1309" s="2" t="s">
        <v>1265</v>
      </c>
      <c r="H1309" s="2" t="s">
        <v>23</v>
      </c>
      <c r="I1309" s="2" t="s">
        <v>59</v>
      </c>
      <c r="J1309" s="2">
        <v>1</v>
      </c>
      <c r="K1309" s="2">
        <v>9.99</v>
      </c>
      <c r="L1309" s="2"/>
      <c r="M1309" s="2">
        <v>0</v>
      </c>
      <c r="N1309" s="2">
        <v>5.99</v>
      </c>
      <c r="O1309" s="2">
        <v>15.98</v>
      </c>
      <c r="P1309" s="2" t="s">
        <v>40</v>
      </c>
      <c r="Q1309" s="2" t="s">
        <v>28</v>
      </c>
      <c r="R1309" s="2" t="s">
        <v>52</v>
      </c>
      <c r="S1309" s="2" t="s">
        <v>228</v>
      </c>
      <c r="T1309" s="2"/>
      <c r="U1309" s="2" t="str">
        <f t="shared" si="61"/>
        <v>Not Required</v>
      </c>
      <c r="V1309" s="2" t="s">
        <v>3593</v>
      </c>
    </row>
    <row r="1310" spans="1:22" hidden="1" x14ac:dyDescent="0.3">
      <c r="A1310" s="2" t="s">
        <v>3594</v>
      </c>
      <c r="B1310" s="12">
        <f t="shared" si="60"/>
        <v>46238.58214943287</v>
      </c>
      <c r="C1310" s="13">
        <v>46238.58214943287</v>
      </c>
      <c r="D1310" s="2" t="s">
        <v>3595</v>
      </c>
      <c r="E1310" s="2" t="str">
        <f t="shared" si="62"/>
        <v>Email Available</v>
      </c>
      <c r="F1310" s="2" t="s">
        <v>3596</v>
      </c>
      <c r="G1310" s="2" t="s">
        <v>133</v>
      </c>
      <c r="H1310" s="2" t="s">
        <v>106</v>
      </c>
      <c r="I1310" s="2" t="s">
        <v>134</v>
      </c>
      <c r="J1310" s="2">
        <v>1</v>
      </c>
      <c r="K1310" s="2">
        <v>16.989999999999998</v>
      </c>
      <c r="L1310" s="2" t="s">
        <v>2965</v>
      </c>
      <c r="M1310" s="2">
        <v>3.4</v>
      </c>
      <c r="N1310" s="2">
        <v>4.99</v>
      </c>
      <c r="O1310" s="2">
        <v>18.579999999999998</v>
      </c>
      <c r="P1310" s="2" t="s">
        <v>27</v>
      </c>
      <c r="Q1310" s="2" t="s">
        <v>114</v>
      </c>
      <c r="R1310" s="2" t="s">
        <v>52</v>
      </c>
      <c r="S1310" s="2" t="s">
        <v>30</v>
      </c>
      <c r="T1310" s="2" t="s">
        <v>145</v>
      </c>
      <c r="U1310" s="2" t="str">
        <f t="shared" si="61"/>
        <v>Valid</v>
      </c>
      <c r="V1310" s="2" t="s">
        <v>3597</v>
      </c>
    </row>
    <row r="1311" spans="1:22" hidden="1" x14ac:dyDescent="0.3">
      <c r="A1311" s="2" t="s">
        <v>3598</v>
      </c>
      <c r="B1311" s="12">
        <f t="shared" si="60"/>
        <v>46238.585837256942</v>
      </c>
      <c r="C1311" s="13">
        <v>46238.585837256942</v>
      </c>
      <c r="D1311" s="2" t="s">
        <v>181</v>
      </c>
      <c r="E1311" s="2" t="str">
        <f t="shared" si="62"/>
        <v>Email Available</v>
      </c>
      <c r="F1311" s="2" t="s">
        <v>182</v>
      </c>
      <c r="G1311" s="2" t="s">
        <v>284</v>
      </c>
      <c r="H1311" s="2" t="s">
        <v>23</v>
      </c>
      <c r="I1311" s="2" t="s">
        <v>285</v>
      </c>
      <c r="J1311" s="2">
        <v>1</v>
      </c>
      <c r="K1311" s="2">
        <v>24.99</v>
      </c>
      <c r="L1311" s="2"/>
      <c r="M1311" s="2">
        <v>0</v>
      </c>
      <c r="N1311" s="2">
        <v>5.99</v>
      </c>
      <c r="O1311" s="2">
        <v>30.98</v>
      </c>
      <c r="P1311" s="2" t="s">
        <v>74</v>
      </c>
      <c r="Q1311" s="2" t="s">
        <v>28</v>
      </c>
      <c r="R1311" s="2" t="s">
        <v>52</v>
      </c>
      <c r="S1311" s="2" t="s">
        <v>30</v>
      </c>
      <c r="T1311" s="2" t="s">
        <v>454</v>
      </c>
      <c r="U1311" s="2" t="str">
        <f t="shared" si="61"/>
        <v>Valid</v>
      </c>
      <c r="V1311" s="2" t="s">
        <v>3599</v>
      </c>
    </row>
    <row r="1312" spans="1:22" hidden="1" x14ac:dyDescent="0.3">
      <c r="A1312" s="2" t="s">
        <v>3600</v>
      </c>
      <c r="B1312" s="12">
        <f t="shared" si="60"/>
        <v>46120</v>
      </c>
      <c r="C1312" s="13" t="s">
        <v>142</v>
      </c>
      <c r="D1312" s="2" t="s">
        <v>373</v>
      </c>
      <c r="E1312" s="2" t="str">
        <f t="shared" si="62"/>
        <v>Email Available</v>
      </c>
      <c r="F1312" s="2" t="s">
        <v>374</v>
      </c>
      <c r="G1312" s="2" t="s">
        <v>65</v>
      </c>
      <c r="H1312" s="2" t="s">
        <v>49</v>
      </c>
      <c r="I1312" s="2" t="s">
        <v>453</v>
      </c>
      <c r="J1312" s="2">
        <v>1</v>
      </c>
      <c r="K1312" s="2">
        <v>14.99</v>
      </c>
      <c r="L1312" s="2" t="s">
        <v>121</v>
      </c>
      <c r="M1312" s="2">
        <v>3.75</v>
      </c>
      <c r="N1312" s="2">
        <v>7.99</v>
      </c>
      <c r="O1312" s="2">
        <v>19.23</v>
      </c>
      <c r="P1312" s="2" t="s">
        <v>27</v>
      </c>
      <c r="Q1312" s="2" t="s">
        <v>114</v>
      </c>
      <c r="R1312" s="2" t="s">
        <v>42</v>
      </c>
      <c r="S1312" s="2" t="s">
        <v>337</v>
      </c>
      <c r="T1312" s="2"/>
      <c r="U1312" s="2" t="str">
        <f t="shared" si="61"/>
        <v>Not Required</v>
      </c>
      <c r="V1312" s="2" t="s">
        <v>3601</v>
      </c>
    </row>
    <row r="1313" spans="1:22" hidden="1" x14ac:dyDescent="0.3">
      <c r="A1313" s="2" t="s">
        <v>3602</v>
      </c>
      <c r="B1313" s="12">
        <f t="shared" si="60"/>
        <v>46238.585351134258</v>
      </c>
      <c r="C1313" s="13">
        <v>46238.585351134258</v>
      </c>
      <c r="D1313" s="2" t="s">
        <v>1721</v>
      </c>
      <c r="E1313" s="2" t="str">
        <f t="shared" si="62"/>
        <v>Email Available</v>
      </c>
      <c r="F1313" s="2" t="s">
        <v>606</v>
      </c>
      <c r="G1313" s="2" t="s">
        <v>272</v>
      </c>
      <c r="H1313" s="2" t="s">
        <v>23</v>
      </c>
      <c r="I1313" s="2" t="s">
        <v>273</v>
      </c>
      <c r="J1313" s="2">
        <v>1</v>
      </c>
      <c r="K1313" s="2">
        <v>18.989999999999998</v>
      </c>
      <c r="L1313" s="2"/>
      <c r="M1313" s="2">
        <v>0</v>
      </c>
      <c r="N1313" s="2">
        <v>4.99</v>
      </c>
      <c r="O1313" s="2" t="s">
        <v>3155</v>
      </c>
      <c r="P1313" s="2" t="s">
        <v>74</v>
      </c>
      <c r="Q1313" s="2" t="s">
        <v>28</v>
      </c>
      <c r="R1313" s="2" t="s">
        <v>52</v>
      </c>
      <c r="S1313" s="2" t="s">
        <v>30</v>
      </c>
      <c r="T1313" s="2" t="s">
        <v>91</v>
      </c>
      <c r="U1313" s="2" t="str">
        <f t="shared" si="61"/>
        <v>Valid</v>
      </c>
      <c r="V1313" s="2" t="s">
        <v>3603</v>
      </c>
    </row>
    <row r="1314" spans="1:22" hidden="1" x14ac:dyDescent="0.3">
      <c r="A1314" s="2" t="s">
        <v>3604</v>
      </c>
      <c r="B1314" s="12">
        <f t="shared" si="60"/>
        <v>46238.584685127324</v>
      </c>
      <c r="C1314" s="13">
        <v>46238.584685127324</v>
      </c>
      <c r="D1314" s="2" t="s">
        <v>2037</v>
      </c>
      <c r="E1314" s="2" t="str">
        <f t="shared" si="62"/>
        <v>Email Available</v>
      </c>
      <c r="F1314" s="2" t="s">
        <v>2038</v>
      </c>
      <c r="G1314" s="2" t="s">
        <v>266</v>
      </c>
      <c r="H1314" s="2" t="s">
        <v>37</v>
      </c>
      <c r="I1314" s="2" t="s">
        <v>267</v>
      </c>
      <c r="J1314" s="2">
        <v>1</v>
      </c>
      <c r="K1314" s="2">
        <v>15.49</v>
      </c>
      <c r="L1314" s="2" t="s">
        <v>208</v>
      </c>
      <c r="M1314" s="2">
        <v>2.3199999999999998</v>
      </c>
      <c r="N1314" s="2">
        <v>4.99</v>
      </c>
      <c r="O1314" s="2" t="s">
        <v>3605</v>
      </c>
      <c r="P1314" s="2" t="s">
        <v>74</v>
      </c>
      <c r="Q1314" s="2" t="s">
        <v>28</v>
      </c>
      <c r="R1314" s="2" t="s">
        <v>52</v>
      </c>
      <c r="S1314" s="2" t="s">
        <v>337</v>
      </c>
      <c r="T1314" s="2"/>
      <c r="U1314" s="2" t="str">
        <f t="shared" si="61"/>
        <v>Not Required</v>
      </c>
      <c r="V1314" s="2" t="s">
        <v>3606</v>
      </c>
    </row>
    <row r="1315" spans="1:22" hidden="1" x14ac:dyDescent="0.3">
      <c r="A1315" s="2" t="s">
        <v>3607</v>
      </c>
      <c r="B1315" s="12">
        <f t="shared" si="60"/>
        <v>46238.584921145834</v>
      </c>
      <c r="C1315" s="13">
        <v>46238.584921145834</v>
      </c>
      <c r="D1315" s="2" t="s">
        <v>3608</v>
      </c>
      <c r="E1315" s="2" t="str">
        <f t="shared" si="62"/>
        <v>Email Available</v>
      </c>
      <c r="F1315" s="2" t="s">
        <v>3609</v>
      </c>
      <c r="G1315" s="2" t="s">
        <v>127</v>
      </c>
      <c r="H1315" s="2" t="s">
        <v>81</v>
      </c>
      <c r="I1315" s="2" t="s">
        <v>128</v>
      </c>
      <c r="J1315" s="2">
        <v>1</v>
      </c>
      <c r="K1315" s="2">
        <v>13.99</v>
      </c>
      <c r="L1315" s="2"/>
      <c r="M1315" s="2">
        <v>0</v>
      </c>
      <c r="N1315" s="2">
        <v>5.99</v>
      </c>
      <c r="O1315" s="2">
        <v>19.98</v>
      </c>
      <c r="P1315" s="2" t="s">
        <v>27</v>
      </c>
      <c r="Q1315" s="2" t="s">
        <v>114</v>
      </c>
      <c r="R1315" s="2" t="s">
        <v>52</v>
      </c>
      <c r="S1315" s="2" t="s">
        <v>108</v>
      </c>
      <c r="T1315" s="2"/>
      <c r="U1315" s="2" t="str">
        <f t="shared" si="61"/>
        <v>Not Required</v>
      </c>
      <c r="V1315" s="2" t="s">
        <v>3610</v>
      </c>
    </row>
    <row r="1316" spans="1:22" hidden="1" x14ac:dyDescent="0.3">
      <c r="A1316" s="2" t="s">
        <v>3611</v>
      </c>
      <c r="B1316" s="12">
        <f t="shared" si="60"/>
        <v>46238.580728252316</v>
      </c>
      <c r="C1316" s="13">
        <v>46238.580728252316</v>
      </c>
      <c r="D1316" s="2" t="s">
        <v>3612</v>
      </c>
      <c r="E1316" s="2" t="str">
        <f t="shared" si="62"/>
        <v>Email Available</v>
      </c>
      <c r="F1316" s="2" t="s">
        <v>328</v>
      </c>
      <c r="G1316" s="2" t="s">
        <v>105</v>
      </c>
      <c r="H1316" s="2" t="s">
        <v>106</v>
      </c>
      <c r="I1316" s="2" t="s">
        <v>107</v>
      </c>
      <c r="J1316" s="2">
        <v>1</v>
      </c>
      <c r="K1316" s="2">
        <v>19.989999999999998</v>
      </c>
      <c r="L1316" s="2" t="s">
        <v>121</v>
      </c>
      <c r="M1316" s="2">
        <v>5</v>
      </c>
      <c r="N1316" s="2">
        <v>5.99</v>
      </c>
      <c r="O1316" s="2">
        <v>20.98</v>
      </c>
      <c r="P1316" s="2" t="s">
        <v>51</v>
      </c>
      <c r="Q1316" s="2" t="s">
        <v>90</v>
      </c>
      <c r="R1316" s="2" t="s">
        <v>42</v>
      </c>
      <c r="S1316" s="2" t="s">
        <v>228</v>
      </c>
      <c r="T1316" s="2"/>
      <c r="U1316" s="2" t="str">
        <f t="shared" si="61"/>
        <v>Not Required</v>
      </c>
      <c r="V1316" s="2" t="s">
        <v>3613</v>
      </c>
    </row>
    <row r="1317" spans="1:22" hidden="1" x14ac:dyDescent="0.3">
      <c r="A1317" s="2" t="s">
        <v>3614</v>
      </c>
      <c r="B1317" s="12">
        <f t="shared" si="60"/>
        <v>46238.581528692128</v>
      </c>
      <c r="C1317" s="13">
        <v>46238.581528692128</v>
      </c>
      <c r="D1317" s="2" t="s">
        <v>1639</v>
      </c>
      <c r="E1317" s="2" t="str">
        <f t="shared" si="62"/>
        <v>Email Available</v>
      </c>
      <c r="F1317" s="2" t="s">
        <v>1640</v>
      </c>
      <c r="G1317" s="2" t="s">
        <v>195</v>
      </c>
      <c r="H1317" s="2" t="s">
        <v>196</v>
      </c>
      <c r="I1317" s="2" t="s">
        <v>197</v>
      </c>
      <c r="J1317" s="2">
        <v>2</v>
      </c>
      <c r="K1317" s="2">
        <v>13.49</v>
      </c>
      <c r="L1317" s="2"/>
      <c r="M1317" s="2">
        <v>0</v>
      </c>
      <c r="N1317" s="2">
        <v>4.99</v>
      </c>
      <c r="O1317" s="2">
        <v>31.97</v>
      </c>
      <c r="P1317" s="2" t="s">
        <v>40</v>
      </c>
      <c r="Q1317" s="2" t="s">
        <v>90</v>
      </c>
      <c r="R1317" s="2" t="s">
        <v>99</v>
      </c>
      <c r="S1317" s="2" t="s">
        <v>108</v>
      </c>
      <c r="T1317" s="2"/>
      <c r="U1317" s="2" t="str">
        <f t="shared" si="61"/>
        <v>Not Required</v>
      </c>
      <c r="V1317" s="2" t="s">
        <v>3615</v>
      </c>
    </row>
    <row r="1318" spans="1:22" hidden="1" x14ac:dyDescent="0.3">
      <c r="A1318" s="2" t="s">
        <v>3616</v>
      </c>
      <c r="B1318" s="12">
        <f t="shared" si="60"/>
        <v>46120</v>
      </c>
      <c r="C1318" s="13" t="s">
        <v>142</v>
      </c>
      <c r="D1318" s="2" t="s">
        <v>1227</v>
      </c>
      <c r="E1318" s="2" t="str">
        <f t="shared" si="62"/>
        <v>Email Available</v>
      </c>
      <c r="F1318" s="2" t="s">
        <v>1228</v>
      </c>
      <c r="G1318" s="2" t="s">
        <v>133</v>
      </c>
      <c r="H1318" s="2" t="s">
        <v>106</v>
      </c>
      <c r="I1318" s="2" t="s">
        <v>134</v>
      </c>
      <c r="J1318" s="2">
        <v>1</v>
      </c>
      <c r="K1318" s="2">
        <v>16.989999999999998</v>
      </c>
      <c r="L1318" s="2" t="s">
        <v>121</v>
      </c>
      <c r="M1318" s="2">
        <v>4.25</v>
      </c>
      <c r="N1318" s="2">
        <v>4.99</v>
      </c>
      <c r="O1318" s="2">
        <v>17.73</v>
      </c>
      <c r="P1318" s="2" t="s">
        <v>27</v>
      </c>
      <c r="Q1318" s="2" t="s">
        <v>90</v>
      </c>
      <c r="R1318" s="2" t="s">
        <v>42</v>
      </c>
      <c r="S1318" s="2" t="s">
        <v>30</v>
      </c>
      <c r="T1318" s="2" t="s">
        <v>966</v>
      </c>
      <c r="U1318" s="2" t="str">
        <f t="shared" si="61"/>
        <v>Valid</v>
      </c>
      <c r="V1318" s="2" t="s">
        <v>2700</v>
      </c>
    </row>
    <row r="1319" spans="1:22" x14ac:dyDescent="0.3">
      <c r="A1319" s="2" t="s">
        <v>3617</v>
      </c>
      <c r="B1319" s="12">
        <f t="shared" si="60"/>
        <v>46238.587313634263</v>
      </c>
      <c r="C1319" s="13">
        <v>46238.587313634263</v>
      </c>
      <c r="D1319" s="2" t="s">
        <v>1098</v>
      </c>
      <c r="E1319" s="2" t="str">
        <f t="shared" si="62"/>
        <v>Missing Email</v>
      </c>
      <c r="F1319" s="2"/>
      <c r="G1319" s="2" t="s">
        <v>368</v>
      </c>
      <c r="H1319" s="2" t="s">
        <v>88</v>
      </c>
      <c r="I1319" s="2" t="s">
        <v>369</v>
      </c>
      <c r="J1319" s="2">
        <v>1</v>
      </c>
      <c r="K1319" s="2">
        <v>54.99</v>
      </c>
      <c r="L1319" s="2"/>
      <c r="M1319" s="2" t="s">
        <v>189</v>
      </c>
      <c r="N1319" s="2">
        <v>7.99</v>
      </c>
      <c r="O1319" s="2">
        <v>62.98</v>
      </c>
      <c r="P1319" s="2" t="s">
        <v>68</v>
      </c>
      <c r="Q1319" s="2" t="s">
        <v>90</v>
      </c>
      <c r="R1319" s="2" t="s">
        <v>29</v>
      </c>
      <c r="S1319" s="2" t="s">
        <v>30</v>
      </c>
      <c r="T1319" s="2" t="s">
        <v>31</v>
      </c>
      <c r="U1319" s="2" t="str">
        <f t="shared" si="61"/>
        <v>Valid</v>
      </c>
      <c r="V1319" s="2" t="s">
        <v>3618</v>
      </c>
    </row>
    <row r="1320" spans="1:22" hidden="1" x14ac:dyDescent="0.3">
      <c r="A1320" s="2" t="s">
        <v>3619</v>
      </c>
      <c r="B1320" s="12">
        <f t="shared" si="60"/>
        <v>46238</v>
      </c>
      <c r="C1320" s="13" t="s">
        <v>148</v>
      </c>
      <c r="D1320" s="2" t="s">
        <v>416</v>
      </c>
      <c r="E1320" s="2" t="str">
        <f t="shared" si="62"/>
        <v>Email Available</v>
      </c>
      <c r="F1320" s="2" t="s">
        <v>417</v>
      </c>
      <c r="G1320" s="2" t="s">
        <v>58</v>
      </c>
      <c r="H1320" s="2" t="s">
        <v>23</v>
      </c>
      <c r="I1320" s="2" t="s">
        <v>59</v>
      </c>
      <c r="J1320" s="2">
        <v>1</v>
      </c>
      <c r="K1320" s="2">
        <v>9.99</v>
      </c>
      <c r="L1320" s="2" t="s">
        <v>25</v>
      </c>
      <c r="M1320" s="2">
        <v>2</v>
      </c>
      <c r="N1320" s="2">
        <v>5.99</v>
      </c>
      <c r="O1320" s="2">
        <v>13.98</v>
      </c>
      <c r="P1320" s="2" t="s">
        <v>74</v>
      </c>
      <c r="Q1320" s="2" t="s">
        <v>114</v>
      </c>
      <c r="R1320" s="2" t="s">
        <v>29</v>
      </c>
      <c r="S1320" s="2" t="s">
        <v>43</v>
      </c>
      <c r="T1320" s="2"/>
      <c r="U1320" s="2" t="str">
        <f t="shared" si="61"/>
        <v>Not Required</v>
      </c>
      <c r="V1320" s="2" t="s">
        <v>3620</v>
      </c>
    </row>
    <row r="1321" spans="1:22" hidden="1" x14ac:dyDescent="0.3">
      <c r="A1321" s="2" t="s">
        <v>3621</v>
      </c>
      <c r="B1321" s="12">
        <f t="shared" si="60"/>
        <v>46238.584349236109</v>
      </c>
      <c r="C1321" s="13">
        <v>46238.584349236109</v>
      </c>
      <c r="D1321" s="2" t="s">
        <v>2812</v>
      </c>
      <c r="E1321" s="2" t="str">
        <f t="shared" si="62"/>
        <v>Email Available</v>
      </c>
      <c r="F1321" s="2" t="s">
        <v>2813</v>
      </c>
      <c r="G1321" s="2" t="s">
        <v>206</v>
      </c>
      <c r="H1321" s="2" t="s">
        <v>196</v>
      </c>
      <c r="I1321" s="2" t="s">
        <v>207</v>
      </c>
      <c r="J1321" s="2">
        <v>1</v>
      </c>
      <c r="K1321" s="2">
        <v>24.99</v>
      </c>
      <c r="L1321" s="2" t="s">
        <v>67</v>
      </c>
      <c r="M1321" s="2">
        <v>2.5</v>
      </c>
      <c r="N1321" s="2">
        <v>4.99</v>
      </c>
      <c r="O1321" s="2">
        <v>27.48</v>
      </c>
      <c r="P1321" s="2" t="s">
        <v>40</v>
      </c>
      <c r="Q1321" s="2" t="s">
        <v>41</v>
      </c>
      <c r="R1321" s="2" t="s">
        <v>52</v>
      </c>
      <c r="S1321" s="2" t="s">
        <v>30</v>
      </c>
      <c r="T1321" s="2" t="s">
        <v>347</v>
      </c>
      <c r="U1321" s="2" t="str">
        <f t="shared" si="61"/>
        <v>Valid</v>
      </c>
      <c r="V1321" s="2" t="s">
        <v>3622</v>
      </c>
    </row>
    <row r="1322" spans="1:22" x14ac:dyDescent="0.3">
      <c r="A1322" s="2" t="s">
        <v>3623</v>
      </c>
      <c r="B1322" s="12">
        <f t="shared" si="60"/>
        <v>46120</v>
      </c>
      <c r="C1322" s="13" t="s">
        <v>142</v>
      </c>
      <c r="D1322" s="2" t="s">
        <v>3463</v>
      </c>
      <c r="E1322" s="2" t="str">
        <f t="shared" si="62"/>
        <v>Missing Email</v>
      </c>
      <c r="F1322" s="2"/>
      <c r="G1322" s="2" t="s">
        <v>120</v>
      </c>
      <c r="H1322" s="2" t="s">
        <v>23</v>
      </c>
      <c r="I1322" s="2" t="s">
        <v>24</v>
      </c>
      <c r="J1322" s="2">
        <v>1</v>
      </c>
      <c r="K1322" s="2">
        <v>12.99</v>
      </c>
      <c r="L1322" s="2" t="s">
        <v>25</v>
      </c>
      <c r="M1322" s="2">
        <v>2.6</v>
      </c>
      <c r="N1322" s="2">
        <v>7.99</v>
      </c>
      <c r="O1322" s="2">
        <v>18.38</v>
      </c>
      <c r="P1322" s="2" t="s">
        <v>51</v>
      </c>
      <c r="Q1322" s="2" t="s">
        <v>28</v>
      </c>
      <c r="R1322" s="2" t="s">
        <v>99</v>
      </c>
      <c r="S1322" s="2" t="s">
        <v>43</v>
      </c>
      <c r="T1322" s="2"/>
      <c r="U1322" s="2" t="str">
        <f t="shared" si="61"/>
        <v>Not Required</v>
      </c>
      <c r="V1322" s="2" t="s">
        <v>3624</v>
      </c>
    </row>
    <row r="1323" spans="1:22" hidden="1" x14ac:dyDescent="0.3">
      <c r="A1323" s="2" t="s">
        <v>3625</v>
      </c>
      <c r="B1323" s="12">
        <f t="shared" si="60"/>
        <v>46238.581094884263</v>
      </c>
      <c r="C1323" s="13">
        <v>46238.581094884263</v>
      </c>
      <c r="D1323" s="2" t="s">
        <v>496</v>
      </c>
      <c r="E1323" s="2" t="str">
        <f t="shared" si="62"/>
        <v>Email Available</v>
      </c>
      <c r="F1323" s="2" t="s">
        <v>497</v>
      </c>
      <c r="G1323" s="2" t="s">
        <v>368</v>
      </c>
      <c r="H1323" s="2" t="s">
        <v>88</v>
      </c>
      <c r="I1323" s="2" t="s">
        <v>369</v>
      </c>
      <c r="J1323" s="2">
        <v>1</v>
      </c>
      <c r="K1323" s="2">
        <v>54.99</v>
      </c>
      <c r="L1323" s="2"/>
      <c r="M1323" s="2" t="s">
        <v>189</v>
      </c>
      <c r="N1323" s="2">
        <v>5.99</v>
      </c>
      <c r="O1323" s="2">
        <v>60.98</v>
      </c>
      <c r="P1323" s="2" t="s">
        <v>74</v>
      </c>
      <c r="Q1323" s="2" t="s">
        <v>28</v>
      </c>
      <c r="R1323" s="2" t="s">
        <v>52</v>
      </c>
      <c r="S1323" s="2" t="s">
        <v>30</v>
      </c>
      <c r="T1323" s="2" t="s">
        <v>115</v>
      </c>
      <c r="U1323" s="2" t="str">
        <f t="shared" si="61"/>
        <v>Valid</v>
      </c>
      <c r="V1323" s="2" t="s">
        <v>3626</v>
      </c>
    </row>
    <row r="1324" spans="1:22" hidden="1" x14ac:dyDescent="0.3">
      <c r="A1324" s="2" t="s">
        <v>3627</v>
      </c>
      <c r="B1324" s="12">
        <f t="shared" si="60"/>
        <v>46238.582367175928</v>
      </c>
      <c r="C1324" s="13">
        <v>46238.582367175928</v>
      </c>
      <c r="D1324" s="2" t="s">
        <v>3628</v>
      </c>
      <c r="E1324" s="2" t="str">
        <f t="shared" si="62"/>
        <v>Email Available</v>
      </c>
      <c r="F1324" s="2" t="s">
        <v>3629</v>
      </c>
      <c r="G1324" s="2" t="s">
        <v>58</v>
      </c>
      <c r="H1324" s="2" t="s">
        <v>23</v>
      </c>
      <c r="I1324" s="2" t="s">
        <v>59</v>
      </c>
      <c r="J1324" s="2">
        <v>1</v>
      </c>
      <c r="K1324" s="2">
        <v>9.99</v>
      </c>
      <c r="L1324" s="2" t="s">
        <v>121</v>
      </c>
      <c r="M1324" s="2">
        <v>2.5</v>
      </c>
      <c r="N1324" s="2">
        <v>7.99</v>
      </c>
      <c r="O1324" s="2">
        <v>15.48</v>
      </c>
      <c r="P1324" s="2" t="s">
        <v>74</v>
      </c>
      <c r="Q1324" s="2" t="s">
        <v>41</v>
      </c>
      <c r="R1324" s="2" t="s">
        <v>42</v>
      </c>
      <c r="S1324" s="2" t="s">
        <v>337</v>
      </c>
      <c r="T1324" s="2"/>
      <c r="U1324" s="2" t="str">
        <f t="shared" si="61"/>
        <v>Not Required</v>
      </c>
      <c r="V1324" s="2" t="s">
        <v>3630</v>
      </c>
    </row>
    <row r="1325" spans="1:22" hidden="1" x14ac:dyDescent="0.3">
      <c r="A1325" s="2" t="s">
        <v>3631</v>
      </c>
      <c r="B1325" s="12">
        <f t="shared" si="60"/>
        <v>46238.587915543983</v>
      </c>
      <c r="C1325" s="13">
        <v>46238.587915543983</v>
      </c>
      <c r="D1325" s="2" t="s">
        <v>2511</v>
      </c>
      <c r="E1325" s="2" t="str">
        <f t="shared" si="62"/>
        <v>Email Available</v>
      </c>
      <c r="F1325" s="2" t="s">
        <v>2512</v>
      </c>
      <c r="G1325" s="2" t="s">
        <v>87</v>
      </c>
      <c r="H1325" s="2" t="s">
        <v>88</v>
      </c>
      <c r="I1325" s="2" t="s">
        <v>89</v>
      </c>
      <c r="J1325" s="2">
        <v>3</v>
      </c>
      <c r="K1325" s="2">
        <v>54.99</v>
      </c>
      <c r="L1325" s="2" t="s">
        <v>208</v>
      </c>
      <c r="M1325" s="2">
        <v>24.75</v>
      </c>
      <c r="N1325" s="2">
        <v>0</v>
      </c>
      <c r="O1325" s="2">
        <v>140.22</v>
      </c>
      <c r="P1325" s="2" t="s">
        <v>51</v>
      </c>
      <c r="Q1325" s="2" t="s">
        <v>90</v>
      </c>
      <c r="R1325" s="2" t="s">
        <v>52</v>
      </c>
      <c r="S1325" s="2" t="s">
        <v>30</v>
      </c>
      <c r="T1325" s="2" t="s">
        <v>69</v>
      </c>
      <c r="U1325" s="2" t="str">
        <f t="shared" si="61"/>
        <v>Valid</v>
      </c>
      <c r="V1325" s="2" t="s">
        <v>3632</v>
      </c>
    </row>
    <row r="1326" spans="1:22" hidden="1" x14ac:dyDescent="0.3">
      <c r="A1326" s="2" t="s">
        <v>3633</v>
      </c>
      <c r="B1326" s="12">
        <f t="shared" si="60"/>
        <v>46238.580601261572</v>
      </c>
      <c r="C1326" s="13">
        <v>46238.580601261572</v>
      </c>
      <c r="D1326" s="2" t="s">
        <v>2816</v>
      </c>
      <c r="E1326" s="2" t="str">
        <f t="shared" si="62"/>
        <v>Email Available</v>
      </c>
      <c r="F1326" s="2" t="s">
        <v>2817</v>
      </c>
      <c r="G1326" s="2" t="s">
        <v>80</v>
      </c>
      <c r="H1326" s="2" t="s">
        <v>81</v>
      </c>
      <c r="I1326" s="2" t="s">
        <v>82</v>
      </c>
      <c r="J1326" s="2">
        <v>3</v>
      </c>
      <c r="K1326" s="2">
        <v>89.99</v>
      </c>
      <c r="L1326" s="2"/>
      <c r="M1326" s="2">
        <v>0</v>
      </c>
      <c r="N1326" s="2">
        <v>0</v>
      </c>
      <c r="O1326" s="2">
        <v>269.97000000000003</v>
      </c>
      <c r="P1326" s="2" t="s">
        <v>74</v>
      </c>
      <c r="Q1326" s="2" t="s">
        <v>41</v>
      </c>
      <c r="R1326" s="2" t="s">
        <v>29</v>
      </c>
      <c r="S1326" s="2" t="s">
        <v>30</v>
      </c>
      <c r="T1326" s="2" t="s">
        <v>248</v>
      </c>
      <c r="U1326" s="2" t="str">
        <f t="shared" si="61"/>
        <v>Valid</v>
      </c>
      <c r="V1326" s="2" t="s">
        <v>3634</v>
      </c>
    </row>
    <row r="1327" spans="1:22" hidden="1" x14ac:dyDescent="0.3">
      <c r="A1327" s="2" t="s">
        <v>3635</v>
      </c>
      <c r="B1327" s="12">
        <f t="shared" si="60"/>
        <v>46238.581077523151</v>
      </c>
      <c r="C1327" s="13">
        <v>46238.581077523151</v>
      </c>
      <c r="D1327" s="2" t="s">
        <v>466</v>
      </c>
      <c r="E1327" s="2" t="str">
        <f t="shared" si="62"/>
        <v>Email Available</v>
      </c>
      <c r="F1327" s="2" t="s">
        <v>467</v>
      </c>
      <c r="G1327" s="2" t="s">
        <v>36</v>
      </c>
      <c r="H1327" s="2" t="s">
        <v>37</v>
      </c>
      <c r="I1327" s="2" t="s">
        <v>38</v>
      </c>
      <c r="J1327" s="2">
        <v>1</v>
      </c>
      <c r="K1327" s="2">
        <v>21.99</v>
      </c>
      <c r="L1327" s="2"/>
      <c r="M1327" s="2">
        <v>0</v>
      </c>
      <c r="N1327" s="2">
        <v>7.99</v>
      </c>
      <c r="O1327" s="2">
        <v>29.98</v>
      </c>
      <c r="P1327" s="2" t="s">
        <v>51</v>
      </c>
      <c r="Q1327" s="2" t="s">
        <v>41</v>
      </c>
      <c r="R1327" s="2" t="s">
        <v>52</v>
      </c>
      <c r="S1327" s="2" t="s">
        <v>228</v>
      </c>
      <c r="T1327" s="2"/>
      <c r="U1327" s="2" t="str">
        <f t="shared" si="61"/>
        <v>Not Required</v>
      </c>
      <c r="V1327" s="2" t="s">
        <v>3636</v>
      </c>
    </row>
    <row r="1328" spans="1:22" x14ac:dyDescent="0.3">
      <c r="A1328" s="2" t="s">
        <v>3637</v>
      </c>
      <c r="B1328" s="12">
        <f t="shared" si="60"/>
        <v>46120</v>
      </c>
      <c r="C1328" s="13" t="s">
        <v>142</v>
      </c>
      <c r="D1328" s="2" t="s">
        <v>3358</v>
      </c>
      <c r="E1328" s="2" t="str">
        <f t="shared" si="62"/>
        <v>Missing Email</v>
      </c>
      <c r="F1328" s="2"/>
      <c r="G1328" s="2" t="s">
        <v>65</v>
      </c>
      <c r="H1328" s="2" t="s">
        <v>49</v>
      </c>
      <c r="I1328" s="2" t="s">
        <v>66</v>
      </c>
      <c r="J1328" s="2">
        <v>2</v>
      </c>
      <c r="K1328" s="2" t="s">
        <v>1485</v>
      </c>
      <c r="L1328" s="2" t="s">
        <v>67</v>
      </c>
      <c r="M1328" s="2">
        <v>3</v>
      </c>
      <c r="N1328" s="2">
        <v>4.99</v>
      </c>
      <c r="O1328" s="2">
        <v>31.97</v>
      </c>
      <c r="P1328" s="2" t="s">
        <v>40</v>
      </c>
      <c r="Q1328" s="2" t="s">
        <v>28</v>
      </c>
      <c r="R1328" s="2" t="s">
        <v>42</v>
      </c>
      <c r="S1328" s="2" t="s">
        <v>30</v>
      </c>
      <c r="T1328" s="2" t="s">
        <v>91</v>
      </c>
      <c r="U1328" s="2" t="str">
        <f t="shared" si="61"/>
        <v>Valid</v>
      </c>
      <c r="V1328" s="2" t="s">
        <v>3638</v>
      </c>
    </row>
    <row r="1329" spans="1:22" hidden="1" x14ac:dyDescent="0.3">
      <c r="A1329" s="2" t="s">
        <v>3639</v>
      </c>
      <c r="B1329" s="12">
        <f t="shared" si="60"/>
        <v>46238.588636006942</v>
      </c>
      <c r="C1329" s="13">
        <v>46238.588636006942</v>
      </c>
      <c r="D1329" s="2" t="s">
        <v>502</v>
      </c>
      <c r="E1329" s="2" t="str">
        <f t="shared" si="62"/>
        <v>Email Available</v>
      </c>
      <c r="F1329" s="2" t="s">
        <v>503</v>
      </c>
      <c r="G1329" s="2" t="s">
        <v>127</v>
      </c>
      <c r="H1329" s="2" t="s">
        <v>81</v>
      </c>
      <c r="I1329" s="2" t="s">
        <v>128</v>
      </c>
      <c r="J1329" s="2">
        <v>2</v>
      </c>
      <c r="K1329" s="2">
        <v>13.99</v>
      </c>
      <c r="L1329" s="2"/>
      <c r="M1329" s="2">
        <v>0</v>
      </c>
      <c r="N1329" s="2">
        <v>7.99</v>
      </c>
      <c r="O1329" s="2">
        <v>35.97</v>
      </c>
      <c r="P1329" s="2" t="s">
        <v>74</v>
      </c>
      <c r="Q1329" s="2" t="s">
        <v>114</v>
      </c>
      <c r="R1329" s="2" t="s">
        <v>52</v>
      </c>
      <c r="S1329" s="2" t="s">
        <v>108</v>
      </c>
      <c r="T1329" s="2"/>
      <c r="U1329" s="2" t="str">
        <f t="shared" si="61"/>
        <v>Not Required</v>
      </c>
      <c r="V1329" s="2" t="s">
        <v>3640</v>
      </c>
    </row>
    <row r="1330" spans="1:22" hidden="1" x14ac:dyDescent="0.3">
      <c r="A1330" s="2" t="s">
        <v>3641</v>
      </c>
      <c r="B1330" s="12">
        <f t="shared" si="60"/>
        <v>46238.580737048607</v>
      </c>
      <c r="C1330" s="13">
        <v>46238.580737048607</v>
      </c>
      <c r="D1330" s="2" t="s">
        <v>1055</v>
      </c>
      <c r="E1330" s="2" t="str">
        <f t="shared" si="62"/>
        <v>Email Available</v>
      </c>
      <c r="F1330" s="2" t="s">
        <v>1056</v>
      </c>
      <c r="G1330" s="2" t="s">
        <v>3642</v>
      </c>
      <c r="H1330" s="2" t="s">
        <v>23</v>
      </c>
      <c r="I1330" s="2" t="s">
        <v>24</v>
      </c>
      <c r="J1330" s="2">
        <v>1</v>
      </c>
      <c r="K1330" s="2" t="s">
        <v>1163</v>
      </c>
      <c r="L1330" s="2"/>
      <c r="M1330" s="2">
        <v>0</v>
      </c>
      <c r="N1330" s="2">
        <v>4.99</v>
      </c>
      <c r="O1330" s="2">
        <v>899</v>
      </c>
      <c r="P1330" s="2" t="s">
        <v>27</v>
      </c>
      <c r="Q1330" s="2" t="s">
        <v>28</v>
      </c>
      <c r="R1330" s="2" t="s">
        <v>42</v>
      </c>
      <c r="S1330" s="2" t="s">
        <v>30</v>
      </c>
      <c r="T1330" s="2" t="s">
        <v>91</v>
      </c>
      <c r="U1330" s="2" t="str">
        <f t="shared" si="61"/>
        <v>Valid</v>
      </c>
      <c r="V1330" s="2" t="s">
        <v>2041</v>
      </c>
    </row>
    <row r="1331" spans="1:22" hidden="1" x14ac:dyDescent="0.3">
      <c r="A1331" s="2" t="s">
        <v>3643</v>
      </c>
      <c r="B1331" s="12">
        <f t="shared" si="60"/>
        <v>46238.584813703703</v>
      </c>
      <c r="C1331" s="13">
        <v>46238.584813703703</v>
      </c>
      <c r="D1331" s="2" t="s">
        <v>3440</v>
      </c>
      <c r="E1331" s="2" t="str">
        <f t="shared" si="62"/>
        <v>Email Available</v>
      </c>
      <c r="F1331" s="2" t="s">
        <v>3441</v>
      </c>
      <c r="G1331" s="2" t="s">
        <v>284</v>
      </c>
      <c r="H1331" s="2" t="s">
        <v>23</v>
      </c>
      <c r="I1331" s="2" t="s">
        <v>285</v>
      </c>
      <c r="J1331" s="2">
        <v>2</v>
      </c>
      <c r="K1331" s="2">
        <v>24.99</v>
      </c>
      <c r="L1331" s="2" t="s">
        <v>39</v>
      </c>
      <c r="M1331" s="2" t="s">
        <v>189</v>
      </c>
      <c r="N1331" s="2">
        <v>0</v>
      </c>
      <c r="O1331" s="2">
        <v>49.98</v>
      </c>
      <c r="P1331" s="2" t="s">
        <v>68</v>
      </c>
      <c r="Q1331" s="2" t="s">
        <v>90</v>
      </c>
      <c r="R1331" s="2" t="s">
        <v>42</v>
      </c>
      <c r="S1331" s="2" t="s">
        <v>228</v>
      </c>
      <c r="T1331" s="2"/>
      <c r="U1331" s="2" t="str">
        <f t="shared" si="61"/>
        <v>Not Required</v>
      </c>
      <c r="V1331" s="2" t="s">
        <v>3644</v>
      </c>
    </row>
    <row r="1332" spans="1:22" hidden="1" x14ac:dyDescent="0.3">
      <c r="A1332" s="2" t="s">
        <v>3645</v>
      </c>
      <c r="B1332" s="12">
        <f>DATE(VALUE(RIGHT(C1332,4)),MATCH(LEFT(C1332,3),{"Jan","Feb","Mar","Apr","May","Jun","Jul","Aug","Sep","Oct","Nov","Dec"},0),VALUE(MID(C1332,5,2)))</f>
        <v>46238</v>
      </c>
      <c r="C1332" s="13" t="s">
        <v>176</v>
      </c>
      <c r="D1332" s="2" t="s">
        <v>524</v>
      </c>
      <c r="E1332" s="2" t="str">
        <f t="shared" si="62"/>
        <v>Email Available</v>
      </c>
      <c r="F1332" s="2" t="s">
        <v>525</v>
      </c>
      <c r="G1332" s="2" t="s">
        <v>36</v>
      </c>
      <c r="H1332" s="2" t="s">
        <v>37</v>
      </c>
      <c r="I1332" s="2" t="s">
        <v>38</v>
      </c>
      <c r="J1332" s="2">
        <v>1</v>
      </c>
      <c r="K1332" s="2">
        <v>21.99</v>
      </c>
      <c r="L1332" s="2" t="s">
        <v>121</v>
      </c>
      <c r="M1332" s="2">
        <v>5.5</v>
      </c>
      <c r="N1332" s="2">
        <v>5.99</v>
      </c>
      <c r="O1332" s="2">
        <v>22.48</v>
      </c>
      <c r="P1332" s="2" t="s">
        <v>68</v>
      </c>
      <c r="Q1332" s="2" t="s">
        <v>28</v>
      </c>
      <c r="R1332" s="2" t="s">
        <v>42</v>
      </c>
      <c r="S1332" s="2" t="s">
        <v>30</v>
      </c>
      <c r="T1332" s="2" t="s">
        <v>454</v>
      </c>
      <c r="U1332" s="2" t="str">
        <f t="shared" si="61"/>
        <v>Valid</v>
      </c>
      <c r="V1332" s="2" t="s">
        <v>3646</v>
      </c>
    </row>
    <row r="1333" spans="1:22" hidden="1" x14ac:dyDescent="0.3">
      <c r="A1333" s="2" t="s">
        <v>3647</v>
      </c>
      <c r="B1333" s="12">
        <f t="shared" si="60"/>
        <v>46238.579349131942</v>
      </c>
      <c r="C1333" s="13">
        <v>46238.579349131942</v>
      </c>
      <c r="D1333" s="2" t="s">
        <v>574</v>
      </c>
      <c r="E1333" s="2" t="str">
        <f t="shared" si="62"/>
        <v>Email Available</v>
      </c>
      <c r="F1333" s="2" t="s">
        <v>575</v>
      </c>
      <c r="G1333" s="2" t="s">
        <v>1779</v>
      </c>
      <c r="H1333" s="2" t="s">
        <v>49</v>
      </c>
      <c r="I1333" s="2" t="s">
        <v>66</v>
      </c>
      <c r="J1333" s="2">
        <v>1</v>
      </c>
      <c r="K1333" s="2">
        <v>14.99</v>
      </c>
      <c r="L1333" s="2" t="s">
        <v>233</v>
      </c>
      <c r="M1333" s="2" t="s">
        <v>2313</v>
      </c>
      <c r="N1333" s="2">
        <v>4.99</v>
      </c>
      <c r="O1333" s="2">
        <v>17.73</v>
      </c>
      <c r="P1333" s="2" t="s">
        <v>27</v>
      </c>
      <c r="Q1333" s="2" t="s">
        <v>28</v>
      </c>
      <c r="R1333" s="2" t="s">
        <v>52</v>
      </c>
      <c r="S1333" s="2" t="s">
        <v>108</v>
      </c>
      <c r="T1333" s="2"/>
      <c r="U1333" s="2" t="str">
        <f t="shared" si="61"/>
        <v>Not Required</v>
      </c>
      <c r="V1333" s="2" t="s">
        <v>3648</v>
      </c>
    </row>
    <row r="1334" spans="1:22" hidden="1" x14ac:dyDescent="0.3">
      <c r="A1334" s="2" t="s">
        <v>3649</v>
      </c>
      <c r="B1334" s="12">
        <f t="shared" si="60"/>
        <v>46238.582115671299</v>
      </c>
      <c r="C1334" s="13">
        <v>46238.582115671299</v>
      </c>
      <c r="D1334" s="2" t="s">
        <v>1220</v>
      </c>
      <c r="E1334" s="2" t="str">
        <f t="shared" si="62"/>
        <v>Email Available</v>
      </c>
      <c r="F1334" s="2" t="s">
        <v>1221</v>
      </c>
      <c r="G1334" s="2" t="s">
        <v>80</v>
      </c>
      <c r="H1334" s="2" t="s">
        <v>81</v>
      </c>
      <c r="I1334" s="2" t="s">
        <v>82</v>
      </c>
      <c r="J1334" s="2">
        <v>1</v>
      </c>
      <c r="K1334" s="2" t="s">
        <v>579</v>
      </c>
      <c r="L1334" s="2"/>
      <c r="M1334" s="2">
        <v>0</v>
      </c>
      <c r="N1334" s="2">
        <v>0</v>
      </c>
      <c r="O1334" s="2">
        <v>89.99</v>
      </c>
      <c r="P1334" s="2" t="s">
        <v>27</v>
      </c>
      <c r="Q1334" s="2" t="s">
        <v>114</v>
      </c>
      <c r="R1334" s="2" t="s">
        <v>52</v>
      </c>
      <c r="S1334" s="2" t="s">
        <v>75</v>
      </c>
      <c r="T1334" s="2"/>
      <c r="U1334" s="2" t="str">
        <f t="shared" si="61"/>
        <v>Not Required</v>
      </c>
      <c r="V1334" s="2" t="s">
        <v>3650</v>
      </c>
    </row>
    <row r="1335" spans="1:22" hidden="1" x14ac:dyDescent="0.3">
      <c r="A1335" s="2" t="s">
        <v>3651</v>
      </c>
      <c r="B1335" s="12">
        <f t="shared" si="60"/>
        <v>46238.587874432873</v>
      </c>
      <c r="C1335" s="13">
        <v>46238.587874432873</v>
      </c>
      <c r="D1335" s="2" t="s">
        <v>651</v>
      </c>
      <c r="E1335" s="2" t="str">
        <f t="shared" si="62"/>
        <v>Email Available</v>
      </c>
      <c r="F1335" s="2" t="s">
        <v>652</v>
      </c>
      <c r="G1335" s="2" t="s">
        <v>65</v>
      </c>
      <c r="H1335" s="2" t="s">
        <v>49</v>
      </c>
      <c r="I1335" s="2" t="s">
        <v>66</v>
      </c>
      <c r="J1335" s="2">
        <v>1</v>
      </c>
      <c r="K1335" s="2">
        <v>14.99</v>
      </c>
      <c r="L1335" s="2"/>
      <c r="M1335" s="2">
        <v>0</v>
      </c>
      <c r="N1335" s="2">
        <v>7.99</v>
      </c>
      <c r="O1335" s="2">
        <v>22.98</v>
      </c>
      <c r="P1335" s="2" t="s">
        <v>74</v>
      </c>
      <c r="Q1335" s="2" t="s">
        <v>41</v>
      </c>
      <c r="R1335" s="2" t="s">
        <v>52</v>
      </c>
      <c r="S1335" s="2" t="s">
        <v>30</v>
      </c>
      <c r="T1335" s="2" t="s">
        <v>53</v>
      </c>
      <c r="U1335" s="2" t="str">
        <f t="shared" si="61"/>
        <v>Valid</v>
      </c>
      <c r="V1335" s="2" t="s">
        <v>3652</v>
      </c>
    </row>
    <row r="1336" spans="1:22" hidden="1" x14ac:dyDescent="0.3">
      <c r="A1336" s="2" t="s">
        <v>3653</v>
      </c>
      <c r="B1336" s="12">
        <f t="shared" si="60"/>
        <v>46120</v>
      </c>
      <c r="C1336" s="13" t="s">
        <v>142</v>
      </c>
      <c r="D1336" s="2" t="s">
        <v>2298</v>
      </c>
      <c r="E1336" s="2" t="str">
        <f t="shared" si="62"/>
        <v>Email Available</v>
      </c>
      <c r="F1336" s="2" t="s">
        <v>2299</v>
      </c>
      <c r="G1336" s="2" t="s">
        <v>65</v>
      </c>
      <c r="H1336" s="2" t="s">
        <v>49</v>
      </c>
      <c r="I1336" s="2" t="s">
        <v>453</v>
      </c>
      <c r="J1336" s="2">
        <v>1</v>
      </c>
      <c r="K1336" s="2">
        <v>14.99</v>
      </c>
      <c r="L1336" s="2" t="s">
        <v>121</v>
      </c>
      <c r="M1336" s="2">
        <v>3.75</v>
      </c>
      <c r="N1336" s="2">
        <v>5.99</v>
      </c>
      <c r="O1336" s="2">
        <v>17.23</v>
      </c>
      <c r="P1336" s="2" t="s">
        <v>68</v>
      </c>
      <c r="Q1336" s="2" t="s">
        <v>28</v>
      </c>
      <c r="R1336" s="2" t="s">
        <v>52</v>
      </c>
      <c r="S1336" s="2" t="s">
        <v>30</v>
      </c>
      <c r="T1336" s="2" t="s">
        <v>31</v>
      </c>
      <c r="U1336" s="2" t="str">
        <f t="shared" si="61"/>
        <v>Valid</v>
      </c>
      <c r="V1336" s="2" t="s">
        <v>3654</v>
      </c>
    </row>
    <row r="1337" spans="1:22" hidden="1" x14ac:dyDescent="0.3">
      <c r="A1337" s="2" t="s">
        <v>3655</v>
      </c>
      <c r="B1337" s="12">
        <f t="shared" si="60"/>
        <v>46238</v>
      </c>
      <c r="C1337" s="13" t="s">
        <v>148</v>
      </c>
      <c r="D1337" s="2" t="s">
        <v>1215</v>
      </c>
      <c r="E1337" s="2" t="str">
        <f t="shared" si="62"/>
        <v>Email Available</v>
      </c>
      <c r="F1337" s="2" t="s">
        <v>1216</v>
      </c>
      <c r="G1337" s="2" t="s">
        <v>266</v>
      </c>
      <c r="H1337" s="2" t="s">
        <v>37</v>
      </c>
      <c r="I1337" s="2" t="s">
        <v>267</v>
      </c>
      <c r="J1337" s="2">
        <v>1</v>
      </c>
      <c r="K1337" s="2">
        <v>15.49</v>
      </c>
      <c r="L1337" s="2"/>
      <c r="M1337" s="2">
        <v>0</v>
      </c>
      <c r="N1337" s="2">
        <v>5.99</v>
      </c>
      <c r="O1337" s="2">
        <v>21.48</v>
      </c>
      <c r="P1337" s="2" t="s">
        <v>68</v>
      </c>
      <c r="Q1337" s="2" t="s">
        <v>28</v>
      </c>
      <c r="R1337" s="2" t="s">
        <v>52</v>
      </c>
      <c r="S1337" s="2" t="s">
        <v>30</v>
      </c>
      <c r="T1337" s="2" t="s">
        <v>75</v>
      </c>
      <c r="U1337" s="2" t="str">
        <f t="shared" si="61"/>
        <v>Valid</v>
      </c>
      <c r="V1337" s="2" t="s">
        <v>3656</v>
      </c>
    </row>
    <row r="1338" spans="1:22" hidden="1" x14ac:dyDescent="0.3">
      <c r="A1338" s="2" t="s">
        <v>3657</v>
      </c>
      <c r="B1338" s="12">
        <f t="shared" si="60"/>
        <v>46238.579261435189</v>
      </c>
      <c r="C1338" s="13">
        <v>46238.579261435189</v>
      </c>
      <c r="D1338" s="2" t="s">
        <v>200</v>
      </c>
      <c r="E1338" s="2" t="str">
        <f t="shared" si="62"/>
        <v>Email Available</v>
      </c>
      <c r="F1338" s="2" t="s">
        <v>201</v>
      </c>
      <c r="G1338" s="2" t="s">
        <v>226</v>
      </c>
      <c r="H1338" s="2" t="s">
        <v>23</v>
      </c>
      <c r="I1338" s="2" t="s">
        <v>227</v>
      </c>
      <c r="J1338" s="2">
        <v>1</v>
      </c>
      <c r="K1338" s="2">
        <v>17.989999999999998</v>
      </c>
      <c r="L1338" s="2" t="s">
        <v>67</v>
      </c>
      <c r="M1338" s="2" t="s">
        <v>3658</v>
      </c>
      <c r="N1338" s="2">
        <v>4.99</v>
      </c>
      <c r="O1338" s="2">
        <v>21.18</v>
      </c>
      <c r="P1338" s="2" t="s">
        <v>51</v>
      </c>
      <c r="Q1338" s="2" t="s">
        <v>114</v>
      </c>
      <c r="R1338" s="2" t="s">
        <v>42</v>
      </c>
      <c r="S1338" s="2" t="s">
        <v>30</v>
      </c>
      <c r="T1338" s="2" t="s">
        <v>115</v>
      </c>
      <c r="U1338" s="2" t="str">
        <f t="shared" si="61"/>
        <v>Valid</v>
      </c>
      <c r="V1338" s="2" t="s">
        <v>3659</v>
      </c>
    </row>
    <row r="1339" spans="1:22" hidden="1" x14ac:dyDescent="0.3">
      <c r="A1339" s="2" t="s">
        <v>3660</v>
      </c>
      <c r="B1339" s="12">
        <f t="shared" ref="B1339:B1402" si="63">IF(ISNUMBER(C1339),C1339,DATEVALUE(SUBSTITUTE(TRIM(C1339),CHAR(160)," ")))</f>
        <v>46238.582911574071</v>
      </c>
      <c r="C1339" s="13">
        <v>46238.582911574071</v>
      </c>
      <c r="D1339" s="2" t="s">
        <v>524</v>
      </c>
      <c r="E1339" s="2" t="str">
        <f t="shared" si="62"/>
        <v>Email Available</v>
      </c>
      <c r="F1339" s="2" t="s">
        <v>525</v>
      </c>
      <c r="G1339" s="2" t="s">
        <v>120</v>
      </c>
      <c r="H1339" s="2" t="s">
        <v>23</v>
      </c>
      <c r="I1339" s="2" t="s">
        <v>24</v>
      </c>
      <c r="J1339" s="2">
        <v>4</v>
      </c>
      <c r="K1339" s="2">
        <v>12.99</v>
      </c>
      <c r="L1339" s="2"/>
      <c r="M1339" s="2">
        <v>0</v>
      </c>
      <c r="N1339" s="2">
        <v>7.99</v>
      </c>
      <c r="O1339" s="2" t="s">
        <v>3661</v>
      </c>
      <c r="P1339" s="2" t="s">
        <v>74</v>
      </c>
      <c r="Q1339" s="2" t="s">
        <v>28</v>
      </c>
      <c r="R1339" s="2" t="s">
        <v>52</v>
      </c>
      <c r="S1339" s="2" t="s">
        <v>30</v>
      </c>
      <c r="T1339" s="2" t="s">
        <v>454</v>
      </c>
      <c r="U1339" s="2" t="str">
        <f t="shared" ref="U1339:U1402" si="64">IF(AND(S1339="United States",T1339=""),"Missing state",IF(T1339="","Not Required","Valid"))</f>
        <v>Valid</v>
      </c>
      <c r="V1339" s="2" t="s">
        <v>3662</v>
      </c>
    </row>
    <row r="1340" spans="1:22" hidden="1" x14ac:dyDescent="0.3">
      <c r="A1340" s="2" t="s">
        <v>3663</v>
      </c>
      <c r="B1340" s="12">
        <f t="shared" si="63"/>
        <v>46238.584567951388</v>
      </c>
      <c r="C1340" s="13">
        <v>46238.584567951388</v>
      </c>
      <c r="D1340" s="2"/>
      <c r="E1340" s="2" t="str">
        <f t="shared" si="62"/>
        <v>Email Available</v>
      </c>
      <c r="F1340" s="2" t="s">
        <v>749</v>
      </c>
      <c r="G1340" s="2" t="s">
        <v>87</v>
      </c>
      <c r="H1340" s="2" t="s">
        <v>88</v>
      </c>
      <c r="I1340" s="2" t="s">
        <v>89</v>
      </c>
      <c r="J1340" s="2">
        <v>1</v>
      </c>
      <c r="K1340" s="2">
        <v>54.99</v>
      </c>
      <c r="L1340" s="2" t="s">
        <v>121</v>
      </c>
      <c r="M1340" s="2">
        <v>13.75</v>
      </c>
      <c r="N1340" s="2">
        <v>5.99</v>
      </c>
      <c r="O1340" s="2">
        <v>47.23</v>
      </c>
      <c r="P1340" s="2" t="s">
        <v>74</v>
      </c>
      <c r="Q1340" s="2" t="s">
        <v>28</v>
      </c>
      <c r="R1340" s="2" t="s">
        <v>42</v>
      </c>
      <c r="S1340" s="2" t="s">
        <v>108</v>
      </c>
      <c r="T1340" s="2"/>
      <c r="U1340" s="2" t="str">
        <f t="shared" si="64"/>
        <v>Not Required</v>
      </c>
      <c r="V1340" s="2" t="s">
        <v>3664</v>
      </c>
    </row>
    <row r="1341" spans="1:22" hidden="1" x14ac:dyDescent="0.3">
      <c r="A1341" s="2" t="s">
        <v>3665</v>
      </c>
      <c r="B1341" s="12">
        <f t="shared" si="63"/>
        <v>46238.587449791667</v>
      </c>
      <c r="C1341" s="13">
        <v>46238.587449791667</v>
      </c>
      <c r="D1341" s="2" t="s">
        <v>193</v>
      </c>
      <c r="E1341" s="2" t="str">
        <f t="shared" si="62"/>
        <v>Email Available</v>
      </c>
      <c r="F1341" s="2" t="s">
        <v>194</v>
      </c>
      <c r="G1341" s="2" t="s">
        <v>187</v>
      </c>
      <c r="H1341" s="2" t="s">
        <v>37</v>
      </c>
      <c r="I1341" s="2" t="s">
        <v>188</v>
      </c>
      <c r="J1341" s="2">
        <v>1</v>
      </c>
      <c r="K1341" s="2">
        <v>11.99</v>
      </c>
      <c r="L1341" s="2" t="s">
        <v>25</v>
      </c>
      <c r="M1341" s="2" t="s">
        <v>3666</v>
      </c>
      <c r="N1341" s="2">
        <v>7.99</v>
      </c>
      <c r="O1341" s="2">
        <v>17.579999999999998</v>
      </c>
      <c r="P1341" s="2" t="s">
        <v>68</v>
      </c>
      <c r="Q1341" s="2" t="s">
        <v>28</v>
      </c>
      <c r="R1341" s="2" t="s">
        <v>52</v>
      </c>
      <c r="S1341" s="2" t="s">
        <v>30</v>
      </c>
      <c r="T1341" s="2" t="s">
        <v>60</v>
      </c>
      <c r="U1341" s="2" t="str">
        <f t="shared" si="64"/>
        <v>Valid</v>
      </c>
      <c r="V1341" s="2" t="s">
        <v>3667</v>
      </c>
    </row>
    <row r="1342" spans="1:22" x14ac:dyDescent="0.3">
      <c r="A1342" s="2" t="s">
        <v>3668</v>
      </c>
      <c r="B1342" s="12">
        <f t="shared" si="63"/>
        <v>46238</v>
      </c>
      <c r="C1342" s="13" t="s">
        <v>2780</v>
      </c>
      <c r="D1342" s="2" t="s">
        <v>456</v>
      </c>
      <c r="E1342" s="2" t="str">
        <f t="shared" si="62"/>
        <v>Missing Email</v>
      </c>
      <c r="F1342" s="2"/>
      <c r="G1342" s="2" t="s">
        <v>368</v>
      </c>
      <c r="H1342" s="2" t="s">
        <v>88</v>
      </c>
      <c r="I1342" s="2" t="s">
        <v>369</v>
      </c>
      <c r="J1342" s="2">
        <v>1</v>
      </c>
      <c r="K1342" s="2">
        <v>54.99</v>
      </c>
      <c r="L1342" s="2" t="s">
        <v>25</v>
      </c>
      <c r="M1342" s="2">
        <v>11</v>
      </c>
      <c r="N1342" s="2">
        <v>4.99</v>
      </c>
      <c r="O1342" s="2">
        <v>48.98</v>
      </c>
      <c r="P1342" s="2" t="s">
        <v>51</v>
      </c>
      <c r="Q1342" s="2" t="s">
        <v>114</v>
      </c>
      <c r="R1342" s="2" t="s">
        <v>52</v>
      </c>
      <c r="S1342" s="2" t="s">
        <v>30</v>
      </c>
      <c r="T1342" s="2" t="s">
        <v>145</v>
      </c>
      <c r="U1342" s="2" t="str">
        <f t="shared" si="64"/>
        <v>Valid</v>
      </c>
      <c r="V1342" s="2" t="s">
        <v>3669</v>
      </c>
    </row>
    <row r="1343" spans="1:22" hidden="1" x14ac:dyDescent="0.3">
      <c r="A1343" s="2" t="s">
        <v>3670</v>
      </c>
      <c r="B1343" s="12">
        <f t="shared" si="63"/>
        <v>46238.584094027778</v>
      </c>
      <c r="C1343" s="13">
        <v>46238.584094027778</v>
      </c>
      <c r="D1343" s="2" t="s">
        <v>1210</v>
      </c>
      <c r="E1343" s="2" t="str">
        <f t="shared" si="62"/>
        <v>Email Available</v>
      </c>
      <c r="F1343" s="2" t="s">
        <v>1211</v>
      </c>
      <c r="G1343" s="2" t="s">
        <v>36</v>
      </c>
      <c r="H1343" s="2" t="s">
        <v>37</v>
      </c>
      <c r="I1343" s="2" t="s">
        <v>38</v>
      </c>
      <c r="J1343" s="2">
        <v>1</v>
      </c>
      <c r="K1343" s="2">
        <v>21.99</v>
      </c>
      <c r="L1343" s="2"/>
      <c r="M1343" s="2">
        <v>0</v>
      </c>
      <c r="N1343" s="2">
        <v>5.99</v>
      </c>
      <c r="O1343" s="2">
        <v>27.98</v>
      </c>
      <c r="P1343" s="2" t="s">
        <v>68</v>
      </c>
      <c r="Q1343" s="2" t="s">
        <v>28</v>
      </c>
      <c r="R1343" s="2" t="s">
        <v>42</v>
      </c>
      <c r="S1343" s="2" t="s">
        <v>108</v>
      </c>
      <c r="T1343" s="2"/>
      <c r="U1343" s="2" t="str">
        <f t="shared" si="64"/>
        <v>Not Required</v>
      </c>
      <c r="V1343" s="2" t="s">
        <v>3671</v>
      </c>
    </row>
    <row r="1344" spans="1:22" hidden="1" x14ac:dyDescent="0.3">
      <c r="A1344" s="2" t="s">
        <v>3672</v>
      </c>
      <c r="B1344" s="12">
        <f t="shared" si="63"/>
        <v>46238.585318159719</v>
      </c>
      <c r="C1344" s="13">
        <v>46238.585318159719</v>
      </c>
      <c r="D1344" s="2" t="s">
        <v>507</v>
      </c>
      <c r="E1344" s="2" t="str">
        <f t="shared" si="62"/>
        <v>Email Available</v>
      </c>
      <c r="F1344" s="2" t="s">
        <v>508</v>
      </c>
      <c r="G1344" s="2" t="s">
        <v>2289</v>
      </c>
      <c r="H1344" s="2" t="s">
        <v>106</v>
      </c>
      <c r="I1344" s="2" t="s">
        <v>172</v>
      </c>
      <c r="J1344" s="2">
        <v>2</v>
      </c>
      <c r="K1344" s="2">
        <v>32.99</v>
      </c>
      <c r="L1344" s="2" t="s">
        <v>208</v>
      </c>
      <c r="M1344" s="2">
        <v>9.9</v>
      </c>
      <c r="N1344" s="2">
        <v>7.99</v>
      </c>
      <c r="O1344" s="2">
        <v>64.069999999999993</v>
      </c>
      <c r="P1344" s="2" t="s">
        <v>68</v>
      </c>
      <c r="Q1344" s="2" t="s">
        <v>28</v>
      </c>
      <c r="R1344" s="2" t="s">
        <v>99</v>
      </c>
      <c r="S1344" s="2" t="s">
        <v>30</v>
      </c>
      <c r="T1344" s="2" t="s">
        <v>115</v>
      </c>
      <c r="U1344" s="2" t="str">
        <f t="shared" si="64"/>
        <v>Valid</v>
      </c>
      <c r="V1344" s="2" t="s">
        <v>3673</v>
      </c>
    </row>
    <row r="1345" spans="1:22" hidden="1" x14ac:dyDescent="0.3">
      <c r="A1345" s="2" t="s">
        <v>3674</v>
      </c>
      <c r="B1345" s="12">
        <f t="shared" si="63"/>
        <v>46238.582764293977</v>
      </c>
      <c r="C1345" s="13">
        <v>46238.582764293977</v>
      </c>
      <c r="D1345" s="2" t="s">
        <v>1645</v>
      </c>
      <c r="E1345" s="2" t="str">
        <f t="shared" si="62"/>
        <v>Email Available</v>
      </c>
      <c r="F1345" s="2" t="s">
        <v>1553</v>
      </c>
      <c r="G1345" s="2" t="s">
        <v>315</v>
      </c>
      <c r="H1345" s="2" t="s">
        <v>37</v>
      </c>
      <c r="I1345" s="2" t="s">
        <v>316</v>
      </c>
      <c r="J1345" s="2">
        <v>1</v>
      </c>
      <c r="K1345" s="2">
        <v>8.99</v>
      </c>
      <c r="L1345" s="2"/>
      <c r="M1345" s="2">
        <v>0</v>
      </c>
      <c r="N1345" s="2">
        <v>7.99</v>
      </c>
      <c r="O1345" s="2">
        <v>16.98</v>
      </c>
      <c r="P1345" s="2" t="s">
        <v>27</v>
      </c>
      <c r="Q1345" s="2" t="s">
        <v>90</v>
      </c>
      <c r="R1345" s="2" t="s">
        <v>99</v>
      </c>
      <c r="S1345" s="2" t="s">
        <v>75</v>
      </c>
      <c r="T1345" s="2"/>
      <c r="U1345" s="2" t="str">
        <f t="shared" si="64"/>
        <v>Not Required</v>
      </c>
      <c r="V1345" s="2" t="s">
        <v>3675</v>
      </c>
    </row>
    <row r="1346" spans="1:22" hidden="1" x14ac:dyDescent="0.3">
      <c r="A1346" s="2" t="s">
        <v>3676</v>
      </c>
      <c r="B1346" s="12">
        <f t="shared" si="63"/>
        <v>46238.579090902778</v>
      </c>
      <c r="C1346" s="13">
        <v>46238.579090902778</v>
      </c>
      <c r="D1346" s="2" t="s">
        <v>565</v>
      </c>
      <c r="E1346" s="2" t="str">
        <f t="shared" si="62"/>
        <v>Email Available</v>
      </c>
      <c r="F1346" s="2" t="s">
        <v>566</v>
      </c>
      <c r="G1346" s="2" t="s">
        <v>80</v>
      </c>
      <c r="H1346" s="2" t="s">
        <v>81</v>
      </c>
      <c r="I1346" s="2" t="s">
        <v>82</v>
      </c>
      <c r="J1346" s="2">
        <v>2</v>
      </c>
      <c r="K1346" s="2">
        <v>89.99</v>
      </c>
      <c r="L1346" s="2"/>
      <c r="M1346" s="2" t="s">
        <v>189</v>
      </c>
      <c r="N1346" s="2">
        <v>0</v>
      </c>
      <c r="O1346" s="2">
        <v>179.98</v>
      </c>
      <c r="P1346" s="2" t="s">
        <v>51</v>
      </c>
      <c r="Q1346" s="2" t="s">
        <v>28</v>
      </c>
      <c r="R1346" s="2" t="s">
        <v>52</v>
      </c>
      <c r="S1346" s="2" t="s">
        <v>43</v>
      </c>
      <c r="T1346" s="2"/>
      <c r="U1346" s="2" t="str">
        <f t="shared" si="64"/>
        <v>Not Required</v>
      </c>
      <c r="V1346" s="2" t="s">
        <v>3677</v>
      </c>
    </row>
    <row r="1347" spans="1:22" hidden="1" x14ac:dyDescent="0.3">
      <c r="A1347" s="2" t="s">
        <v>3678</v>
      </c>
      <c r="B1347" s="12">
        <f t="shared" si="63"/>
        <v>46238.583292048606</v>
      </c>
      <c r="C1347" s="13">
        <v>46238.583292048606</v>
      </c>
      <c r="D1347" s="2" t="s">
        <v>211</v>
      </c>
      <c r="E1347" s="2" t="str">
        <f t="shared" ref="E1347:E1410" si="65">IF(TRIM(F1347)="","Missing Email","Email Available")</f>
        <v>Email Available</v>
      </c>
      <c r="F1347" s="2" t="s">
        <v>212</v>
      </c>
      <c r="G1347" s="2" t="s">
        <v>133</v>
      </c>
      <c r="H1347" s="2" t="s">
        <v>106</v>
      </c>
      <c r="I1347" s="2" t="s">
        <v>134</v>
      </c>
      <c r="J1347" s="2">
        <v>1</v>
      </c>
      <c r="K1347" s="2">
        <v>16.989999999999998</v>
      </c>
      <c r="L1347" s="2" t="s">
        <v>121</v>
      </c>
      <c r="M1347" s="2">
        <v>4.25</v>
      </c>
      <c r="N1347" s="2">
        <v>5.99</v>
      </c>
      <c r="O1347" s="2">
        <v>18.73</v>
      </c>
      <c r="P1347" s="2" t="s">
        <v>40</v>
      </c>
      <c r="Q1347" s="2" t="s">
        <v>114</v>
      </c>
      <c r="R1347" s="2" t="s">
        <v>29</v>
      </c>
      <c r="S1347" s="2" t="s">
        <v>108</v>
      </c>
      <c r="T1347" s="2"/>
      <c r="U1347" s="2" t="str">
        <f t="shared" si="64"/>
        <v>Not Required</v>
      </c>
      <c r="V1347" s="2" t="s">
        <v>3679</v>
      </c>
    </row>
    <row r="1348" spans="1:22" hidden="1" x14ac:dyDescent="0.3">
      <c r="A1348" s="2" t="s">
        <v>3680</v>
      </c>
      <c r="B1348" s="12">
        <f t="shared" si="63"/>
        <v>46238.583440347233</v>
      </c>
      <c r="C1348" s="13">
        <v>46238.583440347233</v>
      </c>
      <c r="D1348" s="2" t="s">
        <v>3681</v>
      </c>
      <c r="E1348" s="2" t="str">
        <f t="shared" si="65"/>
        <v>Email Available</v>
      </c>
      <c r="F1348" s="2" t="s">
        <v>3682</v>
      </c>
      <c r="G1348" s="2" t="s">
        <v>157</v>
      </c>
      <c r="H1348" s="2" t="s">
        <v>37</v>
      </c>
      <c r="I1348" s="2" t="s">
        <v>158</v>
      </c>
      <c r="J1348" s="2">
        <v>2</v>
      </c>
      <c r="K1348" s="2">
        <v>29.99</v>
      </c>
      <c r="L1348" s="2"/>
      <c r="M1348" s="2">
        <v>0</v>
      </c>
      <c r="N1348" s="2">
        <v>5.99</v>
      </c>
      <c r="O1348" s="2">
        <v>65.97</v>
      </c>
      <c r="P1348" s="2" t="s">
        <v>68</v>
      </c>
      <c r="Q1348" s="2" t="s">
        <v>28</v>
      </c>
      <c r="R1348" s="2" t="s">
        <v>99</v>
      </c>
      <c r="S1348" s="2" t="s">
        <v>30</v>
      </c>
      <c r="T1348" s="2" t="s">
        <v>60</v>
      </c>
      <c r="U1348" s="2" t="str">
        <f t="shared" si="64"/>
        <v>Valid</v>
      </c>
      <c r="V1348" s="2" t="s">
        <v>3683</v>
      </c>
    </row>
    <row r="1349" spans="1:22" hidden="1" x14ac:dyDescent="0.3">
      <c r="A1349" s="2" t="s">
        <v>3684</v>
      </c>
      <c r="B1349" s="12">
        <f t="shared" si="63"/>
        <v>46120</v>
      </c>
      <c r="C1349" s="13" t="s">
        <v>142</v>
      </c>
      <c r="D1349" s="2" t="s">
        <v>313</v>
      </c>
      <c r="E1349" s="2" t="str">
        <f t="shared" si="65"/>
        <v>Email Available</v>
      </c>
      <c r="F1349" s="2" t="s">
        <v>314</v>
      </c>
      <c r="G1349" s="2" t="s">
        <v>272</v>
      </c>
      <c r="H1349" s="2" t="s">
        <v>23</v>
      </c>
      <c r="I1349" s="2" t="s">
        <v>273</v>
      </c>
      <c r="J1349" s="2">
        <v>3</v>
      </c>
      <c r="K1349" s="2">
        <v>18.989999999999998</v>
      </c>
      <c r="L1349" s="2" t="s">
        <v>121</v>
      </c>
      <c r="M1349" s="2">
        <v>14.24</v>
      </c>
      <c r="N1349" s="2">
        <v>4.99</v>
      </c>
      <c r="O1349" s="2">
        <v>47.72</v>
      </c>
      <c r="P1349" s="2" t="s">
        <v>74</v>
      </c>
      <c r="Q1349" s="2" t="s">
        <v>28</v>
      </c>
      <c r="R1349" s="2" t="s">
        <v>52</v>
      </c>
      <c r="S1349" s="2" t="s">
        <v>108</v>
      </c>
      <c r="T1349" s="2"/>
      <c r="U1349" s="2" t="str">
        <f t="shared" si="64"/>
        <v>Not Required</v>
      </c>
      <c r="V1349" s="2" t="s">
        <v>3685</v>
      </c>
    </row>
    <row r="1350" spans="1:22" hidden="1" x14ac:dyDescent="0.3">
      <c r="A1350" s="2" t="s">
        <v>3686</v>
      </c>
      <c r="B1350" s="12">
        <f t="shared" si="63"/>
        <v>46238.582059722219</v>
      </c>
      <c r="C1350" s="13">
        <v>46238.582059722219</v>
      </c>
      <c r="D1350" s="2" t="s">
        <v>149</v>
      </c>
      <c r="E1350" s="2" t="str">
        <f t="shared" si="65"/>
        <v>Email Available</v>
      </c>
      <c r="F1350" s="2" t="s">
        <v>150</v>
      </c>
      <c r="G1350" s="2" t="s">
        <v>272</v>
      </c>
      <c r="H1350" s="2" t="s">
        <v>23</v>
      </c>
      <c r="I1350" s="2" t="s">
        <v>273</v>
      </c>
      <c r="J1350" s="2">
        <v>2</v>
      </c>
      <c r="K1350" s="2" t="s">
        <v>639</v>
      </c>
      <c r="L1350" s="2"/>
      <c r="M1350" s="2">
        <v>0</v>
      </c>
      <c r="N1350" s="2">
        <v>5.99</v>
      </c>
      <c r="O1350" s="2">
        <v>43.97</v>
      </c>
      <c r="P1350" s="2" t="s">
        <v>27</v>
      </c>
      <c r="Q1350" s="2" t="s">
        <v>28</v>
      </c>
      <c r="R1350" s="2" t="s">
        <v>52</v>
      </c>
      <c r="S1350" s="2" t="s">
        <v>108</v>
      </c>
      <c r="T1350" s="2"/>
      <c r="U1350" s="2" t="str">
        <f t="shared" si="64"/>
        <v>Not Required</v>
      </c>
      <c r="V1350" s="2" t="s">
        <v>3687</v>
      </c>
    </row>
    <row r="1351" spans="1:22" hidden="1" x14ac:dyDescent="0.3">
      <c r="A1351" s="2" t="s">
        <v>3688</v>
      </c>
      <c r="B1351" s="12">
        <f t="shared" si="63"/>
        <v>46238.579381516203</v>
      </c>
      <c r="C1351" s="13">
        <v>46238.579381516203</v>
      </c>
      <c r="D1351" s="2" t="s">
        <v>3689</v>
      </c>
      <c r="E1351" s="2" t="str">
        <f t="shared" si="65"/>
        <v>Email Available</v>
      </c>
      <c r="F1351" s="2" t="s">
        <v>439</v>
      </c>
      <c r="G1351" s="2" t="s">
        <v>65</v>
      </c>
      <c r="H1351" s="2" t="s">
        <v>49</v>
      </c>
      <c r="I1351" s="2" t="s">
        <v>66</v>
      </c>
      <c r="J1351" s="2">
        <v>2</v>
      </c>
      <c r="K1351" s="2">
        <v>14.99</v>
      </c>
      <c r="L1351" s="2"/>
      <c r="M1351" s="2">
        <v>0</v>
      </c>
      <c r="N1351" s="2">
        <v>7.99</v>
      </c>
      <c r="O1351" s="2">
        <v>37.97</v>
      </c>
      <c r="P1351" s="2" t="s">
        <v>27</v>
      </c>
      <c r="Q1351" s="2" t="s">
        <v>28</v>
      </c>
      <c r="R1351" s="2" t="s">
        <v>52</v>
      </c>
      <c r="S1351" s="2" t="s">
        <v>108</v>
      </c>
      <c r="T1351" s="2"/>
      <c r="U1351" s="2" t="str">
        <f t="shared" si="64"/>
        <v>Not Required</v>
      </c>
      <c r="V1351" s="2" t="s">
        <v>3690</v>
      </c>
    </row>
    <row r="1352" spans="1:22" hidden="1" x14ac:dyDescent="0.3">
      <c r="A1352" s="2" t="s">
        <v>3691</v>
      </c>
      <c r="B1352" s="12">
        <f>DATE(VALUE(RIGHT(C1352,4)),MATCH(LEFT(C1352,3),{"Jan","Feb","Mar","Apr","May","Jun","Jul","Aug","Sep","Oct","Nov","Dec"},0),VALUE(MID(C1352,5,2)))</f>
        <v>46238</v>
      </c>
      <c r="C1352" s="13" t="s">
        <v>176</v>
      </c>
      <c r="D1352" s="2" t="s">
        <v>1732</v>
      </c>
      <c r="E1352" s="2" t="str">
        <f t="shared" si="65"/>
        <v>Email Available</v>
      </c>
      <c r="F1352" s="2" t="s">
        <v>1733</v>
      </c>
      <c r="G1352" s="2" t="s">
        <v>206</v>
      </c>
      <c r="H1352" s="2" t="s">
        <v>196</v>
      </c>
      <c r="I1352" s="2" t="s">
        <v>207</v>
      </c>
      <c r="J1352" s="2">
        <v>1</v>
      </c>
      <c r="K1352" s="2">
        <v>24.99</v>
      </c>
      <c r="L1352" s="2" t="s">
        <v>208</v>
      </c>
      <c r="M1352" s="2">
        <v>3.75</v>
      </c>
      <c r="N1352" s="2">
        <v>4.99</v>
      </c>
      <c r="O1352" s="2">
        <v>26.23</v>
      </c>
      <c r="P1352" s="2" t="s">
        <v>40</v>
      </c>
      <c r="Q1352" s="2" t="s">
        <v>28</v>
      </c>
      <c r="R1352" s="2" t="s">
        <v>99</v>
      </c>
      <c r="S1352" s="2" t="s">
        <v>337</v>
      </c>
      <c r="T1352" s="2"/>
      <c r="U1352" s="2" t="str">
        <f t="shared" si="64"/>
        <v>Not Required</v>
      </c>
      <c r="V1352" s="2" t="s">
        <v>3692</v>
      </c>
    </row>
    <row r="1353" spans="1:22" hidden="1" x14ac:dyDescent="0.3">
      <c r="A1353" s="2" t="s">
        <v>3693</v>
      </c>
      <c r="B1353" s="12">
        <f t="shared" si="63"/>
        <v>46238.57892537037</v>
      </c>
      <c r="C1353" s="13">
        <v>46238.57892537037</v>
      </c>
      <c r="D1353" s="2" t="s">
        <v>1444</v>
      </c>
      <c r="E1353" s="2" t="str">
        <f t="shared" si="65"/>
        <v>Email Available</v>
      </c>
      <c r="F1353" s="2" t="s">
        <v>1445</v>
      </c>
      <c r="G1353" s="2" t="s">
        <v>266</v>
      </c>
      <c r="H1353" s="2" t="s">
        <v>37</v>
      </c>
      <c r="I1353" s="2" t="s">
        <v>267</v>
      </c>
      <c r="J1353" s="2">
        <v>1</v>
      </c>
      <c r="K1353" s="2">
        <v>15.49</v>
      </c>
      <c r="L1353" s="2"/>
      <c r="M1353" s="2">
        <v>0</v>
      </c>
      <c r="N1353" s="2">
        <v>7.99</v>
      </c>
      <c r="O1353" s="2">
        <v>23.48</v>
      </c>
      <c r="P1353" s="2" t="s">
        <v>27</v>
      </c>
      <c r="Q1353" s="2" t="s">
        <v>28</v>
      </c>
      <c r="R1353" s="2" t="s">
        <v>52</v>
      </c>
      <c r="S1353" s="2" t="s">
        <v>30</v>
      </c>
      <c r="T1353" s="2" t="s">
        <v>75</v>
      </c>
      <c r="U1353" s="2" t="str">
        <f t="shared" si="64"/>
        <v>Valid</v>
      </c>
      <c r="V1353" s="2" t="s">
        <v>3694</v>
      </c>
    </row>
    <row r="1354" spans="1:22" hidden="1" x14ac:dyDescent="0.3">
      <c r="A1354" s="2" t="s">
        <v>3695</v>
      </c>
      <c r="B1354" s="12">
        <f t="shared" si="63"/>
        <v>46238.584313333333</v>
      </c>
      <c r="C1354" s="13">
        <v>46238.584313333333</v>
      </c>
      <c r="D1354" s="2" t="s">
        <v>1964</v>
      </c>
      <c r="E1354" s="2" t="str">
        <f t="shared" si="65"/>
        <v>Email Available</v>
      </c>
      <c r="F1354" s="2" t="s">
        <v>1965</v>
      </c>
      <c r="G1354" s="2" t="s">
        <v>171</v>
      </c>
      <c r="H1354" s="2" t="s">
        <v>106</v>
      </c>
      <c r="I1354" s="2" t="s">
        <v>172</v>
      </c>
      <c r="J1354" s="2">
        <v>1</v>
      </c>
      <c r="K1354" s="2">
        <v>32.99</v>
      </c>
      <c r="L1354" s="2" t="s">
        <v>208</v>
      </c>
      <c r="M1354" s="2">
        <v>4.95</v>
      </c>
      <c r="N1354" s="2">
        <v>5.99</v>
      </c>
      <c r="O1354" s="2">
        <v>34.03</v>
      </c>
      <c r="P1354" s="2" t="s">
        <v>74</v>
      </c>
      <c r="Q1354" s="2" t="s">
        <v>28</v>
      </c>
      <c r="R1354" s="2" t="s">
        <v>42</v>
      </c>
      <c r="S1354" s="2" t="s">
        <v>337</v>
      </c>
      <c r="T1354" s="2"/>
      <c r="U1354" s="2" t="str">
        <f t="shared" si="64"/>
        <v>Not Required</v>
      </c>
      <c r="V1354" s="2" t="s">
        <v>3696</v>
      </c>
    </row>
    <row r="1355" spans="1:22" hidden="1" x14ac:dyDescent="0.3">
      <c r="A1355" s="2" t="s">
        <v>3697</v>
      </c>
      <c r="B1355" s="12">
        <f t="shared" si="63"/>
        <v>46238.588957905093</v>
      </c>
      <c r="C1355" s="13">
        <v>46238.588957905093</v>
      </c>
      <c r="D1355" s="2" t="s">
        <v>309</v>
      </c>
      <c r="E1355" s="2" t="str">
        <f t="shared" si="65"/>
        <v>Email Available</v>
      </c>
      <c r="F1355" s="2" t="s">
        <v>310</v>
      </c>
      <c r="G1355" s="2" t="s">
        <v>284</v>
      </c>
      <c r="H1355" s="2" t="s">
        <v>23</v>
      </c>
      <c r="I1355" s="2" t="s">
        <v>285</v>
      </c>
      <c r="J1355" s="2">
        <v>1</v>
      </c>
      <c r="K1355" s="2">
        <v>24.99</v>
      </c>
      <c r="L1355" s="2"/>
      <c r="M1355" s="2">
        <v>0</v>
      </c>
      <c r="N1355" s="2">
        <v>7.99</v>
      </c>
      <c r="O1355" s="2">
        <v>32.979999999999997</v>
      </c>
      <c r="P1355" s="2" t="s">
        <v>74</v>
      </c>
      <c r="Q1355" s="2" t="s">
        <v>28</v>
      </c>
      <c r="R1355" s="2" t="s">
        <v>52</v>
      </c>
      <c r="S1355" s="2" t="s">
        <v>30</v>
      </c>
      <c r="T1355" s="2" t="s">
        <v>31</v>
      </c>
      <c r="U1355" s="2" t="str">
        <f t="shared" si="64"/>
        <v>Valid</v>
      </c>
      <c r="V1355" s="2" t="s">
        <v>3698</v>
      </c>
    </row>
    <row r="1356" spans="1:22" hidden="1" x14ac:dyDescent="0.3">
      <c r="A1356" s="2" t="s">
        <v>3699</v>
      </c>
      <c r="B1356" s="12">
        <f t="shared" si="63"/>
        <v>46238.580045601862</v>
      </c>
      <c r="C1356" s="13">
        <v>46238.580045601862</v>
      </c>
      <c r="D1356" s="2" t="s">
        <v>651</v>
      </c>
      <c r="E1356" s="2" t="str">
        <f t="shared" si="65"/>
        <v>Email Available</v>
      </c>
      <c r="F1356" s="2" t="s">
        <v>652</v>
      </c>
      <c r="G1356" s="2" t="s">
        <v>226</v>
      </c>
      <c r="H1356" s="2" t="s">
        <v>23</v>
      </c>
      <c r="I1356" s="2" t="s">
        <v>227</v>
      </c>
      <c r="J1356" s="2">
        <v>2</v>
      </c>
      <c r="K1356" s="2">
        <v>17.989999999999998</v>
      </c>
      <c r="L1356" s="2"/>
      <c r="M1356" s="2">
        <v>0</v>
      </c>
      <c r="N1356" s="2">
        <v>5.99</v>
      </c>
      <c r="O1356" s="2">
        <v>41.97</v>
      </c>
      <c r="P1356" s="2" t="s">
        <v>74</v>
      </c>
      <c r="Q1356" s="2" t="s">
        <v>28</v>
      </c>
      <c r="R1356" s="2" t="s">
        <v>42</v>
      </c>
      <c r="S1356" s="2" t="s">
        <v>30</v>
      </c>
      <c r="T1356" s="2" t="s">
        <v>115</v>
      </c>
      <c r="U1356" s="2" t="str">
        <f t="shared" si="64"/>
        <v>Valid</v>
      </c>
      <c r="V1356" s="2" t="s">
        <v>3700</v>
      </c>
    </row>
    <row r="1357" spans="1:22" hidden="1" x14ac:dyDescent="0.3">
      <c r="A1357" s="2" t="s">
        <v>3701</v>
      </c>
      <c r="B1357" s="12">
        <f t="shared" si="63"/>
        <v>46238.582464074083</v>
      </c>
      <c r="C1357" s="13">
        <v>46238.582464074083</v>
      </c>
      <c r="D1357" s="2" t="s">
        <v>713</v>
      </c>
      <c r="E1357" s="2" t="str">
        <f t="shared" si="65"/>
        <v>Email Available</v>
      </c>
      <c r="F1357" s="2" t="s">
        <v>714</v>
      </c>
      <c r="G1357" s="2" t="s">
        <v>87</v>
      </c>
      <c r="H1357" s="2" t="s">
        <v>88</v>
      </c>
      <c r="I1357" s="2" t="s">
        <v>89</v>
      </c>
      <c r="J1357" s="2">
        <v>2</v>
      </c>
      <c r="K1357" s="2">
        <v>54.99</v>
      </c>
      <c r="L1357" s="2"/>
      <c r="M1357" s="2">
        <v>0</v>
      </c>
      <c r="N1357" s="2">
        <v>0</v>
      </c>
      <c r="O1357" s="2">
        <v>109.98</v>
      </c>
      <c r="P1357" s="2" t="s">
        <v>51</v>
      </c>
      <c r="Q1357" s="2" t="s">
        <v>28</v>
      </c>
      <c r="R1357" s="2" t="s">
        <v>42</v>
      </c>
      <c r="S1357" s="2" t="s">
        <v>337</v>
      </c>
      <c r="T1357" s="2"/>
      <c r="U1357" s="2" t="str">
        <f t="shared" si="64"/>
        <v>Not Required</v>
      </c>
      <c r="V1357" s="2" t="s">
        <v>3702</v>
      </c>
    </row>
    <row r="1358" spans="1:22" hidden="1" x14ac:dyDescent="0.3">
      <c r="A1358" s="2" t="s">
        <v>3703</v>
      </c>
      <c r="B1358" s="12">
        <f t="shared" si="63"/>
        <v>46238.585113321758</v>
      </c>
      <c r="C1358" s="13">
        <v>46238.585113321758</v>
      </c>
      <c r="D1358" s="2" t="s">
        <v>536</v>
      </c>
      <c r="E1358" s="2" t="str">
        <f t="shared" si="65"/>
        <v>Email Available</v>
      </c>
      <c r="F1358" s="2" t="s">
        <v>537</v>
      </c>
      <c r="G1358" s="2" t="s">
        <v>272</v>
      </c>
      <c r="H1358" s="2" t="s">
        <v>23</v>
      </c>
      <c r="I1358" s="2" t="s">
        <v>273</v>
      </c>
      <c r="J1358" s="2">
        <v>1</v>
      </c>
      <c r="K1358" s="2">
        <v>18.989999999999998</v>
      </c>
      <c r="L1358" s="2" t="s">
        <v>121</v>
      </c>
      <c r="M1358" s="2">
        <v>4.75</v>
      </c>
      <c r="N1358" s="2">
        <v>5.99</v>
      </c>
      <c r="O1358" s="2">
        <v>20.23</v>
      </c>
      <c r="P1358" s="2" t="s">
        <v>74</v>
      </c>
      <c r="Q1358" s="2" t="s">
        <v>28</v>
      </c>
      <c r="R1358" s="2" t="s">
        <v>42</v>
      </c>
      <c r="S1358" s="2" t="s">
        <v>30</v>
      </c>
      <c r="T1358" s="2" t="s">
        <v>53</v>
      </c>
      <c r="U1358" s="2" t="str">
        <f t="shared" si="64"/>
        <v>Valid</v>
      </c>
      <c r="V1358" s="2" t="s">
        <v>3704</v>
      </c>
    </row>
    <row r="1359" spans="1:22" hidden="1" x14ac:dyDescent="0.3">
      <c r="A1359" s="2" t="s">
        <v>3705</v>
      </c>
      <c r="B1359" s="12">
        <f t="shared" si="63"/>
        <v>46120</v>
      </c>
      <c r="C1359" s="13" t="s">
        <v>142</v>
      </c>
      <c r="D1359" s="2" t="s">
        <v>63</v>
      </c>
      <c r="E1359" s="2" t="str">
        <f t="shared" si="65"/>
        <v>Email Available</v>
      </c>
      <c r="F1359" s="2" t="s">
        <v>64</v>
      </c>
      <c r="G1359" s="2" t="s">
        <v>36</v>
      </c>
      <c r="H1359" s="2" t="s">
        <v>37</v>
      </c>
      <c r="I1359" s="2" t="s">
        <v>38</v>
      </c>
      <c r="J1359" s="2">
        <v>1</v>
      </c>
      <c r="K1359" s="2">
        <v>21.99</v>
      </c>
      <c r="L1359" s="2"/>
      <c r="M1359" s="2">
        <v>0</v>
      </c>
      <c r="N1359" s="2">
        <v>7.99</v>
      </c>
      <c r="O1359" s="2">
        <v>29.98</v>
      </c>
      <c r="P1359" s="2" t="s">
        <v>40</v>
      </c>
      <c r="Q1359" s="2" t="s">
        <v>114</v>
      </c>
      <c r="R1359" s="2" t="s">
        <v>42</v>
      </c>
      <c r="S1359" s="2" t="s">
        <v>30</v>
      </c>
      <c r="T1359" s="2" t="s">
        <v>145</v>
      </c>
      <c r="U1359" s="2" t="str">
        <f t="shared" si="64"/>
        <v>Valid</v>
      </c>
      <c r="V1359" s="2" t="s">
        <v>3706</v>
      </c>
    </row>
    <row r="1360" spans="1:22" hidden="1" x14ac:dyDescent="0.3">
      <c r="A1360" s="2" t="s">
        <v>3707</v>
      </c>
      <c r="B1360" s="12">
        <f t="shared" si="63"/>
        <v>46238.581097442133</v>
      </c>
      <c r="C1360" s="13">
        <v>46238.581097442133</v>
      </c>
      <c r="D1360" s="2" t="s">
        <v>3381</v>
      </c>
      <c r="E1360" s="2" t="str">
        <f t="shared" si="65"/>
        <v>Email Available</v>
      </c>
      <c r="F1360" s="2" t="s">
        <v>3382</v>
      </c>
      <c r="G1360" s="2" t="s">
        <v>206</v>
      </c>
      <c r="H1360" s="2" t="s">
        <v>196</v>
      </c>
      <c r="I1360" s="2" t="s">
        <v>207</v>
      </c>
      <c r="J1360" s="2">
        <v>1</v>
      </c>
      <c r="K1360" s="2">
        <v>24.99</v>
      </c>
      <c r="L1360" s="2" t="s">
        <v>39</v>
      </c>
      <c r="M1360" s="2">
        <v>0</v>
      </c>
      <c r="N1360" s="2">
        <v>0</v>
      </c>
      <c r="O1360" s="2">
        <v>24.99</v>
      </c>
      <c r="P1360" s="2" t="s">
        <v>40</v>
      </c>
      <c r="Q1360" s="2" t="s">
        <v>114</v>
      </c>
      <c r="R1360" s="2" t="s">
        <v>52</v>
      </c>
      <c r="S1360" s="2" t="s">
        <v>75</v>
      </c>
      <c r="T1360" s="2"/>
      <c r="U1360" s="2" t="str">
        <f t="shared" si="64"/>
        <v>Not Required</v>
      </c>
      <c r="V1360" s="2" t="s">
        <v>3708</v>
      </c>
    </row>
    <row r="1361" spans="1:22" hidden="1" x14ac:dyDescent="0.3">
      <c r="A1361" s="2" t="s">
        <v>3709</v>
      </c>
      <c r="B1361" s="12">
        <f t="shared" si="63"/>
        <v>46238.588269131942</v>
      </c>
      <c r="C1361" s="13">
        <v>46238.588269131942</v>
      </c>
      <c r="D1361" s="2" t="s">
        <v>614</v>
      </c>
      <c r="E1361" s="2" t="str">
        <f t="shared" si="65"/>
        <v>Email Available</v>
      </c>
      <c r="F1361" s="2" t="s">
        <v>615</v>
      </c>
      <c r="G1361" s="2" t="s">
        <v>266</v>
      </c>
      <c r="H1361" s="2" t="s">
        <v>37</v>
      </c>
      <c r="I1361" s="2" t="s">
        <v>267</v>
      </c>
      <c r="J1361" s="2">
        <v>1</v>
      </c>
      <c r="K1361" s="2">
        <v>15.49</v>
      </c>
      <c r="L1361" s="2"/>
      <c r="M1361" s="2">
        <v>0</v>
      </c>
      <c r="N1361" s="2">
        <v>7.99</v>
      </c>
      <c r="O1361" s="2">
        <v>23.48</v>
      </c>
      <c r="P1361" s="2" t="s">
        <v>27</v>
      </c>
      <c r="Q1361" s="2" t="s">
        <v>28</v>
      </c>
      <c r="R1361" s="2" t="s">
        <v>52</v>
      </c>
      <c r="S1361" s="2" t="s">
        <v>43</v>
      </c>
      <c r="T1361" s="2"/>
      <c r="U1361" s="2" t="str">
        <f t="shared" si="64"/>
        <v>Not Required</v>
      </c>
      <c r="V1361" s="2" t="s">
        <v>3710</v>
      </c>
    </row>
    <row r="1362" spans="1:22" hidden="1" x14ac:dyDescent="0.3">
      <c r="A1362" s="2" t="s">
        <v>3711</v>
      </c>
      <c r="B1362" s="12">
        <f t="shared" si="63"/>
        <v>46238.585680127311</v>
      </c>
      <c r="C1362" s="13">
        <v>46238.585680127311</v>
      </c>
      <c r="D1362" s="2" t="s">
        <v>3712</v>
      </c>
      <c r="E1362" s="2" t="str">
        <f t="shared" si="65"/>
        <v>Email Available</v>
      </c>
      <c r="F1362" s="2" t="s">
        <v>3713</v>
      </c>
      <c r="G1362" s="2" t="s">
        <v>284</v>
      </c>
      <c r="H1362" s="2" t="s">
        <v>23</v>
      </c>
      <c r="I1362" s="2" t="s">
        <v>285</v>
      </c>
      <c r="J1362" s="2">
        <v>2</v>
      </c>
      <c r="K1362" s="2">
        <v>24.99</v>
      </c>
      <c r="L1362" s="2" t="s">
        <v>208</v>
      </c>
      <c r="M1362" s="2">
        <v>7.5</v>
      </c>
      <c r="N1362" s="2">
        <v>4.99</v>
      </c>
      <c r="O1362" s="2">
        <v>47.47</v>
      </c>
      <c r="P1362" s="2" t="s">
        <v>27</v>
      </c>
      <c r="Q1362" s="2" t="s">
        <v>114</v>
      </c>
      <c r="R1362" s="2" t="s">
        <v>29</v>
      </c>
      <c r="S1362" s="2" t="s">
        <v>75</v>
      </c>
      <c r="T1362" s="2"/>
      <c r="U1362" s="2" t="str">
        <f t="shared" si="64"/>
        <v>Not Required</v>
      </c>
      <c r="V1362" s="2" t="s">
        <v>3714</v>
      </c>
    </row>
    <row r="1363" spans="1:22" hidden="1" x14ac:dyDescent="0.3">
      <c r="A1363" s="2" t="s">
        <v>3715</v>
      </c>
      <c r="B1363" s="12">
        <f t="shared" si="63"/>
        <v>46238.584450069437</v>
      </c>
      <c r="C1363" s="13">
        <v>46238.584450069437</v>
      </c>
      <c r="D1363" s="2" t="s">
        <v>496</v>
      </c>
      <c r="E1363" s="2" t="str">
        <f t="shared" si="65"/>
        <v>Email Available</v>
      </c>
      <c r="F1363" s="2" t="s">
        <v>497</v>
      </c>
      <c r="G1363" s="2" t="s">
        <v>127</v>
      </c>
      <c r="H1363" s="2" t="s">
        <v>81</v>
      </c>
      <c r="I1363" s="2" t="s">
        <v>128</v>
      </c>
      <c r="J1363" s="2">
        <v>1</v>
      </c>
      <c r="K1363" s="2">
        <v>13.99</v>
      </c>
      <c r="L1363" s="2"/>
      <c r="M1363" s="2">
        <v>0</v>
      </c>
      <c r="N1363" s="2">
        <v>5.99</v>
      </c>
      <c r="O1363" s="2">
        <v>19.98</v>
      </c>
      <c r="P1363" s="2" t="s">
        <v>27</v>
      </c>
      <c r="Q1363" s="2" t="s">
        <v>28</v>
      </c>
      <c r="R1363" s="2" t="s">
        <v>52</v>
      </c>
      <c r="S1363" s="2" t="s">
        <v>30</v>
      </c>
      <c r="T1363" s="2" t="s">
        <v>294</v>
      </c>
      <c r="U1363" s="2" t="str">
        <f t="shared" si="64"/>
        <v>Valid</v>
      </c>
      <c r="V1363" s="2" t="s">
        <v>3716</v>
      </c>
    </row>
    <row r="1364" spans="1:22" hidden="1" x14ac:dyDescent="0.3">
      <c r="A1364" s="2" t="s">
        <v>3717</v>
      </c>
      <c r="B1364" s="12">
        <f t="shared" si="63"/>
        <v>46120</v>
      </c>
      <c r="C1364" s="13" t="s">
        <v>142</v>
      </c>
      <c r="D1364" s="2" t="s">
        <v>853</v>
      </c>
      <c r="E1364" s="2" t="str">
        <f t="shared" si="65"/>
        <v>Email Available</v>
      </c>
      <c r="F1364" s="2" t="s">
        <v>854</v>
      </c>
      <c r="G1364" s="2" t="s">
        <v>65</v>
      </c>
      <c r="H1364" s="2" t="s">
        <v>49</v>
      </c>
      <c r="I1364" s="2" t="s">
        <v>453</v>
      </c>
      <c r="J1364" s="2">
        <v>1</v>
      </c>
      <c r="K1364" s="2">
        <v>14.99</v>
      </c>
      <c r="L1364" s="2" t="s">
        <v>208</v>
      </c>
      <c r="M1364" s="2">
        <v>2.25</v>
      </c>
      <c r="N1364" s="2">
        <v>7.99</v>
      </c>
      <c r="O1364" s="2">
        <v>20.73</v>
      </c>
      <c r="P1364" s="2" t="s">
        <v>74</v>
      </c>
      <c r="Q1364" s="2" t="s">
        <v>28</v>
      </c>
      <c r="R1364" s="2" t="s">
        <v>52</v>
      </c>
      <c r="S1364" s="2" t="s">
        <v>30</v>
      </c>
      <c r="T1364" s="2" t="s">
        <v>31</v>
      </c>
      <c r="U1364" s="2" t="str">
        <f t="shared" si="64"/>
        <v>Valid</v>
      </c>
      <c r="V1364" s="2" t="s">
        <v>3718</v>
      </c>
    </row>
    <row r="1365" spans="1:22" hidden="1" x14ac:dyDescent="0.3">
      <c r="A1365" s="2" t="s">
        <v>3719</v>
      </c>
      <c r="B1365" s="12">
        <f t="shared" si="63"/>
        <v>46238.585834351848</v>
      </c>
      <c r="C1365" s="13">
        <v>46238.585834351848</v>
      </c>
      <c r="D1365" s="2" t="s">
        <v>384</v>
      </c>
      <c r="E1365" s="2" t="str">
        <f t="shared" si="65"/>
        <v>Email Available</v>
      </c>
      <c r="F1365" s="2" t="s">
        <v>385</v>
      </c>
      <c r="G1365" s="2" t="s">
        <v>151</v>
      </c>
      <c r="H1365" s="2" t="s">
        <v>49</v>
      </c>
      <c r="I1365" s="2" t="s">
        <v>152</v>
      </c>
      <c r="J1365" s="2">
        <v>2</v>
      </c>
      <c r="K1365" s="2">
        <v>34.99</v>
      </c>
      <c r="L1365" s="2"/>
      <c r="M1365" s="2">
        <v>0</v>
      </c>
      <c r="N1365" s="2">
        <v>4.99</v>
      </c>
      <c r="O1365" s="2">
        <v>74.97</v>
      </c>
      <c r="P1365" s="2" t="s">
        <v>74</v>
      </c>
      <c r="Q1365" s="2" t="s">
        <v>90</v>
      </c>
      <c r="R1365" s="2" t="s">
        <v>42</v>
      </c>
      <c r="S1365" s="2" t="s">
        <v>75</v>
      </c>
      <c r="T1365" s="2"/>
      <c r="U1365" s="2" t="str">
        <f t="shared" si="64"/>
        <v>Not Required</v>
      </c>
      <c r="V1365" s="2" t="s">
        <v>3720</v>
      </c>
    </row>
    <row r="1366" spans="1:22" hidden="1" x14ac:dyDescent="0.3">
      <c r="A1366" s="2" t="s">
        <v>3721</v>
      </c>
      <c r="B1366" s="12">
        <f t="shared" si="63"/>
        <v>46120</v>
      </c>
      <c r="C1366" s="13" t="s">
        <v>142</v>
      </c>
      <c r="D1366" s="2" t="s">
        <v>562</v>
      </c>
      <c r="E1366" s="2" t="str">
        <f t="shared" si="65"/>
        <v>Email Available</v>
      </c>
      <c r="F1366" s="2" t="s">
        <v>47</v>
      </c>
      <c r="G1366" s="2" t="s">
        <v>157</v>
      </c>
      <c r="H1366" s="2" t="s">
        <v>37</v>
      </c>
      <c r="I1366" s="2" t="s">
        <v>158</v>
      </c>
      <c r="J1366" s="2">
        <v>1</v>
      </c>
      <c r="K1366" s="2">
        <v>29.99</v>
      </c>
      <c r="L1366" s="2" t="s">
        <v>25</v>
      </c>
      <c r="M1366" s="2">
        <v>6</v>
      </c>
      <c r="N1366" s="2">
        <v>5.99</v>
      </c>
      <c r="O1366" s="2">
        <v>29.98</v>
      </c>
      <c r="P1366" s="2" t="s">
        <v>51</v>
      </c>
      <c r="Q1366" s="2" t="s">
        <v>90</v>
      </c>
      <c r="R1366" s="2" t="s">
        <v>99</v>
      </c>
      <c r="S1366" s="2" t="s">
        <v>30</v>
      </c>
      <c r="T1366" s="2" t="s">
        <v>347</v>
      </c>
      <c r="U1366" s="2" t="str">
        <f t="shared" si="64"/>
        <v>Valid</v>
      </c>
      <c r="V1366" s="2" t="s">
        <v>3722</v>
      </c>
    </row>
    <row r="1367" spans="1:22" hidden="1" x14ac:dyDescent="0.3">
      <c r="A1367" s="2" t="s">
        <v>3723</v>
      </c>
      <c r="B1367" s="12">
        <f t="shared" si="63"/>
        <v>46238.585011793977</v>
      </c>
      <c r="C1367" s="13">
        <v>46238.585011793977</v>
      </c>
      <c r="D1367" s="2" t="s">
        <v>193</v>
      </c>
      <c r="E1367" s="2" t="str">
        <f t="shared" si="65"/>
        <v>Email Available</v>
      </c>
      <c r="F1367" s="2" t="s">
        <v>194</v>
      </c>
      <c r="G1367" s="2" t="s">
        <v>87</v>
      </c>
      <c r="H1367" s="2" t="s">
        <v>88</v>
      </c>
      <c r="I1367" s="2" t="s">
        <v>89</v>
      </c>
      <c r="J1367" s="2">
        <v>1</v>
      </c>
      <c r="K1367" s="2">
        <v>54.99</v>
      </c>
      <c r="L1367" s="2" t="s">
        <v>39</v>
      </c>
      <c r="M1367" s="2">
        <v>0</v>
      </c>
      <c r="N1367" s="2">
        <v>0</v>
      </c>
      <c r="O1367" s="2">
        <v>54.99</v>
      </c>
      <c r="P1367" s="2" t="s">
        <v>68</v>
      </c>
      <c r="Q1367" s="2" t="s">
        <v>90</v>
      </c>
      <c r="R1367" s="2" t="s">
        <v>52</v>
      </c>
      <c r="S1367" s="2" t="s">
        <v>30</v>
      </c>
      <c r="T1367" s="2" t="s">
        <v>347</v>
      </c>
      <c r="U1367" s="2" t="str">
        <f t="shared" si="64"/>
        <v>Valid</v>
      </c>
      <c r="V1367" s="2" t="s">
        <v>3724</v>
      </c>
    </row>
    <row r="1368" spans="1:22" hidden="1" x14ac:dyDescent="0.3">
      <c r="A1368" s="2" t="s">
        <v>3725</v>
      </c>
      <c r="B1368" s="12">
        <f t="shared" si="63"/>
        <v>46238.587336793978</v>
      </c>
      <c r="C1368" s="13">
        <v>46238.587336793978</v>
      </c>
      <c r="D1368" s="2" t="s">
        <v>1535</v>
      </c>
      <c r="E1368" s="2" t="str">
        <f t="shared" si="65"/>
        <v>Email Available</v>
      </c>
      <c r="F1368" s="2" t="s">
        <v>1536</v>
      </c>
      <c r="G1368" s="2" t="s">
        <v>127</v>
      </c>
      <c r="H1368" s="2" t="s">
        <v>81</v>
      </c>
      <c r="I1368" s="2" t="s">
        <v>128</v>
      </c>
      <c r="J1368" s="2">
        <v>1</v>
      </c>
      <c r="K1368" s="2">
        <v>13.99</v>
      </c>
      <c r="L1368" s="2" t="s">
        <v>39</v>
      </c>
      <c r="M1368" s="2">
        <v>0</v>
      </c>
      <c r="N1368" s="2">
        <v>0</v>
      </c>
      <c r="O1368" s="2">
        <v>13.99</v>
      </c>
      <c r="P1368" s="2" t="s">
        <v>27</v>
      </c>
      <c r="Q1368" s="2" t="s">
        <v>114</v>
      </c>
      <c r="R1368" s="2" t="s">
        <v>52</v>
      </c>
      <c r="S1368" s="2" t="s">
        <v>75</v>
      </c>
      <c r="T1368" s="2"/>
      <c r="U1368" s="2" t="str">
        <f t="shared" si="64"/>
        <v>Not Required</v>
      </c>
      <c r="V1368" s="2" t="s">
        <v>3726</v>
      </c>
    </row>
    <row r="1369" spans="1:22" hidden="1" x14ac:dyDescent="0.3">
      <c r="A1369" s="2" t="s">
        <v>3727</v>
      </c>
      <c r="B1369" s="12">
        <f t="shared" si="63"/>
        <v>46238.584202789352</v>
      </c>
      <c r="C1369" s="13">
        <v>46238.584202789352</v>
      </c>
      <c r="D1369" s="2" t="s">
        <v>1475</v>
      </c>
      <c r="E1369" s="2" t="str">
        <f t="shared" si="65"/>
        <v>Email Available</v>
      </c>
      <c r="F1369" s="2" t="s">
        <v>1298</v>
      </c>
      <c r="G1369" s="2" t="s">
        <v>80</v>
      </c>
      <c r="H1369" s="2" t="s">
        <v>81</v>
      </c>
      <c r="I1369" s="2" t="s">
        <v>82</v>
      </c>
      <c r="J1369" s="2">
        <v>2</v>
      </c>
      <c r="K1369" s="2">
        <v>89.99</v>
      </c>
      <c r="L1369" s="2" t="s">
        <v>25</v>
      </c>
      <c r="M1369" s="2">
        <v>36</v>
      </c>
      <c r="N1369" s="2">
        <v>0</v>
      </c>
      <c r="O1369" s="2">
        <v>143.97999999999999</v>
      </c>
      <c r="P1369" s="2" t="s">
        <v>40</v>
      </c>
      <c r="Q1369" s="2" t="s">
        <v>28</v>
      </c>
      <c r="R1369" s="2" t="s">
        <v>52</v>
      </c>
      <c r="S1369" s="2" t="s">
        <v>30</v>
      </c>
      <c r="T1369" s="2" t="s">
        <v>454</v>
      </c>
      <c r="U1369" s="2" t="str">
        <f t="shared" si="64"/>
        <v>Valid</v>
      </c>
      <c r="V1369" s="2" t="s">
        <v>3728</v>
      </c>
    </row>
    <row r="1370" spans="1:22" hidden="1" x14ac:dyDescent="0.3">
      <c r="A1370" s="2" t="s">
        <v>3729</v>
      </c>
      <c r="B1370" s="12">
        <f t="shared" si="63"/>
        <v>46238.582778692129</v>
      </c>
      <c r="C1370" s="13">
        <v>46238.582778692129</v>
      </c>
      <c r="D1370" s="2" t="s">
        <v>3730</v>
      </c>
      <c r="E1370" s="2" t="str">
        <f t="shared" si="65"/>
        <v>Email Available</v>
      </c>
      <c r="F1370" s="2" t="s">
        <v>1221</v>
      </c>
      <c r="G1370" s="2" t="s">
        <v>133</v>
      </c>
      <c r="H1370" s="2" t="s">
        <v>106</v>
      </c>
      <c r="I1370" s="2" t="s">
        <v>134</v>
      </c>
      <c r="J1370" s="2">
        <v>1</v>
      </c>
      <c r="K1370" s="2">
        <v>16.989999999999998</v>
      </c>
      <c r="L1370" s="2" t="s">
        <v>208</v>
      </c>
      <c r="M1370" s="2">
        <v>2.5499999999999998</v>
      </c>
      <c r="N1370" s="2">
        <v>5.99</v>
      </c>
      <c r="O1370" s="2">
        <v>20.43</v>
      </c>
      <c r="P1370" s="2" t="s">
        <v>68</v>
      </c>
      <c r="Q1370" s="2" t="s">
        <v>90</v>
      </c>
      <c r="R1370" s="2" t="s">
        <v>52</v>
      </c>
      <c r="S1370" s="2" t="s">
        <v>75</v>
      </c>
      <c r="T1370" s="2"/>
      <c r="U1370" s="2" t="str">
        <f t="shared" si="64"/>
        <v>Not Required</v>
      </c>
      <c r="V1370" s="2" t="s">
        <v>3731</v>
      </c>
    </row>
    <row r="1371" spans="1:22" hidden="1" x14ac:dyDescent="0.3">
      <c r="A1371" s="2" t="s">
        <v>3732</v>
      </c>
      <c r="B1371" s="12">
        <f t="shared" si="63"/>
        <v>46238.57991479167</v>
      </c>
      <c r="C1371" s="13">
        <v>46238.57991479167</v>
      </c>
      <c r="D1371" s="2" t="s">
        <v>125</v>
      </c>
      <c r="E1371" s="2" t="str">
        <f t="shared" si="65"/>
        <v>Email Available</v>
      </c>
      <c r="F1371" s="2" t="s">
        <v>126</v>
      </c>
      <c r="G1371" s="2" t="s">
        <v>195</v>
      </c>
      <c r="H1371" s="2" t="s">
        <v>196</v>
      </c>
      <c r="I1371" s="2" t="s">
        <v>197</v>
      </c>
      <c r="J1371" s="2">
        <v>3</v>
      </c>
      <c r="K1371" s="2">
        <v>13.49</v>
      </c>
      <c r="L1371" s="2"/>
      <c r="M1371" s="2">
        <v>0</v>
      </c>
      <c r="N1371" s="2">
        <v>4.99</v>
      </c>
      <c r="O1371" s="2">
        <v>45.46</v>
      </c>
      <c r="P1371" s="2" t="s">
        <v>68</v>
      </c>
      <c r="Q1371" s="2" t="s">
        <v>28</v>
      </c>
      <c r="R1371" s="2" t="s">
        <v>99</v>
      </c>
      <c r="S1371" s="2" t="s">
        <v>43</v>
      </c>
      <c r="T1371" s="2"/>
      <c r="U1371" s="2" t="str">
        <f t="shared" si="64"/>
        <v>Not Required</v>
      </c>
      <c r="V1371" s="2" t="s">
        <v>2488</v>
      </c>
    </row>
    <row r="1372" spans="1:22" hidden="1" x14ac:dyDescent="0.3">
      <c r="A1372" s="2" t="s">
        <v>3733</v>
      </c>
      <c r="B1372" s="12">
        <f t="shared" si="63"/>
        <v>46238.580876377317</v>
      </c>
      <c r="C1372" s="13">
        <v>46238.580876377317</v>
      </c>
      <c r="D1372" s="2" t="s">
        <v>313</v>
      </c>
      <c r="E1372" s="2" t="str">
        <f t="shared" si="65"/>
        <v>Email Available</v>
      </c>
      <c r="F1372" s="2" t="s">
        <v>314</v>
      </c>
      <c r="G1372" s="2" t="s">
        <v>241</v>
      </c>
      <c r="H1372" s="2" t="s">
        <v>242</v>
      </c>
      <c r="I1372" s="2" t="s">
        <v>243</v>
      </c>
      <c r="J1372" s="2">
        <v>1</v>
      </c>
      <c r="K1372" s="2">
        <v>27.99</v>
      </c>
      <c r="L1372" s="2"/>
      <c r="M1372" s="2">
        <v>0</v>
      </c>
      <c r="N1372" s="2">
        <v>4.99</v>
      </c>
      <c r="O1372" s="2">
        <v>32.979999999999997</v>
      </c>
      <c r="P1372" s="2" t="s">
        <v>27</v>
      </c>
      <c r="Q1372" s="2" t="s">
        <v>90</v>
      </c>
      <c r="R1372" s="2" t="s">
        <v>29</v>
      </c>
      <c r="S1372" s="2" t="s">
        <v>108</v>
      </c>
      <c r="T1372" s="2"/>
      <c r="U1372" s="2" t="str">
        <f t="shared" si="64"/>
        <v>Not Required</v>
      </c>
      <c r="V1372" s="2" t="s">
        <v>3734</v>
      </c>
    </row>
    <row r="1373" spans="1:22" hidden="1" x14ac:dyDescent="0.3">
      <c r="A1373" s="2" t="s">
        <v>3735</v>
      </c>
      <c r="B1373" s="12">
        <f t="shared" si="63"/>
        <v>46238.588284293983</v>
      </c>
      <c r="C1373" s="13">
        <v>46238.588284293983</v>
      </c>
      <c r="D1373" s="2" t="s">
        <v>2182</v>
      </c>
      <c r="E1373" s="2" t="str">
        <f t="shared" si="65"/>
        <v>Email Available</v>
      </c>
      <c r="F1373" s="2" t="s">
        <v>3470</v>
      </c>
      <c r="G1373" s="2" t="s">
        <v>80</v>
      </c>
      <c r="H1373" s="2" t="s">
        <v>81</v>
      </c>
      <c r="I1373" s="2" t="s">
        <v>82</v>
      </c>
      <c r="J1373" s="2">
        <v>1</v>
      </c>
      <c r="K1373" s="2">
        <v>89.99</v>
      </c>
      <c r="L1373" s="2"/>
      <c r="M1373" s="2" t="s">
        <v>189</v>
      </c>
      <c r="N1373" s="2">
        <v>0</v>
      </c>
      <c r="O1373" s="2">
        <v>89.99</v>
      </c>
      <c r="P1373" s="2" t="s">
        <v>27</v>
      </c>
      <c r="Q1373" s="2" t="s">
        <v>41</v>
      </c>
      <c r="R1373" s="2" t="s">
        <v>52</v>
      </c>
      <c r="S1373" s="2" t="s">
        <v>228</v>
      </c>
      <c r="T1373" s="2"/>
      <c r="U1373" s="2" t="str">
        <f t="shared" si="64"/>
        <v>Not Required</v>
      </c>
      <c r="V1373" s="2" t="s">
        <v>3736</v>
      </c>
    </row>
    <row r="1374" spans="1:22" hidden="1" x14ac:dyDescent="0.3">
      <c r="A1374" s="2" t="s">
        <v>3737</v>
      </c>
      <c r="B1374" s="12">
        <f>DATE(VALUE(RIGHT(C1374,4)),MATCH(LEFT(C1374,3),{"Jan","Feb","Mar","Apr","May","Jun","Jul","Aug","Sep","Oct","Nov","Dec"},0),VALUE(MID(C1374,5,2)))</f>
        <v>46238</v>
      </c>
      <c r="C1374" s="13" t="s">
        <v>176</v>
      </c>
      <c r="D1374" s="2" t="s">
        <v>2944</v>
      </c>
      <c r="E1374" s="2" t="str">
        <f t="shared" si="65"/>
        <v>Email Available</v>
      </c>
      <c r="F1374" s="2" t="s">
        <v>2945</v>
      </c>
      <c r="G1374" s="2" t="s">
        <v>133</v>
      </c>
      <c r="H1374" s="2" t="s">
        <v>106</v>
      </c>
      <c r="I1374" s="2" t="s">
        <v>134</v>
      </c>
      <c r="J1374" s="2">
        <v>2</v>
      </c>
      <c r="K1374" s="2">
        <v>16.989999999999998</v>
      </c>
      <c r="L1374" s="2" t="s">
        <v>25</v>
      </c>
      <c r="M1374" s="2">
        <v>6.8</v>
      </c>
      <c r="N1374" s="2">
        <v>5.99</v>
      </c>
      <c r="O1374" s="2">
        <v>33.17</v>
      </c>
      <c r="P1374" s="2" t="s">
        <v>27</v>
      </c>
      <c r="Q1374" s="2" t="s">
        <v>114</v>
      </c>
      <c r="R1374" s="2" t="s">
        <v>52</v>
      </c>
      <c r="S1374" s="2" t="s">
        <v>337</v>
      </c>
      <c r="T1374" s="2"/>
      <c r="U1374" s="2" t="str">
        <f t="shared" si="64"/>
        <v>Not Required</v>
      </c>
      <c r="V1374" s="2" t="s">
        <v>3738</v>
      </c>
    </row>
    <row r="1375" spans="1:22" hidden="1" x14ac:dyDescent="0.3">
      <c r="A1375" s="2" t="s">
        <v>3739</v>
      </c>
      <c r="B1375" s="12">
        <f t="shared" si="63"/>
        <v>46238.581657175928</v>
      </c>
      <c r="C1375" s="13">
        <v>46238.581657175928</v>
      </c>
      <c r="D1375" s="2" t="s">
        <v>211</v>
      </c>
      <c r="E1375" s="2" t="str">
        <f t="shared" si="65"/>
        <v>Email Available</v>
      </c>
      <c r="F1375" s="2" t="s">
        <v>212</v>
      </c>
      <c r="G1375" s="2" t="s">
        <v>112</v>
      </c>
      <c r="H1375" s="2" t="s">
        <v>81</v>
      </c>
      <c r="I1375" s="2" t="s">
        <v>113</v>
      </c>
      <c r="J1375" s="2">
        <v>1</v>
      </c>
      <c r="K1375" s="2">
        <v>22.99</v>
      </c>
      <c r="L1375" s="2"/>
      <c r="M1375" s="2">
        <v>0</v>
      </c>
      <c r="N1375" s="2">
        <v>4.99</v>
      </c>
      <c r="O1375" s="2" t="s">
        <v>3740</v>
      </c>
      <c r="P1375" s="2" t="s">
        <v>74</v>
      </c>
      <c r="Q1375" s="2" t="s">
        <v>114</v>
      </c>
      <c r="R1375" s="2" t="s">
        <v>29</v>
      </c>
      <c r="S1375" s="2" t="s">
        <v>108</v>
      </c>
      <c r="T1375" s="2"/>
      <c r="U1375" s="2" t="str">
        <f t="shared" si="64"/>
        <v>Not Required</v>
      </c>
      <c r="V1375" s="2" t="s">
        <v>3741</v>
      </c>
    </row>
    <row r="1376" spans="1:22" hidden="1" x14ac:dyDescent="0.3">
      <c r="A1376" s="2" t="s">
        <v>3742</v>
      </c>
      <c r="B1376" s="12">
        <f t="shared" si="63"/>
        <v>46238.587760300928</v>
      </c>
      <c r="C1376" s="13">
        <v>46238.587760300928</v>
      </c>
      <c r="D1376" s="2" t="s">
        <v>698</v>
      </c>
      <c r="E1376" s="2" t="str">
        <f t="shared" si="65"/>
        <v>Email Available</v>
      </c>
      <c r="F1376" s="2" t="s">
        <v>699</v>
      </c>
      <c r="G1376" s="2" t="s">
        <v>171</v>
      </c>
      <c r="H1376" s="2" t="s">
        <v>106</v>
      </c>
      <c r="I1376" s="2" t="s">
        <v>172</v>
      </c>
      <c r="J1376" s="2">
        <v>1</v>
      </c>
      <c r="K1376" s="2">
        <v>32.99</v>
      </c>
      <c r="L1376" s="2"/>
      <c r="M1376" s="2">
        <v>0</v>
      </c>
      <c r="N1376" s="2">
        <v>4.99</v>
      </c>
      <c r="O1376" s="2">
        <v>37.979999999999997</v>
      </c>
      <c r="P1376" s="2" t="s">
        <v>51</v>
      </c>
      <c r="Q1376" s="2" t="s">
        <v>90</v>
      </c>
      <c r="R1376" s="2" t="s">
        <v>52</v>
      </c>
      <c r="S1376" s="2" t="s">
        <v>30</v>
      </c>
      <c r="T1376" s="2" t="s">
        <v>347</v>
      </c>
      <c r="U1376" s="2" t="str">
        <f t="shared" si="64"/>
        <v>Valid</v>
      </c>
      <c r="V1376" s="2" t="s">
        <v>3743</v>
      </c>
    </row>
    <row r="1377" spans="1:22" hidden="1" x14ac:dyDescent="0.3">
      <c r="A1377" s="2" t="s">
        <v>3744</v>
      </c>
      <c r="B1377" s="12">
        <f t="shared" si="63"/>
        <v>46238.584505023151</v>
      </c>
      <c r="C1377" s="13">
        <v>46238.584505023151</v>
      </c>
      <c r="D1377" s="2" t="s">
        <v>256</v>
      </c>
      <c r="E1377" s="2" t="str">
        <f t="shared" si="65"/>
        <v>Email Available</v>
      </c>
      <c r="F1377" s="2" t="s">
        <v>350</v>
      </c>
      <c r="G1377" s="2" t="s">
        <v>226</v>
      </c>
      <c r="H1377" s="2" t="s">
        <v>23</v>
      </c>
      <c r="I1377" s="2" t="s">
        <v>227</v>
      </c>
      <c r="J1377" s="2">
        <v>2</v>
      </c>
      <c r="K1377" s="2">
        <v>17.989999999999998</v>
      </c>
      <c r="L1377" s="2" t="s">
        <v>121</v>
      </c>
      <c r="M1377" s="2">
        <v>8.99</v>
      </c>
      <c r="N1377" s="2">
        <v>7.99</v>
      </c>
      <c r="O1377" s="2">
        <v>34.979999999999997</v>
      </c>
      <c r="P1377" s="2" t="s">
        <v>40</v>
      </c>
      <c r="Q1377" s="2" t="s">
        <v>28</v>
      </c>
      <c r="R1377" s="2" t="s">
        <v>52</v>
      </c>
      <c r="S1377" s="2" t="s">
        <v>30</v>
      </c>
      <c r="T1377" s="2" t="s">
        <v>115</v>
      </c>
      <c r="U1377" s="2" t="str">
        <f t="shared" si="64"/>
        <v>Valid</v>
      </c>
      <c r="V1377" s="2" t="s">
        <v>3745</v>
      </c>
    </row>
    <row r="1378" spans="1:22" hidden="1" x14ac:dyDescent="0.3">
      <c r="A1378" s="2" t="s">
        <v>3746</v>
      </c>
      <c r="B1378" s="12">
        <f t="shared" si="63"/>
        <v>46238.586610162027</v>
      </c>
      <c r="C1378" s="13">
        <v>46238.586610162027</v>
      </c>
      <c r="D1378" s="2" t="s">
        <v>2868</v>
      </c>
      <c r="E1378" s="2" t="str">
        <f t="shared" si="65"/>
        <v>Email Available</v>
      </c>
      <c r="F1378" s="2" t="s">
        <v>2869</v>
      </c>
      <c r="G1378" s="2" t="s">
        <v>36</v>
      </c>
      <c r="H1378" s="2" t="s">
        <v>37</v>
      </c>
      <c r="I1378" s="2" t="s">
        <v>38</v>
      </c>
      <c r="J1378" s="2">
        <v>1</v>
      </c>
      <c r="K1378" s="2">
        <v>21.99</v>
      </c>
      <c r="L1378" s="2" t="s">
        <v>208</v>
      </c>
      <c r="M1378" s="2">
        <v>3.3</v>
      </c>
      <c r="N1378" s="2">
        <v>7.99</v>
      </c>
      <c r="O1378" s="2">
        <v>26.68</v>
      </c>
      <c r="P1378" s="2" t="s">
        <v>68</v>
      </c>
      <c r="Q1378" s="2" t="s">
        <v>114</v>
      </c>
      <c r="R1378" s="2" t="s">
        <v>29</v>
      </c>
      <c r="S1378" s="2" t="s">
        <v>30</v>
      </c>
      <c r="T1378" s="2" t="s">
        <v>454</v>
      </c>
      <c r="U1378" s="2" t="str">
        <f t="shared" si="64"/>
        <v>Valid</v>
      </c>
      <c r="V1378" s="2" t="s">
        <v>3747</v>
      </c>
    </row>
    <row r="1379" spans="1:22" hidden="1" x14ac:dyDescent="0.3">
      <c r="A1379" s="2" t="s">
        <v>3748</v>
      </c>
      <c r="B1379" s="12">
        <f t="shared" si="63"/>
        <v>46238.587249895827</v>
      </c>
      <c r="C1379" s="13">
        <v>46238.587249895827</v>
      </c>
      <c r="D1379" s="2" t="s">
        <v>1172</v>
      </c>
      <c r="E1379" s="2" t="str">
        <f t="shared" si="65"/>
        <v>Email Available</v>
      </c>
      <c r="F1379" s="2" t="s">
        <v>1173</v>
      </c>
      <c r="G1379" s="2" t="s">
        <v>65</v>
      </c>
      <c r="H1379" s="2" t="s">
        <v>49</v>
      </c>
      <c r="I1379" s="2" t="s">
        <v>66</v>
      </c>
      <c r="J1379" s="2">
        <v>2</v>
      </c>
      <c r="K1379" s="2" t="s">
        <v>1485</v>
      </c>
      <c r="L1379" s="2" t="s">
        <v>121</v>
      </c>
      <c r="M1379" s="2">
        <v>7.5</v>
      </c>
      <c r="N1379" s="2">
        <v>5.99</v>
      </c>
      <c r="O1379" s="2">
        <v>28.47</v>
      </c>
      <c r="P1379" s="2" t="s">
        <v>40</v>
      </c>
      <c r="Q1379" s="2" t="s">
        <v>28</v>
      </c>
      <c r="R1379" s="2" t="s">
        <v>29</v>
      </c>
      <c r="S1379" s="2" t="s">
        <v>43</v>
      </c>
      <c r="T1379" s="2"/>
      <c r="U1379" s="2" t="str">
        <f t="shared" si="64"/>
        <v>Not Required</v>
      </c>
      <c r="V1379" s="2" t="s">
        <v>3749</v>
      </c>
    </row>
    <row r="1380" spans="1:22" hidden="1" x14ac:dyDescent="0.3">
      <c r="A1380" s="2" t="s">
        <v>3750</v>
      </c>
      <c r="B1380" s="12">
        <f t="shared" si="63"/>
        <v>46238.580440497688</v>
      </c>
      <c r="C1380" s="13">
        <v>46238.580440497688</v>
      </c>
      <c r="D1380" s="2" t="s">
        <v>1227</v>
      </c>
      <c r="E1380" s="2" t="str">
        <f t="shared" si="65"/>
        <v>Email Available</v>
      </c>
      <c r="F1380" s="2" t="s">
        <v>1228</v>
      </c>
      <c r="G1380" s="2" t="s">
        <v>65</v>
      </c>
      <c r="H1380" s="2" t="s">
        <v>49</v>
      </c>
      <c r="I1380" s="2" t="s">
        <v>66</v>
      </c>
      <c r="J1380" s="2">
        <v>1</v>
      </c>
      <c r="K1380" s="2">
        <v>14.99</v>
      </c>
      <c r="L1380" s="2"/>
      <c r="M1380" s="2">
        <v>0</v>
      </c>
      <c r="N1380" s="2">
        <v>5.99</v>
      </c>
      <c r="O1380" s="2" t="s">
        <v>2359</v>
      </c>
      <c r="P1380" s="2" t="s">
        <v>68</v>
      </c>
      <c r="Q1380" s="2" t="s">
        <v>28</v>
      </c>
      <c r="R1380" s="2" t="s">
        <v>52</v>
      </c>
      <c r="S1380" s="2" t="s">
        <v>30</v>
      </c>
      <c r="T1380" s="2" t="s">
        <v>75</v>
      </c>
      <c r="U1380" s="2" t="str">
        <f t="shared" si="64"/>
        <v>Valid</v>
      </c>
      <c r="V1380" s="2" t="s">
        <v>3751</v>
      </c>
    </row>
    <row r="1381" spans="1:22" hidden="1" x14ac:dyDescent="0.3">
      <c r="A1381" s="2" t="s">
        <v>3752</v>
      </c>
      <c r="B1381" s="12">
        <f t="shared" si="63"/>
        <v>46238.581559502323</v>
      </c>
      <c r="C1381" s="13">
        <v>46238.581559502323</v>
      </c>
      <c r="D1381" s="2" t="s">
        <v>331</v>
      </c>
      <c r="E1381" s="2" t="str">
        <f t="shared" si="65"/>
        <v>Email Available</v>
      </c>
      <c r="F1381" s="2" t="s">
        <v>332</v>
      </c>
      <c r="G1381" s="2" t="s">
        <v>226</v>
      </c>
      <c r="H1381" s="2" t="s">
        <v>23</v>
      </c>
      <c r="I1381" s="2" t="s">
        <v>227</v>
      </c>
      <c r="J1381" s="2">
        <v>1</v>
      </c>
      <c r="K1381" s="2">
        <v>17.989999999999998</v>
      </c>
      <c r="L1381" s="2"/>
      <c r="M1381" s="2">
        <v>0</v>
      </c>
      <c r="N1381" s="2">
        <v>5.99</v>
      </c>
      <c r="O1381" s="2">
        <v>23.98</v>
      </c>
      <c r="P1381" s="2" t="s">
        <v>74</v>
      </c>
      <c r="Q1381" s="2" t="s">
        <v>28</v>
      </c>
      <c r="R1381" s="2" t="s">
        <v>52</v>
      </c>
      <c r="S1381" s="2" t="s">
        <v>30</v>
      </c>
      <c r="T1381" s="2" t="s">
        <v>31</v>
      </c>
      <c r="U1381" s="2" t="str">
        <f t="shared" si="64"/>
        <v>Valid</v>
      </c>
      <c r="V1381" s="2" t="s">
        <v>3753</v>
      </c>
    </row>
    <row r="1382" spans="1:22" hidden="1" x14ac:dyDescent="0.3">
      <c r="A1382" s="2" t="s">
        <v>3754</v>
      </c>
      <c r="B1382" s="12">
        <f t="shared" si="63"/>
        <v>46238.584044537027</v>
      </c>
      <c r="C1382" s="13">
        <v>46238.584044537027</v>
      </c>
      <c r="D1382" s="2" t="s">
        <v>2167</v>
      </c>
      <c r="E1382" s="2" t="str">
        <f t="shared" si="65"/>
        <v>Email Available</v>
      </c>
      <c r="F1382" s="2" t="s">
        <v>2168</v>
      </c>
      <c r="G1382" s="2" t="s">
        <v>133</v>
      </c>
      <c r="H1382" s="2" t="s">
        <v>106</v>
      </c>
      <c r="I1382" s="2" t="s">
        <v>134</v>
      </c>
      <c r="J1382" s="2">
        <v>4</v>
      </c>
      <c r="K1382" s="2">
        <v>16.989999999999998</v>
      </c>
      <c r="L1382" s="2"/>
      <c r="M1382" s="2">
        <v>0</v>
      </c>
      <c r="N1382" s="2">
        <v>7.99</v>
      </c>
      <c r="O1382" s="2">
        <v>75.95</v>
      </c>
      <c r="P1382" s="2" t="s">
        <v>68</v>
      </c>
      <c r="Q1382" s="2" t="s">
        <v>28</v>
      </c>
      <c r="R1382" s="2" t="s">
        <v>52</v>
      </c>
      <c r="S1382" s="2" t="s">
        <v>43</v>
      </c>
      <c r="T1382" s="2"/>
      <c r="U1382" s="2" t="str">
        <f t="shared" si="64"/>
        <v>Not Required</v>
      </c>
      <c r="V1382" s="2" t="s">
        <v>3755</v>
      </c>
    </row>
    <row r="1383" spans="1:22" hidden="1" x14ac:dyDescent="0.3">
      <c r="A1383" s="2" t="s">
        <v>3756</v>
      </c>
      <c r="B1383" s="12">
        <f t="shared" si="63"/>
        <v>46238.584902037037</v>
      </c>
      <c r="C1383" s="13">
        <v>46238.584902037037</v>
      </c>
      <c r="D1383" s="2" t="s">
        <v>327</v>
      </c>
      <c r="E1383" s="2" t="str">
        <f t="shared" si="65"/>
        <v>Email Available</v>
      </c>
      <c r="F1383" s="2" t="s">
        <v>328</v>
      </c>
      <c r="G1383" s="2" t="s">
        <v>48</v>
      </c>
      <c r="H1383" s="2" t="s">
        <v>49</v>
      </c>
      <c r="I1383" s="2" t="s">
        <v>50</v>
      </c>
      <c r="J1383" s="2">
        <v>1</v>
      </c>
      <c r="K1383" s="2">
        <v>39.99</v>
      </c>
      <c r="L1383" s="2"/>
      <c r="M1383" s="2">
        <v>0</v>
      </c>
      <c r="N1383" s="2">
        <v>5.99</v>
      </c>
      <c r="O1383" s="2">
        <v>45.98</v>
      </c>
      <c r="P1383" s="2" t="s">
        <v>51</v>
      </c>
      <c r="Q1383" s="2" t="s">
        <v>28</v>
      </c>
      <c r="R1383" s="2" t="s">
        <v>29</v>
      </c>
      <c r="S1383" s="2" t="s">
        <v>228</v>
      </c>
      <c r="T1383" s="2"/>
      <c r="U1383" s="2" t="str">
        <f t="shared" si="64"/>
        <v>Not Required</v>
      </c>
      <c r="V1383" s="2" t="s">
        <v>3757</v>
      </c>
    </row>
    <row r="1384" spans="1:22" hidden="1" x14ac:dyDescent="0.3">
      <c r="A1384" s="2" t="s">
        <v>3758</v>
      </c>
      <c r="B1384" s="12">
        <f t="shared" si="63"/>
        <v>46238.583455868058</v>
      </c>
      <c r="C1384" s="13">
        <v>46238.583455868058</v>
      </c>
      <c r="D1384" s="2" t="s">
        <v>2224</v>
      </c>
      <c r="E1384" s="2" t="str">
        <f t="shared" si="65"/>
        <v>Email Available</v>
      </c>
      <c r="F1384" s="2" t="s">
        <v>2225</v>
      </c>
      <c r="G1384" s="2" t="s">
        <v>133</v>
      </c>
      <c r="H1384" s="2" t="s">
        <v>106</v>
      </c>
      <c r="I1384" s="2" t="s">
        <v>134</v>
      </c>
      <c r="J1384" s="2">
        <v>2</v>
      </c>
      <c r="K1384" s="2">
        <v>16.989999999999998</v>
      </c>
      <c r="L1384" s="2" t="s">
        <v>121</v>
      </c>
      <c r="M1384" s="2">
        <v>8.49</v>
      </c>
      <c r="N1384" s="2">
        <v>4.99</v>
      </c>
      <c r="O1384" s="2" t="s">
        <v>3759</v>
      </c>
      <c r="P1384" s="2" t="s">
        <v>51</v>
      </c>
      <c r="Q1384" s="2" t="s">
        <v>28</v>
      </c>
      <c r="R1384" s="2" t="s">
        <v>52</v>
      </c>
      <c r="S1384" s="2" t="s">
        <v>75</v>
      </c>
      <c r="T1384" s="2"/>
      <c r="U1384" s="2" t="str">
        <f t="shared" si="64"/>
        <v>Not Required</v>
      </c>
      <c r="V1384" s="2" t="s">
        <v>3760</v>
      </c>
    </row>
    <row r="1385" spans="1:22" hidden="1" x14ac:dyDescent="0.3">
      <c r="A1385" s="2" t="s">
        <v>3761</v>
      </c>
      <c r="B1385" s="12">
        <f t="shared" si="63"/>
        <v>46238.583322812497</v>
      </c>
      <c r="C1385" s="13">
        <v>46238.583322812497</v>
      </c>
      <c r="D1385" s="2" t="s">
        <v>200</v>
      </c>
      <c r="E1385" s="2" t="str">
        <f t="shared" si="65"/>
        <v>Email Available</v>
      </c>
      <c r="F1385" s="2" t="s">
        <v>201</v>
      </c>
      <c r="G1385" s="2" t="s">
        <v>65</v>
      </c>
      <c r="H1385" s="2" t="s">
        <v>49</v>
      </c>
      <c r="I1385" s="2" t="s">
        <v>66</v>
      </c>
      <c r="J1385" s="2">
        <v>1</v>
      </c>
      <c r="K1385" s="2">
        <v>14.99</v>
      </c>
      <c r="L1385" s="2"/>
      <c r="M1385" s="2">
        <v>0</v>
      </c>
      <c r="N1385" s="2">
        <v>7.99</v>
      </c>
      <c r="O1385" s="2">
        <v>22.98</v>
      </c>
      <c r="P1385" s="2" t="s">
        <v>68</v>
      </c>
      <c r="Q1385" s="2" t="s">
        <v>28</v>
      </c>
      <c r="R1385" s="2" t="s">
        <v>42</v>
      </c>
      <c r="S1385" s="2" t="s">
        <v>30</v>
      </c>
      <c r="T1385" s="2" t="s">
        <v>454</v>
      </c>
      <c r="U1385" s="2" t="str">
        <f t="shared" si="64"/>
        <v>Valid</v>
      </c>
      <c r="V1385" s="2" t="s">
        <v>1514</v>
      </c>
    </row>
    <row r="1386" spans="1:22" hidden="1" x14ac:dyDescent="0.3">
      <c r="A1386" s="2" t="s">
        <v>3762</v>
      </c>
      <c r="B1386" s="12">
        <f t="shared" si="63"/>
        <v>46120</v>
      </c>
      <c r="C1386" s="13" t="s">
        <v>142</v>
      </c>
      <c r="D1386" s="2" t="s">
        <v>384</v>
      </c>
      <c r="E1386" s="2" t="str">
        <f t="shared" si="65"/>
        <v>Email Available</v>
      </c>
      <c r="F1386" s="2" t="s">
        <v>385</v>
      </c>
      <c r="G1386" s="2" t="s">
        <v>284</v>
      </c>
      <c r="H1386" s="2" t="s">
        <v>23</v>
      </c>
      <c r="I1386" s="2" t="s">
        <v>285</v>
      </c>
      <c r="J1386" s="2">
        <v>1</v>
      </c>
      <c r="K1386" s="2">
        <v>24.99</v>
      </c>
      <c r="L1386" s="2"/>
      <c r="M1386" s="2">
        <v>0</v>
      </c>
      <c r="N1386" s="2">
        <v>5.99</v>
      </c>
      <c r="O1386" s="2">
        <v>30.98</v>
      </c>
      <c r="P1386" s="2" t="s">
        <v>68</v>
      </c>
      <c r="Q1386" s="2" t="s">
        <v>41</v>
      </c>
      <c r="R1386" s="2" t="s">
        <v>52</v>
      </c>
      <c r="S1386" s="2" t="s">
        <v>75</v>
      </c>
      <c r="T1386" s="2"/>
      <c r="U1386" s="2" t="str">
        <f t="shared" si="64"/>
        <v>Not Required</v>
      </c>
      <c r="V1386" s="2" t="s">
        <v>3763</v>
      </c>
    </row>
    <row r="1387" spans="1:22" hidden="1" x14ac:dyDescent="0.3">
      <c r="A1387" s="2" t="s">
        <v>3766</v>
      </c>
      <c r="B1387" s="12">
        <f t="shared" si="63"/>
        <v>46238.588282696757</v>
      </c>
      <c r="C1387" s="13">
        <v>46238.588282696757</v>
      </c>
      <c r="D1387" s="2" t="s">
        <v>3767</v>
      </c>
      <c r="E1387" s="2" t="str">
        <f t="shared" si="65"/>
        <v>Email Available</v>
      </c>
      <c r="F1387" s="2" t="s">
        <v>3768</v>
      </c>
      <c r="G1387" s="2" t="s">
        <v>206</v>
      </c>
      <c r="H1387" s="2" t="s">
        <v>196</v>
      </c>
      <c r="I1387" s="2" t="s">
        <v>207</v>
      </c>
      <c r="J1387" s="2">
        <v>1</v>
      </c>
      <c r="K1387" s="2">
        <v>24.99</v>
      </c>
      <c r="L1387" s="2" t="s">
        <v>67</v>
      </c>
      <c r="M1387" s="2">
        <v>2.5</v>
      </c>
      <c r="N1387" s="2">
        <v>5.99</v>
      </c>
      <c r="O1387" s="2">
        <v>28.48</v>
      </c>
      <c r="P1387" s="2" t="s">
        <v>51</v>
      </c>
      <c r="Q1387" s="2" t="s">
        <v>28</v>
      </c>
      <c r="R1387" s="2" t="s">
        <v>29</v>
      </c>
      <c r="S1387" s="2" t="s">
        <v>43</v>
      </c>
      <c r="T1387" s="2"/>
      <c r="U1387" s="2" t="str">
        <f t="shared" si="64"/>
        <v>Not Required</v>
      </c>
      <c r="V1387" s="2" t="s">
        <v>3769</v>
      </c>
    </row>
    <row r="1388" spans="1:22" hidden="1" x14ac:dyDescent="0.3">
      <c r="A1388" s="2" t="s">
        <v>3770</v>
      </c>
      <c r="B1388" s="12">
        <f t="shared" si="63"/>
        <v>46238.581830347219</v>
      </c>
      <c r="C1388" s="13">
        <v>46238.581830347219</v>
      </c>
      <c r="D1388" s="2" t="s">
        <v>72</v>
      </c>
      <c r="E1388" s="2" t="str">
        <f t="shared" si="65"/>
        <v>Email Available</v>
      </c>
      <c r="F1388" s="2" t="s">
        <v>73</v>
      </c>
      <c r="G1388" s="2" t="s">
        <v>151</v>
      </c>
      <c r="H1388" s="2" t="s">
        <v>49</v>
      </c>
      <c r="I1388" s="2" t="s">
        <v>152</v>
      </c>
      <c r="J1388" s="2">
        <v>1</v>
      </c>
      <c r="K1388" s="2">
        <v>34.99</v>
      </c>
      <c r="L1388" s="2" t="s">
        <v>39</v>
      </c>
      <c r="M1388" s="2">
        <v>0</v>
      </c>
      <c r="N1388" s="2">
        <v>0</v>
      </c>
      <c r="O1388" s="2">
        <v>34.99</v>
      </c>
      <c r="P1388" s="2" t="s">
        <v>27</v>
      </c>
      <c r="Q1388" s="2" t="s">
        <v>28</v>
      </c>
      <c r="R1388" s="2" t="s">
        <v>42</v>
      </c>
      <c r="S1388" s="2" t="s">
        <v>75</v>
      </c>
      <c r="T1388" s="2"/>
      <c r="U1388" s="2" t="str">
        <f t="shared" si="64"/>
        <v>Not Required</v>
      </c>
      <c r="V1388" s="2" t="s">
        <v>3771</v>
      </c>
    </row>
    <row r="1389" spans="1:22" hidden="1" x14ac:dyDescent="0.3">
      <c r="A1389" s="2" t="s">
        <v>3772</v>
      </c>
      <c r="B1389" s="12">
        <f t="shared" si="63"/>
        <v>46238.584331851853</v>
      </c>
      <c r="C1389" s="13">
        <v>46238.584331851853</v>
      </c>
      <c r="D1389" s="2" t="s">
        <v>1410</v>
      </c>
      <c r="E1389" s="2" t="str">
        <f t="shared" si="65"/>
        <v>Email Available</v>
      </c>
      <c r="F1389" s="2" t="s">
        <v>1411</v>
      </c>
      <c r="G1389" s="2" t="s">
        <v>226</v>
      </c>
      <c r="H1389" s="2" t="s">
        <v>23</v>
      </c>
      <c r="I1389" s="2" t="s">
        <v>227</v>
      </c>
      <c r="J1389" s="2">
        <v>1</v>
      </c>
      <c r="K1389" s="2">
        <v>17.989999999999998</v>
      </c>
      <c r="L1389" s="2"/>
      <c r="M1389" s="2">
        <v>0</v>
      </c>
      <c r="N1389" s="2">
        <v>5.99</v>
      </c>
      <c r="O1389" s="2">
        <v>23.98</v>
      </c>
      <c r="P1389" s="2" t="s">
        <v>40</v>
      </c>
      <c r="Q1389" s="2" t="s">
        <v>28</v>
      </c>
      <c r="R1389" s="2" t="s">
        <v>99</v>
      </c>
      <c r="S1389" s="2" t="s">
        <v>30</v>
      </c>
      <c r="T1389" s="2" t="s">
        <v>69</v>
      </c>
      <c r="U1389" s="2" t="str">
        <f t="shared" si="64"/>
        <v>Valid</v>
      </c>
      <c r="V1389" s="2" t="s">
        <v>3773</v>
      </c>
    </row>
    <row r="1390" spans="1:22" hidden="1" x14ac:dyDescent="0.3">
      <c r="A1390" s="2" t="s">
        <v>3774</v>
      </c>
      <c r="B1390" s="12">
        <f t="shared" si="63"/>
        <v>46238.587001655091</v>
      </c>
      <c r="C1390" s="13">
        <v>46238.587001655091</v>
      </c>
      <c r="D1390" s="2" t="s">
        <v>1089</v>
      </c>
      <c r="E1390" s="2" t="str">
        <f t="shared" si="65"/>
        <v>Email Available</v>
      </c>
      <c r="F1390" s="2" t="s">
        <v>595</v>
      </c>
      <c r="G1390" s="2" t="s">
        <v>87</v>
      </c>
      <c r="H1390" s="2" t="s">
        <v>88</v>
      </c>
      <c r="I1390" s="2" t="s">
        <v>89</v>
      </c>
      <c r="J1390" s="2">
        <v>1</v>
      </c>
      <c r="K1390" s="2">
        <v>54.99</v>
      </c>
      <c r="L1390" s="2"/>
      <c r="M1390" s="2">
        <v>0</v>
      </c>
      <c r="N1390" s="2">
        <v>7.99</v>
      </c>
      <c r="O1390" s="2">
        <v>62.98</v>
      </c>
      <c r="P1390" s="2" t="s">
        <v>74</v>
      </c>
      <c r="Q1390" s="2" t="s">
        <v>114</v>
      </c>
      <c r="R1390" s="2" t="s">
        <v>42</v>
      </c>
      <c r="S1390" s="2" t="s">
        <v>30</v>
      </c>
      <c r="T1390" s="2" t="s">
        <v>454</v>
      </c>
      <c r="U1390" s="2" t="str">
        <f t="shared" si="64"/>
        <v>Valid</v>
      </c>
      <c r="V1390" s="2" t="s">
        <v>3775</v>
      </c>
    </row>
    <row r="1391" spans="1:22" hidden="1" x14ac:dyDescent="0.3">
      <c r="A1391" s="2" t="s">
        <v>3776</v>
      </c>
      <c r="B1391" s="12">
        <f t="shared" si="63"/>
        <v>46238.583438981477</v>
      </c>
      <c r="C1391" s="13">
        <v>46238.583438981477</v>
      </c>
      <c r="D1391" s="2" t="s">
        <v>1049</v>
      </c>
      <c r="E1391" s="2" t="str">
        <f t="shared" si="65"/>
        <v>Email Available</v>
      </c>
      <c r="F1391" s="2" t="s">
        <v>1050</v>
      </c>
      <c r="G1391" s="2" t="s">
        <v>112</v>
      </c>
      <c r="H1391" s="2" t="s">
        <v>81</v>
      </c>
      <c r="I1391" s="2" t="s">
        <v>113</v>
      </c>
      <c r="J1391" s="2">
        <v>1</v>
      </c>
      <c r="K1391" s="2" t="s">
        <v>1004</v>
      </c>
      <c r="L1391" s="2"/>
      <c r="M1391" s="2">
        <v>0</v>
      </c>
      <c r="N1391" s="2">
        <v>4.99</v>
      </c>
      <c r="O1391" s="2">
        <v>27.98</v>
      </c>
      <c r="P1391" s="2" t="s">
        <v>51</v>
      </c>
      <c r="Q1391" s="2" t="s">
        <v>114</v>
      </c>
      <c r="R1391" s="2" t="s">
        <v>52</v>
      </c>
      <c r="S1391" s="2" t="s">
        <v>30</v>
      </c>
      <c r="T1391" s="2" t="s">
        <v>454</v>
      </c>
      <c r="U1391" s="2" t="str">
        <f t="shared" si="64"/>
        <v>Valid</v>
      </c>
      <c r="V1391" s="2" t="s">
        <v>3777</v>
      </c>
    </row>
    <row r="1392" spans="1:22" hidden="1" x14ac:dyDescent="0.3">
      <c r="A1392" s="2" t="s">
        <v>3778</v>
      </c>
      <c r="B1392" s="12">
        <f t="shared" si="63"/>
        <v>46120</v>
      </c>
      <c r="C1392" s="13" t="s">
        <v>142</v>
      </c>
      <c r="D1392" s="2" t="s">
        <v>3779</v>
      </c>
      <c r="E1392" s="2" t="str">
        <f t="shared" si="65"/>
        <v>Email Available</v>
      </c>
      <c r="F1392" s="2" t="s">
        <v>1125</v>
      </c>
      <c r="G1392" s="2" t="s">
        <v>157</v>
      </c>
      <c r="H1392" s="2" t="s">
        <v>37</v>
      </c>
      <c r="I1392" s="2" t="s">
        <v>158</v>
      </c>
      <c r="J1392" s="2">
        <v>1</v>
      </c>
      <c r="K1392" s="2">
        <v>29.99</v>
      </c>
      <c r="L1392" s="2"/>
      <c r="M1392" s="2">
        <v>0</v>
      </c>
      <c r="N1392" s="2">
        <v>5.99</v>
      </c>
      <c r="O1392" s="2" t="s">
        <v>792</v>
      </c>
      <c r="P1392" s="2" t="s">
        <v>74</v>
      </c>
      <c r="Q1392" s="2" t="s">
        <v>28</v>
      </c>
      <c r="R1392" s="2" t="s">
        <v>52</v>
      </c>
      <c r="S1392" s="2" t="s">
        <v>30</v>
      </c>
      <c r="T1392" s="2" t="s">
        <v>69</v>
      </c>
      <c r="U1392" s="2" t="str">
        <f t="shared" si="64"/>
        <v>Valid</v>
      </c>
      <c r="V1392" s="2" t="s">
        <v>3780</v>
      </c>
    </row>
    <row r="1393" spans="1:22" hidden="1" x14ac:dyDescent="0.3">
      <c r="A1393" s="2" t="s">
        <v>3781</v>
      </c>
      <c r="B1393" s="12">
        <f t="shared" si="63"/>
        <v>46120</v>
      </c>
      <c r="C1393" s="13" t="s">
        <v>142</v>
      </c>
      <c r="D1393" s="2" t="s">
        <v>125</v>
      </c>
      <c r="E1393" s="2" t="str">
        <f t="shared" si="65"/>
        <v>Email Available</v>
      </c>
      <c r="F1393" s="2" t="s">
        <v>126</v>
      </c>
      <c r="G1393" s="2" t="s">
        <v>315</v>
      </c>
      <c r="H1393" s="2" t="s">
        <v>37</v>
      </c>
      <c r="I1393" s="2" t="s">
        <v>316</v>
      </c>
      <c r="J1393" s="2">
        <v>1</v>
      </c>
      <c r="K1393" s="2">
        <v>8.99</v>
      </c>
      <c r="L1393" s="2" t="s">
        <v>39</v>
      </c>
      <c r="M1393" s="2">
        <v>0</v>
      </c>
      <c r="N1393" s="2">
        <v>0</v>
      </c>
      <c r="O1393" s="2">
        <v>8.99</v>
      </c>
      <c r="P1393" s="2" t="s">
        <v>68</v>
      </c>
      <c r="Q1393" s="2" t="s">
        <v>90</v>
      </c>
      <c r="R1393" s="2" t="s">
        <v>52</v>
      </c>
      <c r="S1393" s="2" t="s">
        <v>43</v>
      </c>
      <c r="T1393" s="2"/>
      <c r="U1393" s="2" t="str">
        <f t="shared" si="64"/>
        <v>Not Required</v>
      </c>
      <c r="V1393" s="2" t="s">
        <v>3782</v>
      </c>
    </row>
    <row r="1394" spans="1:22" hidden="1" x14ac:dyDescent="0.3">
      <c r="A1394" s="2" t="s">
        <v>3783</v>
      </c>
      <c r="B1394" s="12">
        <f t="shared" si="63"/>
        <v>46238.586338738423</v>
      </c>
      <c r="C1394" s="13">
        <v>46238.586338738423</v>
      </c>
      <c r="D1394" s="2" t="s">
        <v>1645</v>
      </c>
      <c r="E1394" s="2" t="str">
        <f t="shared" si="65"/>
        <v>Email Available</v>
      </c>
      <c r="F1394" s="2" t="s">
        <v>1553</v>
      </c>
      <c r="G1394" s="2" t="s">
        <v>112</v>
      </c>
      <c r="H1394" s="2" t="s">
        <v>81</v>
      </c>
      <c r="I1394" s="2" t="s">
        <v>113</v>
      </c>
      <c r="J1394" s="2">
        <v>2</v>
      </c>
      <c r="K1394" s="2">
        <v>22.99</v>
      </c>
      <c r="L1394" s="2" t="s">
        <v>208</v>
      </c>
      <c r="M1394" s="2">
        <v>6.9</v>
      </c>
      <c r="N1394" s="2">
        <v>4.99</v>
      </c>
      <c r="O1394" s="2">
        <v>44.07</v>
      </c>
      <c r="P1394" s="2" t="s">
        <v>27</v>
      </c>
      <c r="Q1394" s="2" t="s">
        <v>28</v>
      </c>
      <c r="R1394" s="2" t="s">
        <v>52</v>
      </c>
      <c r="S1394" s="2" t="s">
        <v>75</v>
      </c>
      <c r="T1394" s="2"/>
      <c r="U1394" s="2" t="str">
        <f t="shared" si="64"/>
        <v>Not Required</v>
      </c>
      <c r="V1394" s="2" t="s">
        <v>3784</v>
      </c>
    </row>
    <row r="1395" spans="1:22" hidden="1" x14ac:dyDescent="0.3">
      <c r="A1395" s="2" t="s">
        <v>3785</v>
      </c>
      <c r="B1395" s="12">
        <f t="shared" si="63"/>
        <v>46238.582017129629</v>
      </c>
      <c r="C1395" s="13">
        <v>46238.582017129629</v>
      </c>
      <c r="D1395" s="2" t="s">
        <v>3786</v>
      </c>
      <c r="E1395" s="2" t="str">
        <f t="shared" si="65"/>
        <v>Email Available</v>
      </c>
      <c r="F1395" s="2" t="s">
        <v>3787</v>
      </c>
      <c r="G1395" s="2" t="s">
        <v>36</v>
      </c>
      <c r="H1395" s="2" t="s">
        <v>37</v>
      </c>
      <c r="I1395" s="2" t="s">
        <v>38</v>
      </c>
      <c r="J1395" s="2">
        <v>1</v>
      </c>
      <c r="K1395" s="2">
        <v>21.99</v>
      </c>
      <c r="L1395" s="2" t="s">
        <v>208</v>
      </c>
      <c r="M1395" s="2">
        <v>3.3</v>
      </c>
      <c r="N1395" s="2">
        <v>7.99</v>
      </c>
      <c r="O1395" s="2">
        <v>26.68</v>
      </c>
      <c r="P1395" s="2" t="s">
        <v>74</v>
      </c>
      <c r="Q1395" s="2" t="s">
        <v>28</v>
      </c>
      <c r="R1395" s="2" t="s">
        <v>42</v>
      </c>
      <c r="S1395" s="2" t="s">
        <v>228</v>
      </c>
      <c r="T1395" s="2"/>
      <c r="U1395" s="2" t="str">
        <f t="shared" si="64"/>
        <v>Not Required</v>
      </c>
      <c r="V1395" s="2" t="s">
        <v>3788</v>
      </c>
    </row>
    <row r="1396" spans="1:22" hidden="1" x14ac:dyDescent="0.3">
      <c r="A1396" s="2" t="s">
        <v>3789</v>
      </c>
      <c r="B1396" s="12">
        <f t="shared" si="63"/>
        <v>46238.588544131948</v>
      </c>
      <c r="C1396" s="13">
        <v>46238.588544131948</v>
      </c>
      <c r="D1396" s="2" t="s">
        <v>565</v>
      </c>
      <c r="E1396" s="2" t="str">
        <f t="shared" si="65"/>
        <v>Email Available</v>
      </c>
      <c r="F1396" s="2" t="s">
        <v>566</v>
      </c>
      <c r="G1396" s="2" t="s">
        <v>226</v>
      </c>
      <c r="H1396" s="2" t="s">
        <v>23</v>
      </c>
      <c r="I1396" s="2" t="s">
        <v>227</v>
      </c>
      <c r="J1396" s="2">
        <v>1</v>
      </c>
      <c r="K1396" s="2">
        <v>17.989999999999998</v>
      </c>
      <c r="L1396" s="2" t="s">
        <v>121</v>
      </c>
      <c r="M1396" s="2">
        <v>4.5</v>
      </c>
      <c r="N1396" s="2">
        <v>5.99</v>
      </c>
      <c r="O1396" s="2">
        <v>19.48</v>
      </c>
      <c r="P1396" s="2" t="s">
        <v>68</v>
      </c>
      <c r="Q1396" s="2" t="s">
        <v>90</v>
      </c>
      <c r="R1396" s="2" t="s">
        <v>52</v>
      </c>
      <c r="S1396" s="2" t="s">
        <v>43</v>
      </c>
      <c r="T1396" s="2"/>
      <c r="U1396" s="2" t="str">
        <f t="shared" si="64"/>
        <v>Not Required</v>
      </c>
      <c r="V1396" s="2" t="s">
        <v>3040</v>
      </c>
    </row>
    <row r="1397" spans="1:22" hidden="1" x14ac:dyDescent="0.3">
      <c r="A1397" s="2" t="s">
        <v>3790</v>
      </c>
      <c r="B1397" s="12">
        <f t="shared" si="63"/>
        <v>46238.587665949082</v>
      </c>
      <c r="C1397" s="13">
        <v>46238.587665949082</v>
      </c>
      <c r="D1397" s="2" t="s">
        <v>2343</v>
      </c>
      <c r="E1397" s="2" t="str">
        <f t="shared" si="65"/>
        <v>Email Available</v>
      </c>
      <c r="F1397" s="2" t="s">
        <v>2344</v>
      </c>
      <c r="G1397" s="2" t="s">
        <v>58</v>
      </c>
      <c r="H1397" s="2" t="s">
        <v>23</v>
      </c>
      <c r="I1397" s="2" t="s">
        <v>59</v>
      </c>
      <c r="J1397" s="2">
        <v>4</v>
      </c>
      <c r="K1397" s="2">
        <v>9.99</v>
      </c>
      <c r="L1397" s="2"/>
      <c r="M1397" s="2">
        <v>0</v>
      </c>
      <c r="N1397" s="2">
        <v>7.99</v>
      </c>
      <c r="O1397" s="2">
        <v>47.95</v>
      </c>
      <c r="P1397" s="2" t="s">
        <v>40</v>
      </c>
      <c r="Q1397" s="2" t="s">
        <v>90</v>
      </c>
      <c r="R1397" s="2" t="s">
        <v>52</v>
      </c>
      <c r="S1397" s="2" t="s">
        <v>43</v>
      </c>
      <c r="T1397" s="2"/>
      <c r="U1397" s="2" t="str">
        <f t="shared" si="64"/>
        <v>Not Required</v>
      </c>
      <c r="V1397" s="2" t="s">
        <v>3791</v>
      </c>
    </row>
    <row r="1398" spans="1:22" hidden="1" x14ac:dyDescent="0.3">
      <c r="A1398" s="2" t="s">
        <v>3792</v>
      </c>
      <c r="B1398" s="12">
        <f t="shared" si="63"/>
        <v>46238.5820809375</v>
      </c>
      <c r="C1398" s="13">
        <v>46238.5820809375</v>
      </c>
      <c r="D1398" s="2" t="s">
        <v>805</v>
      </c>
      <c r="E1398" s="2" t="str">
        <f t="shared" si="65"/>
        <v>Email Available</v>
      </c>
      <c r="F1398" s="2" t="s">
        <v>806</v>
      </c>
      <c r="G1398" s="2" t="s">
        <v>171</v>
      </c>
      <c r="H1398" s="2" t="s">
        <v>106</v>
      </c>
      <c r="I1398" s="2" t="s">
        <v>172</v>
      </c>
      <c r="J1398" s="2">
        <v>1</v>
      </c>
      <c r="K1398" s="2">
        <v>32.99</v>
      </c>
      <c r="L1398" s="2"/>
      <c r="M1398" s="2">
        <v>0</v>
      </c>
      <c r="N1398" s="2">
        <v>4.99</v>
      </c>
      <c r="O1398" s="2">
        <v>37.979999999999997</v>
      </c>
      <c r="P1398" s="2" t="s">
        <v>74</v>
      </c>
      <c r="Q1398" s="2" t="s">
        <v>90</v>
      </c>
      <c r="R1398" s="2" t="s">
        <v>52</v>
      </c>
      <c r="S1398" s="2" t="s">
        <v>43</v>
      </c>
      <c r="T1398" s="2"/>
      <c r="U1398" s="2" t="str">
        <f t="shared" si="64"/>
        <v>Not Required</v>
      </c>
      <c r="V1398" s="2" t="s">
        <v>3793</v>
      </c>
    </row>
    <row r="1399" spans="1:22" hidden="1" x14ac:dyDescent="0.3">
      <c r="A1399" s="2" t="s">
        <v>3794</v>
      </c>
      <c r="B1399" s="12">
        <f t="shared" si="63"/>
        <v>46238.579712997693</v>
      </c>
      <c r="C1399" s="13">
        <v>46238.579712997693</v>
      </c>
      <c r="D1399" s="2" t="s">
        <v>2122</v>
      </c>
      <c r="E1399" s="2" t="str">
        <f t="shared" si="65"/>
        <v>Email Available</v>
      </c>
      <c r="F1399" s="2" t="s">
        <v>2123</v>
      </c>
      <c r="G1399" s="2" t="s">
        <v>206</v>
      </c>
      <c r="H1399" s="2" t="s">
        <v>196</v>
      </c>
      <c r="I1399" s="2" t="s">
        <v>207</v>
      </c>
      <c r="J1399" s="2">
        <v>1</v>
      </c>
      <c r="K1399" s="2">
        <v>24.99</v>
      </c>
      <c r="L1399" s="2"/>
      <c r="M1399" s="2" t="s">
        <v>189</v>
      </c>
      <c r="N1399" s="2">
        <v>5.99</v>
      </c>
      <c r="O1399" s="2">
        <v>30.98</v>
      </c>
      <c r="P1399" s="2" t="s">
        <v>27</v>
      </c>
      <c r="Q1399" s="2" t="s">
        <v>28</v>
      </c>
      <c r="R1399" s="2" t="s">
        <v>52</v>
      </c>
      <c r="S1399" s="2" t="s">
        <v>228</v>
      </c>
      <c r="T1399" s="2"/>
      <c r="U1399" s="2" t="str">
        <f t="shared" si="64"/>
        <v>Not Required</v>
      </c>
      <c r="V1399" s="2" t="s">
        <v>1079</v>
      </c>
    </row>
    <row r="1400" spans="1:22" hidden="1" x14ac:dyDescent="0.3">
      <c r="A1400" s="2" t="s">
        <v>3795</v>
      </c>
      <c r="B1400" s="12">
        <f t="shared" si="63"/>
        <v>46238.582117847232</v>
      </c>
      <c r="C1400" s="13">
        <v>46238.582117847232</v>
      </c>
      <c r="D1400" s="2" t="s">
        <v>1227</v>
      </c>
      <c r="E1400" s="2" t="str">
        <f t="shared" si="65"/>
        <v>Email Available</v>
      </c>
      <c r="F1400" s="2" t="s">
        <v>1228</v>
      </c>
      <c r="G1400" s="2" t="s">
        <v>127</v>
      </c>
      <c r="H1400" s="2" t="s">
        <v>81</v>
      </c>
      <c r="I1400" s="2" t="s">
        <v>128</v>
      </c>
      <c r="J1400" s="2">
        <v>1</v>
      </c>
      <c r="K1400" s="2">
        <v>13.99</v>
      </c>
      <c r="L1400" s="2" t="s">
        <v>67</v>
      </c>
      <c r="M1400" s="2">
        <v>1.4</v>
      </c>
      <c r="N1400" s="2">
        <v>7.99</v>
      </c>
      <c r="O1400" s="2">
        <v>20.58</v>
      </c>
      <c r="P1400" s="2" t="s">
        <v>51</v>
      </c>
      <c r="Q1400" s="2" t="s">
        <v>28</v>
      </c>
      <c r="R1400" s="2" t="s">
        <v>52</v>
      </c>
      <c r="S1400" s="2" t="s">
        <v>30</v>
      </c>
      <c r="T1400" s="2" t="s">
        <v>91</v>
      </c>
      <c r="U1400" s="2" t="str">
        <f t="shared" si="64"/>
        <v>Valid</v>
      </c>
      <c r="V1400" s="2" t="s">
        <v>3796</v>
      </c>
    </row>
    <row r="1401" spans="1:22" hidden="1" x14ac:dyDescent="0.3">
      <c r="A1401" s="2" t="s">
        <v>3797</v>
      </c>
      <c r="B1401" s="12">
        <f t="shared" si="63"/>
        <v>46238.579094236113</v>
      </c>
      <c r="C1401" s="13">
        <v>46238.579094236113</v>
      </c>
      <c r="D1401" s="2" t="s">
        <v>3798</v>
      </c>
      <c r="E1401" s="2" t="str">
        <f t="shared" si="65"/>
        <v>Email Available</v>
      </c>
      <c r="F1401" s="2" t="s">
        <v>1194</v>
      </c>
      <c r="G1401" s="2" t="s">
        <v>65</v>
      </c>
      <c r="H1401" s="2" t="s">
        <v>49</v>
      </c>
      <c r="I1401" s="2" t="s">
        <v>453</v>
      </c>
      <c r="J1401" s="2">
        <v>1</v>
      </c>
      <c r="K1401" s="2">
        <v>14.99</v>
      </c>
      <c r="L1401" s="2" t="s">
        <v>67</v>
      </c>
      <c r="M1401" s="2">
        <v>1.5</v>
      </c>
      <c r="N1401" s="2">
        <v>5.99</v>
      </c>
      <c r="O1401" s="2">
        <v>19.48</v>
      </c>
      <c r="P1401" s="2" t="s">
        <v>74</v>
      </c>
      <c r="Q1401" s="2" t="s">
        <v>90</v>
      </c>
      <c r="R1401" s="2" t="s">
        <v>52</v>
      </c>
      <c r="S1401" s="2" t="s">
        <v>30</v>
      </c>
      <c r="T1401" s="2" t="s">
        <v>347</v>
      </c>
      <c r="U1401" s="2" t="str">
        <f t="shared" si="64"/>
        <v>Valid</v>
      </c>
      <c r="V1401" s="2" t="s">
        <v>3799</v>
      </c>
    </row>
    <row r="1402" spans="1:22" hidden="1" x14ac:dyDescent="0.3">
      <c r="A1402" s="2" t="s">
        <v>3800</v>
      </c>
      <c r="B1402" s="12">
        <f t="shared" si="63"/>
        <v>46238.58580666667</v>
      </c>
      <c r="C1402" s="13">
        <v>46238.58580666667</v>
      </c>
      <c r="D1402" s="2" t="s">
        <v>2448</v>
      </c>
      <c r="E1402" s="2" t="str">
        <f t="shared" si="65"/>
        <v>Email Available</v>
      </c>
      <c r="F1402" s="2" t="s">
        <v>2449</v>
      </c>
      <c r="G1402" s="2" t="s">
        <v>195</v>
      </c>
      <c r="H1402" s="2" t="s">
        <v>196</v>
      </c>
      <c r="I1402" s="2" t="s">
        <v>197</v>
      </c>
      <c r="J1402" s="2">
        <v>1</v>
      </c>
      <c r="K1402" s="2">
        <v>13.49</v>
      </c>
      <c r="L1402" s="2"/>
      <c r="M1402" s="2">
        <v>0</v>
      </c>
      <c r="N1402" s="2">
        <v>7.99</v>
      </c>
      <c r="O1402" s="2">
        <v>21.48</v>
      </c>
      <c r="P1402" s="2" t="s">
        <v>74</v>
      </c>
      <c r="Q1402" s="2" t="s">
        <v>28</v>
      </c>
      <c r="R1402" s="2" t="s">
        <v>52</v>
      </c>
      <c r="S1402" s="2" t="s">
        <v>30</v>
      </c>
      <c r="T1402" s="2" t="s">
        <v>499</v>
      </c>
      <c r="U1402" s="2" t="str">
        <f t="shared" si="64"/>
        <v>Valid</v>
      </c>
      <c r="V1402" s="2" t="s">
        <v>3801</v>
      </c>
    </row>
    <row r="1403" spans="1:22" hidden="1" x14ac:dyDescent="0.3">
      <c r="A1403" s="2" t="s">
        <v>3802</v>
      </c>
      <c r="B1403" s="12">
        <f t="shared" ref="B1403:B1466" si="66">IF(ISNUMBER(C1403),C1403,DATEVALUE(SUBSTITUTE(TRIM(C1403),CHAR(160)," ")))</f>
        <v>46238.588775914352</v>
      </c>
      <c r="C1403" s="13">
        <v>46238.588775914352</v>
      </c>
      <c r="D1403" s="2" t="s">
        <v>177</v>
      </c>
      <c r="E1403" s="2" t="str">
        <f t="shared" si="65"/>
        <v>Email Available</v>
      </c>
      <c r="F1403" s="2" t="s">
        <v>178</v>
      </c>
      <c r="G1403" s="2" t="s">
        <v>80</v>
      </c>
      <c r="H1403" s="2" t="s">
        <v>81</v>
      </c>
      <c r="I1403" s="2" t="s">
        <v>82</v>
      </c>
      <c r="J1403" s="2">
        <v>2</v>
      </c>
      <c r="K1403" s="2">
        <v>89.99</v>
      </c>
      <c r="L1403" s="2"/>
      <c r="M1403" s="2">
        <v>0</v>
      </c>
      <c r="N1403" s="2">
        <v>0</v>
      </c>
      <c r="O1403" s="2">
        <v>179.98</v>
      </c>
      <c r="P1403" s="2" t="s">
        <v>27</v>
      </c>
      <c r="Q1403" s="2" t="s">
        <v>28</v>
      </c>
      <c r="R1403" s="2" t="s">
        <v>52</v>
      </c>
      <c r="S1403" s="2" t="s">
        <v>30</v>
      </c>
      <c r="T1403" s="2" t="s">
        <v>454</v>
      </c>
      <c r="U1403" s="2" t="str">
        <f t="shared" ref="U1403:U1466" si="67">IF(AND(S1403="United States",T1403=""),"Missing state",IF(T1403="","Not Required","Valid"))</f>
        <v>Valid</v>
      </c>
      <c r="V1403" s="2" t="s">
        <v>3803</v>
      </c>
    </row>
    <row r="1404" spans="1:22" hidden="1" x14ac:dyDescent="0.3">
      <c r="A1404" s="2" t="s">
        <v>3804</v>
      </c>
      <c r="B1404" s="12">
        <f t="shared" si="66"/>
        <v>46238.585439722221</v>
      </c>
      <c r="C1404" s="13">
        <v>46238.585439722221</v>
      </c>
      <c r="D1404" s="2" t="s">
        <v>3373</v>
      </c>
      <c r="E1404" s="2" t="str">
        <f t="shared" si="65"/>
        <v>Email Available</v>
      </c>
      <c r="F1404" s="2" t="s">
        <v>3374</v>
      </c>
      <c r="G1404" s="2" t="s">
        <v>65</v>
      </c>
      <c r="H1404" s="2" t="s">
        <v>49</v>
      </c>
      <c r="I1404" s="2" t="s">
        <v>453</v>
      </c>
      <c r="J1404" s="2">
        <v>1</v>
      </c>
      <c r="K1404" s="2">
        <v>14.99</v>
      </c>
      <c r="L1404" s="2" t="s">
        <v>121</v>
      </c>
      <c r="M1404" s="2">
        <v>3.75</v>
      </c>
      <c r="N1404" s="2">
        <v>7.99</v>
      </c>
      <c r="O1404" s="2">
        <v>19.23</v>
      </c>
      <c r="P1404" s="2" t="s">
        <v>40</v>
      </c>
      <c r="Q1404" s="2" t="s">
        <v>28</v>
      </c>
      <c r="R1404" s="2" t="s">
        <v>52</v>
      </c>
      <c r="S1404" s="2" t="s">
        <v>337</v>
      </c>
      <c r="T1404" s="2"/>
      <c r="U1404" s="2" t="str">
        <f t="shared" si="67"/>
        <v>Not Required</v>
      </c>
      <c r="V1404" s="2" t="s">
        <v>3805</v>
      </c>
    </row>
    <row r="1405" spans="1:22" hidden="1" x14ac:dyDescent="0.3">
      <c r="A1405" s="2" t="s">
        <v>3806</v>
      </c>
      <c r="B1405" s="12">
        <f t="shared" si="66"/>
        <v>46238.581103182871</v>
      </c>
      <c r="C1405" s="13">
        <v>46238.581103182871</v>
      </c>
      <c r="D1405" s="2" t="s">
        <v>1227</v>
      </c>
      <c r="E1405" s="2" t="str">
        <f t="shared" si="65"/>
        <v>Email Available</v>
      </c>
      <c r="F1405" s="2" t="s">
        <v>1228</v>
      </c>
      <c r="G1405" s="2" t="s">
        <v>80</v>
      </c>
      <c r="H1405" s="2" t="s">
        <v>81</v>
      </c>
      <c r="I1405" s="2" t="s">
        <v>82</v>
      </c>
      <c r="J1405" s="2">
        <v>1</v>
      </c>
      <c r="K1405" s="2" t="s">
        <v>579</v>
      </c>
      <c r="L1405" s="2"/>
      <c r="M1405" s="2">
        <v>0</v>
      </c>
      <c r="N1405" s="2">
        <v>0</v>
      </c>
      <c r="O1405" s="2">
        <v>89.99</v>
      </c>
      <c r="P1405" s="2" t="s">
        <v>40</v>
      </c>
      <c r="Q1405" s="2" t="s">
        <v>28</v>
      </c>
      <c r="R1405" s="2" t="s">
        <v>52</v>
      </c>
      <c r="S1405" s="2" t="s">
        <v>30</v>
      </c>
      <c r="T1405" s="2" t="s">
        <v>91</v>
      </c>
      <c r="U1405" s="2" t="str">
        <f t="shared" si="67"/>
        <v>Valid</v>
      </c>
      <c r="V1405" s="2" t="s">
        <v>3807</v>
      </c>
    </row>
    <row r="1406" spans="1:22" hidden="1" x14ac:dyDescent="0.3">
      <c r="A1406" s="2" t="s">
        <v>3808</v>
      </c>
      <c r="B1406" s="12">
        <f t="shared" si="66"/>
        <v>46238.585488368059</v>
      </c>
      <c r="C1406" s="13">
        <v>46238.585488368059</v>
      </c>
      <c r="D1406" s="2" t="s">
        <v>331</v>
      </c>
      <c r="E1406" s="2" t="str">
        <f t="shared" si="65"/>
        <v>Email Available</v>
      </c>
      <c r="F1406" s="2" t="s">
        <v>332</v>
      </c>
      <c r="G1406" s="2" t="s">
        <v>58</v>
      </c>
      <c r="H1406" s="2" t="s">
        <v>23</v>
      </c>
      <c r="I1406" s="2" t="s">
        <v>59</v>
      </c>
      <c r="J1406" s="2">
        <v>1</v>
      </c>
      <c r="K1406" s="2">
        <v>9.99</v>
      </c>
      <c r="L1406" s="2" t="s">
        <v>67</v>
      </c>
      <c r="M1406" s="2" t="s">
        <v>3809</v>
      </c>
      <c r="N1406" s="2">
        <v>5.99</v>
      </c>
      <c r="O1406" s="2">
        <v>14.98</v>
      </c>
      <c r="P1406" s="2" t="s">
        <v>27</v>
      </c>
      <c r="Q1406" s="2" t="s">
        <v>41</v>
      </c>
      <c r="R1406" s="2" t="s">
        <v>29</v>
      </c>
      <c r="S1406" s="2" t="s">
        <v>30</v>
      </c>
      <c r="T1406" s="2" t="s">
        <v>115</v>
      </c>
      <c r="U1406" s="2" t="str">
        <f t="shared" si="67"/>
        <v>Valid</v>
      </c>
      <c r="V1406" s="2" t="s">
        <v>3810</v>
      </c>
    </row>
    <row r="1407" spans="1:22" hidden="1" x14ac:dyDescent="0.3">
      <c r="A1407" s="2" t="s">
        <v>3811</v>
      </c>
      <c r="B1407" s="12">
        <f t="shared" si="66"/>
        <v>46238.584366539348</v>
      </c>
      <c r="C1407" s="13">
        <v>46238.584366539348</v>
      </c>
      <c r="D1407" s="2" t="s">
        <v>177</v>
      </c>
      <c r="E1407" s="2" t="str">
        <f t="shared" si="65"/>
        <v>Email Available</v>
      </c>
      <c r="F1407" s="2" t="s">
        <v>178</v>
      </c>
      <c r="G1407" s="2" t="s">
        <v>272</v>
      </c>
      <c r="H1407" s="2" t="s">
        <v>23</v>
      </c>
      <c r="I1407" s="2" t="s">
        <v>273</v>
      </c>
      <c r="J1407" s="2">
        <v>1</v>
      </c>
      <c r="K1407" s="2">
        <v>18.989999999999998</v>
      </c>
      <c r="L1407" s="2"/>
      <c r="M1407" s="2">
        <v>0</v>
      </c>
      <c r="N1407" s="2">
        <v>7.99</v>
      </c>
      <c r="O1407" s="2">
        <v>26.98</v>
      </c>
      <c r="P1407" s="2" t="s">
        <v>68</v>
      </c>
      <c r="Q1407" s="2" t="s">
        <v>28</v>
      </c>
      <c r="R1407" s="2" t="s">
        <v>52</v>
      </c>
      <c r="S1407" s="2" t="s">
        <v>30</v>
      </c>
      <c r="T1407" s="2" t="s">
        <v>53</v>
      </c>
      <c r="U1407" s="2" t="str">
        <f t="shared" si="67"/>
        <v>Valid</v>
      </c>
      <c r="V1407" s="2" t="s">
        <v>3812</v>
      </c>
    </row>
    <row r="1408" spans="1:22" hidden="1" x14ac:dyDescent="0.3">
      <c r="A1408" s="2" t="s">
        <v>3813</v>
      </c>
      <c r="B1408" s="12">
        <f t="shared" si="66"/>
        <v>46238.588307337966</v>
      </c>
      <c r="C1408" s="13">
        <v>46238.588307337966</v>
      </c>
      <c r="D1408" s="2" t="s">
        <v>2908</v>
      </c>
      <c r="E1408" s="2" t="str">
        <f t="shared" si="65"/>
        <v>Email Available</v>
      </c>
      <c r="F1408" s="2" t="s">
        <v>2909</v>
      </c>
      <c r="G1408" s="2" t="s">
        <v>87</v>
      </c>
      <c r="H1408" s="2" t="s">
        <v>88</v>
      </c>
      <c r="I1408" s="2" t="s">
        <v>89</v>
      </c>
      <c r="J1408" s="2">
        <v>2</v>
      </c>
      <c r="K1408" s="2">
        <v>54.99</v>
      </c>
      <c r="L1408" s="2" t="s">
        <v>121</v>
      </c>
      <c r="M1408" s="2">
        <v>27.5</v>
      </c>
      <c r="N1408" s="2">
        <v>0</v>
      </c>
      <c r="O1408" s="2">
        <v>82.48</v>
      </c>
      <c r="P1408" s="2" t="s">
        <v>68</v>
      </c>
      <c r="Q1408" s="2" t="s">
        <v>28</v>
      </c>
      <c r="R1408" s="2" t="s">
        <v>52</v>
      </c>
      <c r="S1408" s="2" t="s">
        <v>30</v>
      </c>
      <c r="T1408" s="2" t="s">
        <v>248</v>
      </c>
      <c r="U1408" s="2" t="str">
        <f t="shared" si="67"/>
        <v>Valid</v>
      </c>
      <c r="V1408" s="2" t="s">
        <v>3814</v>
      </c>
    </row>
    <row r="1409" spans="1:22" hidden="1" x14ac:dyDescent="0.3">
      <c r="A1409" s="2" t="s">
        <v>3815</v>
      </c>
      <c r="B1409" s="12">
        <f t="shared" si="66"/>
        <v>46238.586131064818</v>
      </c>
      <c r="C1409" s="13">
        <v>46238.586131064818</v>
      </c>
      <c r="D1409" s="2" t="s">
        <v>1631</v>
      </c>
      <c r="E1409" s="2" t="str">
        <f t="shared" si="65"/>
        <v>Email Available</v>
      </c>
      <c r="F1409" s="2" t="s">
        <v>1632</v>
      </c>
      <c r="G1409" s="2" t="s">
        <v>87</v>
      </c>
      <c r="H1409" s="2" t="s">
        <v>88</v>
      </c>
      <c r="I1409" s="2" t="s">
        <v>89</v>
      </c>
      <c r="J1409" s="2">
        <v>1</v>
      </c>
      <c r="K1409" s="2">
        <v>54.99</v>
      </c>
      <c r="L1409" s="2" t="s">
        <v>25</v>
      </c>
      <c r="M1409" s="2">
        <v>11</v>
      </c>
      <c r="N1409" s="2">
        <v>7.99</v>
      </c>
      <c r="O1409" s="2">
        <v>51.98</v>
      </c>
      <c r="P1409" s="2" t="s">
        <v>68</v>
      </c>
      <c r="Q1409" s="2" t="s">
        <v>90</v>
      </c>
      <c r="R1409" s="2" t="s">
        <v>42</v>
      </c>
      <c r="S1409" s="2" t="s">
        <v>30</v>
      </c>
      <c r="T1409" s="2" t="s">
        <v>145</v>
      </c>
      <c r="U1409" s="2" t="str">
        <f t="shared" si="67"/>
        <v>Valid</v>
      </c>
      <c r="V1409" s="2" t="s">
        <v>3816</v>
      </c>
    </row>
    <row r="1410" spans="1:22" hidden="1" x14ac:dyDescent="0.3">
      <c r="A1410" s="2" t="s">
        <v>3817</v>
      </c>
      <c r="B1410" s="12">
        <f t="shared" si="66"/>
        <v>46238.580692060183</v>
      </c>
      <c r="C1410" s="13">
        <v>46238.580692060183</v>
      </c>
      <c r="D1410" s="2" t="s">
        <v>3818</v>
      </c>
      <c r="E1410" s="2" t="str">
        <f t="shared" si="65"/>
        <v>Email Available</v>
      </c>
      <c r="F1410" s="2" t="s">
        <v>3819</v>
      </c>
      <c r="G1410" s="2" t="s">
        <v>226</v>
      </c>
      <c r="H1410" s="2" t="s">
        <v>23</v>
      </c>
      <c r="I1410" s="2" t="s">
        <v>227</v>
      </c>
      <c r="J1410" s="2">
        <v>1</v>
      </c>
      <c r="K1410" s="2">
        <v>17.989999999999998</v>
      </c>
      <c r="L1410" s="2" t="s">
        <v>208</v>
      </c>
      <c r="M1410" s="2">
        <v>2.7</v>
      </c>
      <c r="N1410" s="2">
        <v>4.99</v>
      </c>
      <c r="O1410" s="2" t="s">
        <v>3820</v>
      </c>
      <c r="P1410" s="2" t="s">
        <v>27</v>
      </c>
      <c r="Q1410" s="2" t="s">
        <v>28</v>
      </c>
      <c r="R1410" s="2" t="s">
        <v>99</v>
      </c>
      <c r="S1410" s="2" t="s">
        <v>75</v>
      </c>
      <c r="T1410" s="2"/>
      <c r="U1410" s="2" t="str">
        <f t="shared" si="67"/>
        <v>Not Required</v>
      </c>
      <c r="V1410" s="2" t="s">
        <v>3821</v>
      </c>
    </row>
    <row r="1411" spans="1:22" hidden="1" x14ac:dyDescent="0.3">
      <c r="A1411" s="2" t="s">
        <v>3822</v>
      </c>
      <c r="B1411" s="12">
        <f t="shared" si="66"/>
        <v>46238.589127280087</v>
      </c>
      <c r="C1411" s="13">
        <v>46238.589127280087</v>
      </c>
      <c r="D1411" s="2" t="s">
        <v>3823</v>
      </c>
      <c r="E1411" s="2" t="str">
        <f t="shared" ref="E1411:E1474" si="68">IF(TRIM(F1411)="","Missing Email","Email Available")</f>
        <v>Email Available</v>
      </c>
      <c r="F1411" s="2" t="s">
        <v>3824</v>
      </c>
      <c r="G1411" s="2" t="s">
        <v>241</v>
      </c>
      <c r="H1411" s="2" t="s">
        <v>242</v>
      </c>
      <c r="I1411" s="2" t="s">
        <v>243</v>
      </c>
      <c r="J1411" s="2">
        <v>1</v>
      </c>
      <c r="K1411" s="2">
        <v>27.99</v>
      </c>
      <c r="L1411" s="2"/>
      <c r="M1411" s="2">
        <v>0</v>
      </c>
      <c r="N1411" s="2">
        <v>5.99</v>
      </c>
      <c r="O1411" s="2">
        <v>33.979999999999997</v>
      </c>
      <c r="P1411" s="2" t="s">
        <v>51</v>
      </c>
      <c r="Q1411" s="2" t="s">
        <v>28</v>
      </c>
      <c r="R1411" s="2" t="s">
        <v>52</v>
      </c>
      <c r="S1411" s="2" t="s">
        <v>30</v>
      </c>
      <c r="T1411" s="2" t="s">
        <v>115</v>
      </c>
      <c r="U1411" s="2" t="str">
        <f t="shared" si="67"/>
        <v>Valid</v>
      </c>
      <c r="V1411" s="2" t="s">
        <v>3825</v>
      </c>
    </row>
    <row r="1412" spans="1:22" hidden="1" x14ac:dyDescent="0.3">
      <c r="A1412" s="2" t="s">
        <v>3826</v>
      </c>
      <c r="B1412" s="12">
        <f t="shared" si="66"/>
        <v>46238.587824652779</v>
      </c>
      <c r="C1412" s="13">
        <v>46238.587824652779</v>
      </c>
      <c r="D1412" s="2" t="s">
        <v>256</v>
      </c>
      <c r="E1412" s="2" t="str">
        <f t="shared" si="68"/>
        <v>Email Available</v>
      </c>
      <c r="F1412" s="2" t="s">
        <v>350</v>
      </c>
      <c r="G1412" s="2" t="s">
        <v>120</v>
      </c>
      <c r="H1412" s="2" t="s">
        <v>23</v>
      </c>
      <c r="I1412" s="2" t="s">
        <v>24</v>
      </c>
      <c r="J1412" s="2">
        <v>1</v>
      </c>
      <c r="K1412" s="2">
        <v>12.99</v>
      </c>
      <c r="L1412" s="2" t="s">
        <v>39</v>
      </c>
      <c r="M1412" s="2">
        <v>0</v>
      </c>
      <c r="N1412" s="2">
        <v>0</v>
      </c>
      <c r="O1412" s="2">
        <v>12.99</v>
      </c>
      <c r="P1412" s="2" t="s">
        <v>74</v>
      </c>
      <c r="Q1412" s="2" t="s">
        <v>90</v>
      </c>
      <c r="R1412" s="2" t="s">
        <v>52</v>
      </c>
      <c r="S1412" s="2" t="s">
        <v>30</v>
      </c>
      <c r="T1412" s="2" t="s">
        <v>347</v>
      </c>
      <c r="U1412" s="2" t="str">
        <f t="shared" si="67"/>
        <v>Valid</v>
      </c>
      <c r="V1412" s="2" t="s">
        <v>3827</v>
      </c>
    </row>
    <row r="1413" spans="1:22" hidden="1" x14ac:dyDescent="0.3">
      <c r="A1413" s="2" t="s">
        <v>3828</v>
      </c>
      <c r="B1413" s="12">
        <f t="shared" si="66"/>
        <v>46238.5871468287</v>
      </c>
      <c r="C1413" s="13">
        <v>46238.5871468287</v>
      </c>
      <c r="D1413" s="2" t="s">
        <v>3829</v>
      </c>
      <c r="E1413" s="2" t="str">
        <f t="shared" si="68"/>
        <v>Email Available</v>
      </c>
      <c r="F1413" s="2" t="s">
        <v>3830</v>
      </c>
      <c r="G1413" s="2" t="s">
        <v>171</v>
      </c>
      <c r="H1413" s="2" t="s">
        <v>106</v>
      </c>
      <c r="I1413" s="2" t="s">
        <v>172</v>
      </c>
      <c r="J1413" s="2">
        <v>1</v>
      </c>
      <c r="K1413" s="2">
        <v>32.99</v>
      </c>
      <c r="L1413" s="2" t="s">
        <v>25</v>
      </c>
      <c r="M1413" s="2">
        <v>6.6</v>
      </c>
      <c r="N1413" s="2">
        <v>5.99</v>
      </c>
      <c r="O1413" s="2">
        <v>32.380000000000003</v>
      </c>
      <c r="P1413" s="2" t="s">
        <v>27</v>
      </c>
      <c r="Q1413" s="2" t="s">
        <v>90</v>
      </c>
      <c r="R1413" s="2" t="s">
        <v>52</v>
      </c>
      <c r="S1413" s="2" t="s">
        <v>75</v>
      </c>
      <c r="T1413" s="2"/>
      <c r="U1413" s="2" t="str">
        <f t="shared" si="67"/>
        <v>Not Required</v>
      </c>
      <c r="V1413" s="2" t="s">
        <v>3831</v>
      </c>
    </row>
    <row r="1414" spans="1:22" hidden="1" x14ac:dyDescent="0.3">
      <c r="A1414" s="2" t="s">
        <v>3832</v>
      </c>
      <c r="B1414" s="12">
        <f t="shared" si="66"/>
        <v>46238.589157662027</v>
      </c>
      <c r="C1414" s="13">
        <v>46238.589157662027</v>
      </c>
      <c r="D1414" s="2" t="s">
        <v>3833</v>
      </c>
      <c r="E1414" s="2" t="str">
        <f t="shared" si="68"/>
        <v>Email Available</v>
      </c>
      <c r="F1414" s="2" t="s">
        <v>3834</v>
      </c>
      <c r="G1414" s="2" t="s">
        <v>206</v>
      </c>
      <c r="H1414" s="2" t="s">
        <v>196</v>
      </c>
      <c r="I1414" s="2" t="s">
        <v>207</v>
      </c>
      <c r="J1414" s="2">
        <v>2</v>
      </c>
      <c r="K1414" s="2">
        <v>24.99</v>
      </c>
      <c r="L1414" s="2" t="s">
        <v>25</v>
      </c>
      <c r="M1414" s="2">
        <v>10</v>
      </c>
      <c r="N1414" s="2">
        <v>4.99</v>
      </c>
      <c r="O1414" s="2">
        <v>44.97</v>
      </c>
      <c r="P1414" s="2" t="s">
        <v>68</v>
      </c>
      <c r="Q1414" s="2" t="s">
        <v>114</v>
      </c>
      <c r="R1414" s="2" t="s">
        <v>52</v>
      </c>
      <c r="S1414" s="2" t="s">
        <v>30</v>
      </c>
      <c r="T1414" s="2" t="s">
        <v>248</v>
      </c>
      <c r="U1414" s="2" t="str">
        <f t="shared" si="67"/>
        <v>Valid</v>
      </c>
      <c r="V1414" s="2" t="s">
        <v>1656</v>
      </c>
    </row>
    <row r="1415" spans="1:22" hidden="1" x14ac:dyDescent="0.3">
      <c r="A1415" s="2" t="s">
        <v>3835</v>
      </c>
      <c r="B1415" s="12">
        <f t="shared" si="66"/>
        <v>46238.587757002308</v>
      </c>
      <c r="C1415" s="13">
        <v>46238.587757002308</v>
      </c>
      <c r="D1415" s="2" t="s">
        <v>1290</v>
      </c>
      <c r="E1415" s="2" t="str">
        <f t="shared" si="68"/>
        <v>Email Available</v>
      </c>
      <c r="F1415" s="2" t="s">
        <v>1291</v>
      </c>
      <c r="G1415" s="2" t="s">
        <v>48</v>
      </c>
      <c r="H1415" s="2" t="s">
        <v>49</v>
      </c>
      <c r="I1415" s="2" t="s">
        <v>50</v>
      </c>
      <c r="J1415" s="2">
        <v>2</v>
      </c>
      <c r="K1415" s="2">
        <v>39.99</v>
      </c>
      <c r="L1415" s="2"/>
      <c r="M1415" s="2">
        <v>0</v>
      </c>
      <c r="N1415" s="2">
        <v>0</v>
      </c>
      <c r="O1415" s="2">
        <v>79.98</v>
      </c>
      <c r="P1415" s="2" t="s">
        <v>40</v>
      </c>
      <c r="Q1415" s="2" t="s">
        <v>28</v>
      </c>
      <c r="R1415" s="2" t="s">
        <v>52</v>
      </c>
      <c r="S1415" s="2" t="s">
        <v>75</v>
      </c>
      <c r="T1415" s="2"/>
      <c r="U1415" s="2" t="str">
        <f t="shared" si="67"/>
        <v>Not Required</v>
      </c>
      <c r="V1415" s="2" t="s">
        <v>3836</v>
      </c>
    </row>
    <row r="1416" spans="1:22" hidden="1" x14ac:dyDescent="0.3">
      <c r="A1416" s="2" t="s">
        <v>3837</v>
      </c>
      <c r="B1416" s="12">
        <f t="shared" si="66"/>
        <v>46120</v>
      </c>
      <c r="C1416" s="13" t="s">
        <v>142</v>
      </c>
      <c r="D1416" s="2" t="s">
        <v>2812</v>
      </c>
      <c r="E1416" s="2" t="str">
        <f t="shared" si="68"/>
        <v>Email Available</v>
      </c>
      <c r="F1416" s="2" t="s">
        <v>2813</v>
      </c>
      <c r="G1416" s="2" t="s">
        <v>315</v>
      </c>
      <c r="H1416" s="2" t="s">
        <v>37</v>
      </c>
      <c r="I1416" s="2" t="s">
        <v>316</v>
      </c>
      <c r="J1416" s="2">
        <v>1</v>
      </c>
      <c r="K1416" s="2">
        <v>8.99</v>
      </c>
      <c r="L1416" s="2"/>
      <c r="M1416" s="2">
        <v>0</v>
      </c>
      <c r="N1416" s="2">
        <v>4.99</v>
      </c>
      <c r="O1416" s="2">
        <v>13.98</v>
      </c>
      <c r="P1416" s="2" t="s">
        <v>74</v>
      </c>
      <c r="Q1416" s="2" t="s">
        <v>41</v>
      </c>
      <c r="R1416" s="2" t="s">
        <v>99</v>
      </c>
      <c r="S1416" s="2" t="s">
        <v>30</v>
      </c>
      <c r="T1416" s="2" t="s">
        <v>145</v>
      </c>
      <c r="U1416" s="2" t="str">
        <f t="shared" si="67"/>
        <v>Valid</v>
      </c>
      <c r="V1416" s="2" t="s">
        <v>3838</v>
      </c>
    </row>
    <row r="1417" spans="1:22" hidden="1" x14ac:dyDescent="0.3">
      <c r="A1417" s="2" t="s">
        <v>3839</v>
      </c>
      <c r="B1417" s="12">
        <f t="shared" si="66"/>
        <v>46238.58362380787</v>
      </c>
      <c r="C1417" s="13">
        <v>46238.58362380787</v>
      </c>
      <c r="D1417" s="2" t="s">
        <v>565</v>
      </c>
      <c r="E1417" s="2" t="str">
        <f t="shared" si="68"/>
        <v>Email Available</v>
      </c>
      <c r="F1417" s="2" t="s">
        <v>566</v>
      </c>
      <c r="G1417" s="2" t="s">
        <v>36</v>
      </c>
      <c r="H1417" s="2" t="s">
        <v>37</v>
      </c>
      <c r="I1417" s="2" t="s">
        <v>38</v>
      </c>
      <c r="J1417" s="2">
        <v>1</v>
      </c>
      <c r="K1417" s="2">
        <v>21.99</v>
      </c>
      <c r="L1417" s="2" t="s">
        <v>25</v>
      </c>
      <c r="M1417" s="2">
        <v>4.4000000000000004</v>
      </c>
      <c r="N1417" s="2">
        <v>5.99</v>
      </c>
      <c r="O1417" s="2">
        <v>23.58</v>
      </c>
      <c r="P1417" s="2" t="s">
        <v>51</v>
      </c>
      <c r="Q1417" s="2" t="s">
        <v>28</v>
      </c>
      <c r="R1417" s="2" t="s">
        <v>52</v>
      </c>
      <c r="S1417" s="2" t="s">
        <v>43</v>
      </c>
      <c r="T1417" s="2"/>
      <c r="U1417" s="2" t="str">
        <f t="shared" si="67"/>
        <v>Not Required</v>
      </c>
      <c r="V1417" s="2" t="s">
        <v>3840</v>
      </c>
    </row>
    <row r="1418" spans="1:22" hidden="1" x14ac:dyDescent="0.3">
      <c r="A1418" s="2" t="s">
        <v>3841</v>
      </c>
      <c r="B1418" s="12">
        <f t="shared" si="66"/>
        <v>46238.583333206021</v>
      </c>
      <c r="C1418" s="13">
        <v>46238.583333206021</v>
      </c>
      <c r="D1418" s="2" t="s">
        <v>169</v>
      </c>
      <c r="E1418" s="2" t="str">
        <f t="shared" si="68"/>
        <v>Email Available</v>
      </c>
      <c r="F1418" s="2" t="s">
        <v>170</v>
      </c>
      <c r="G1418" s="2" t="s">
        <v>127</v>
      </c>
      <c r="H1418" s="2" t="s">
        <v>81</v>
      </c>
      <c r="I1418" s="2" t="s">
        <v>128</v>
      </c>
      <c r="J1418" s="2">
        <v>1</v>
      </c>
      <c r="K1418" s="2">
        <v>13.99</v>
      </c>
      <c r="L1418" s="2" t="s">
        <v>121</v>
      </c>
      <c r="M1418" s="2">
        <v>3.5</v>
      </c>
      <c r="N1418" s="2">
        <v>7.99</v>
      </c>
      <c r="O1418" s="2">
        <v>18.48</v>
      </c>
      <c r="P1418" s="2" t="s">
        <v>74</v>
      </c>
      <c r="Q1418" s="2" t="s">
        <v>28</v>
      </c>
      <c r="R1418" s="2" t="s">
        <v>52</v>
      </c>
      <c r="S1418" s="2" t="s">
        <v>108</v>
      </c>
      <c r="T1418" s="2"/>
      <c r="U1418" s="2" t="str">
        <f t="shared" si="67"/>
        <v>Not Required</v>
      </c>
      <c r="V1418" s="2" t="s">
        <v>3842</v>
      </c>
    </row>
    <row r="1419" spans="1:22" hidden="1" x14ac:dyDescent="0.3">
      <c r="A1419" s="2" t="s">
        <v>3843</v>
      </c>
      <c r="B1419" s="12">
        <f t="shared" si="66"/>
        <v>46238.580237789349</v>
      </c>
      <c r="C1419" s="13">
        <v>46238.580237789349</v>
      </c>
      <c r="D1419" s="2" t="s">
        <v>335</v>
      </c>
      <c r="E1419" s="2" t="str">
        <f t="shared" si="68"/>
        <v>Email Available</v>
      </c>
      <c r="F1419" s="2" t="s">
        <v>336</v>
      </c>
      <c r="G1419" s="2" t="s">
        <v>284</v>
      </c>
      <c r="H1419" s="2" t="s">
        <v>23</v>
      </c>
      <c r="I1419" s="2" t="s">
        <v>285</v>
      </c>
      <c r="J1419" s="2">
        <v>1</v>
      </c>
      <c r="K1419" s="2">
        <v>24.99</v>
      </c>
      <c r="L1419" s="2" t="s">
        <v>67</v>
      </c>
      <c r="M1419" s="2">
        <v>2.5</v>
      </c>
      <c r="N1419" s="2">
        <v>4.99</v>
      </c>
      <c r="O1419" s="2">
        <v>27.48</v>
      </c>
      <c r="P1419" s="2" t="s">
        <v>74</v>
      </c>
      <c r="Q1419" s="2" t="s">
        <v>90</v>
      </c>
      <c r="R1419" s="2" t="s">
        <v>52</v>
      </c>
      <c r="S1419" s="2" t="s">
        <v>337</v>
      </c>
      <c r="T1419" s="2"/>
      <c r="U1419" s="2" t="str">
        <f t="shared" si="67"/>
        <v>Not Required</v>
      </c>
      <c r="V1419" s="2" t="s">
        <v>3844</v>
      </c>
    </row>
    <row r="1420" spans="1:22" hidden="1" x14ac:dyDescent="0.3">
      <c r="A1420" s="2" t="s">
        <v>3845</v>
      </c>
      <c r="B1420" s="12">
        <f t="shared" si="66"/>
        <v>46238.584925995368</v>
      </c>
      <c r="C1420" s="13">
        <v>46238.584925995368</v>
      </c>
      <c r="D1420" s="2" t="s">
        <v>1220</v>
      </c>
      <c r="E1420" s="2" t="str">
        <f t="shared" si="68"/>
        <v>Email Available</v>
      </c>
      <c r="F1420" s="2" t="s">
        <v>1221</v>
      </c>
      <c r="G1420" s="2" t="s">
        <v>36</v>
      </c>
      <c r="H1420" s="2" t="s">
        <v>37</v>
      </c>
      <c r="I1420" s="2" t="s">
        <v>38</v>
      </c>
      <c r="J1420" s="2">
        <v>1</v>
      </c>
      <c r="K1420" s="2" t="s">
        <v>571</v>
      </c>
      <c r="L1420" s="2" t="s">
        <v>39</v>
      </c>
      <c r="M1420" s="2">
        <v>0</v>
      </c>
      <c r="N1420" s="2">
        <v>0</v>
      </c>
      <c r="O1420" s="2">
        <v>21.99</v>
      </c>
      <c r="P1420" s="2" t="s">
        <v>68</v>
      </c>
      <c r="Q1420" s="2" t="s">
        <v>114</v>
      </c>
      <c r="R1420" s="2" t="s">
        <v>99</v>
      </c>
      <c r="S1420" s="2" t="s">
        <v>75</v>
      </c>
      <c r="T1420" s="2"/>
      <c r="U1420" s="2" t="str">
        <f t="shared" si="67"/>
        <v>Not Required</v>
      </c>
      <c r="V1420" s="2" t="s">
        <v>3846</v>
      </c>
    </row>
    <row r="1421" spans="1:22" hidden="1" x14ac:dyDescent="0.3">
      <c r="A1421" s="2" t="s">
        <v>3847</v>
      </c>
      <c r="B1421" s="12">
        <f t="shared" si="66"/>
        <v>46238.583536678241</v>
      </c>
      <c r="C1421" s="13">
        <v>46238.583536678241</v>
      </c>
      <c r="D1421" s="2" t="s">
        <v>685</v>
      </c>
      <c r="E1421" s="2" t="str">
        <f t="shared" si="68"/>
        <v>Email Available</v>
      </c>
      <c r="F1421" s="2" t="s">
        <v>485</v>
      </c>
      <c r="G1421" s="2" t="s">
        <v>171</v>
      </c>
      <c r="H1421" s="2" t="s">
        <v>106</v>
      </c>
      <c r="I1421" s="2" t="s">
        <v>172</v>
      </c>
      <c r="J1421" s="2">
        <v>1</v>
      </c>
      <c r="K1421" s="2">
        <v>32.99</v>
      </c>
      <c r="L1421" s="2" t="s">
        <v>39</v>
      </c>
      <c r="M1421" s="2">
        <v>0</v>
      </c>
      <c r="N1421" s="2">
        <v>0</v>
      </c>
      <c r="O1421" s="2">
        <v>32.99</v>
      </c>
      <c r="P1421" s="2" t="s">
        <v>51</v>
      </c>
      <c r="Q1421" s="2" t="s">
        <v>90</v>
      </c>
      <c r="R1421" s="2" t="s">
        <v>42</v>
      </c>
      <c r="S1421" s="2" t="s">
        <v>30</v>
      </c>
      <c r="T1421" s="2" t="s">
        <v>91</v>
      </c>
      <c r="U1421" s="2" t="str">
        <f t="shared" si="67"/>
        <v>Valid</v>
      </c>
      <c r="V1421" s="2" t="s">
        <v>3848</v>
      </c>
    </row>
    <row r="1422" spans="1:22" hidden="1" x14ac:dyDescent="0.3">
      <c r="A1422" s="2" t="s">
        <v>3849</v>
      </c>
      <c r="B1422" s="12">
        <f t="shared" si="66"/>
        <v>46238</v>
      </c>
      <c r="C1422" s="13" t="s">
        <v>148</v>
      </c>
      <c r="D1422" s="2" t="s">
        <v>3850</v>
      </c>
      <c r="E1422" s="2" t="str">
        <f t="shared" si="68"/>
        <v>Email Available</v>
      </c>
      <c r="F1422" s="2" t="s">
        <v>3851</v>
      </c>
      <c r="G1422" s="2" t="s">
        <v>120</v>
      </c>
      <c r="H1422" s="2" t="s">
        <v>23</v>
      </c>
      <c r="I1422" s="2" t="s">
        <v>24</v>
      </c>
      <c r="J1422" s="2">
        <v>1</v>
      </c>
      <c r="K1422" s="2">
        <v>12.99</v>
      </c>
      <c r="L1422" s="2"/>
      <c r="M1422" s="2">
        <v>0</v>
      </c>
      <c r="N1422" s="2">
        <v>4.99</v>
      </c>
      <c r="O1422" s="2">
        <v>17.98</v>
      </c>
      <c r="P1422" s="2" t="s">
        <v>74</v>
      </c>
      <c r="Q1422" s="2" t="s">
        <v>90</v>
      </c>
      <c r="R1422" s="2" t="s">
        <v>29</v>
      </c>
      <c r="S1422" s="2" t="s">
        <v>108</v>
      </c>
      <c r="T1422" s="2"/>
      <c r="U1422" s="2" t="str">
        <f t="shared" si="67"/>
        <v>Not Required</v>
      </c>
      <c r="V1422" s="2" t="s">
        <v>3852</v>
      </c>
    </row>
    <row r="1423" spans="1:22" hidden="1" x14ac:dyDescent="0.3">
      <c r="A1423" s="2" t="s">
        <v>3853</v>
      </c>
      <c r="B1423" s="12">
        <f t="shared" si="66"/>
        <v>46238.581316724543</v>
      </c>
      <c r="C1423" s="13">
        <v>46238.581316724543</v>
      </c>
      <c r="D1423" s="2" t="s">
        <v>614</v>
      </c>
      <c r="E1423" s="2" t="str">
        <f t="shared" si="68"/>
        <v>Email Available</v>
      </c>
      <c r="F1423" s="2" t="s">
        <v>615</v>
      </c>
      <c r="G1423" s="2" t="s">
        <v>284</v>
      </c>
      <c r="H1423" s="2" t="s">
        <v>23</v>
      </c>
      <c r="I1423" s="2" t="s">
        <v>285</v>
      </c>
      <c r="J1423" s="2">
        <v>1</v>
      </c>
      <c r="K1423" s="2">
        <v>24.99</v>
      </c>
      <c r="L1423" s="2" t="s">
        <v>25</v>
      </c>
      <c r="M1423" s="2">
        <v>5</v>
      </c>
      <c r="N1423" s="2">
        <v>7.99</v>
      </c>
      <c r="O1423" s="2">
        <v>27.98</v>
      </c>
      <c r="P1423" s="2" t="s">
        <v>27</v>
      </c>
      <c r="Q1423" s="2" t="s">
        <v>28</v>
      </c>
      <c r="R1423" s="2" t="s">
        <v>42</v>
      </c>
      <c r="S1423" s="2" t="s">
        <v>43</v>
      </c>
      <c r="T1423" s="2"/>
      <c r="U1423" s="2" t="str">
        <f t="shared" si="67"/>
        <v>Not Required</v>
      </c>
      <c r="V1423" s="2" t="s">
        <v>3854</v>
      </c>
    </row>
    <row r="1424" spans="1:22" hidden="1" x14ac:dyDescent="0.3">
      <c r="A1424" s="2" t="s">
        <v>3855</v>
      </c>
      <c r="B1424" s="12">
        <f t="shared" si="66"/>
        <v>46238.58596222222</v>
      </c>
      <c r="C1424" s="13">
        <v>46238.58596222222</v>
      </c>
      <c r="D1424" s="2" t="s">
        <v>1227</v>
      </c>
      <c r="E1424" s="2" t="str">
        <f t="shared" si="68"/>
        <v>Email Available</v>
      </c>
      <c r="F1424" s="2" t="s">
        <v>1228</v>
      </c>
      <c r="G1424" s="2" t="s">
        <v>87</v>
      </c>
      <c r="H1424" s="2" t="s">
        <v>88</v>
      </c>
      <c r="I1424" s="2" t="s">
        <v>89</v>
      </c>
      <c r="J1424" s="2">
        <v>2</v>
      </c>
      <c r="K1424" s="2">
        <v>54.99</v>
      </c>
      <c r="L1424" s="2"/>
      <c r="M1424" s="2">
        <v>0</v>
      </c>
      <c r="N1424" s="2">
        <v>0</v>
      </c>
      <c r="O1424" s="2">
        <v>109.98</v>
      </c>
      <c r="P1424" s="2" t="s">
        <v>51</v>
      </c>
      <c r="Q1424" s="2" t="s">
        <v>28</v>
      </c>
      <c r="R1424" s="2" t="s">
        <v>52</v>
      </c>
      <c r="S1424" s="2" t="s">
        <v>30</v>
      </c>
      <c r="T1424" s="2" t="s">
        <v>248</v>
      </c>
      <c r="U1424" s="2" t="str">
        <f t="shared" si="67"/>
        <v>Valid</v>
      </c>
      <c r="V1424" s="2" t="s">
        <v>2778</v>
      </c>
    </row>
    <row r="1425" spans="1:22" hidden="1" x14ac:dyDescent="0.3">
      <c r="A1425" s="2" t="s">
        <v>3856</v>
      </c>
      <c r="B1425" s="12">
        <f t="shared" si="66"/>
        <v>46238.582754594907</v>
      </c>
      <c r="C1425" s="13">
        <v>46238.582754594907</v>
      </c>
      <c r="D1425" s="2" t="s">
        <v>1362</v>
      </c>
      <c r="E1425" s="2" t="str">
        <f t="shared" si="68"/>
        <v>Email Available</v>
      </c>
      <c r="F1425" s="2" t="s">
        <v>1363</v>
      </c>
      <c r="G1425" s="2" t="s">
        <v>80</v>
      </c>
      <c r="H1425" s="2" t="s">
        <v>81</v>
      </c>
      <c r="I1425" s="2" t="s">
        <v>82</v>
      </c>
      <c r="J1425" s="2">
        <v>2</v>
      </c>
      <c r="K1425" s="2">
        <v>89.99</v>
      </c>
      <c r="L1425" s="2"/>
      <c r="M1425" s="2">
        <v>0</v>
      </c>
      <c r="N1425" s="2">
        <v>0</v>
      </c>
      <c r="O1425" s="2">
        <v>179.98</v>
      </c>
      <c r="P1425" s="2" t="s">
        <v>51</v>
      </c>
      <c r="Q1425" s="2" t="s">
        <v>41</v>
      </c>
      <c r="R1425" s="2" t="s">
        <v>52</v>
      </c>
      <c r="S1425" s="2" t="s">
        <v>30</v>
      </c>
      <c r="T1425" s="2" t="s">
        <v>499</v>
      </c>
      <c r="U1425" s="2" t="str">
        <f t="shared" si="67"/>
        <v>Valid</v>
      </c>
      <c r="V1425" s="2" t="s">
        <v>3857</v>
      </c>
    </row>
    <row r="1426" spans="1:22" hidden="1" x14ac:dyDescent="0.3">
      <c r="A1426" s="2" t="s">
        <v>3858</v>
      </c>
      <c r="B1426" s="12">
        <f t="shared" si="66"/>
        <v>46120</v>
      </c>
      <c r="C1426" s="13" t="s">
        <v>142</v>
      </c>
      <c r="D1426" s="2" t="s">
        <v>1506</v>
      </c>
      <c r="E1426" s="2" t="str">
        <f t="shared" si="68"/>
        <v>Email Available</v>
      </c>
      <c r="F1426" s="2" t="s">
        <v>1507</v>
      </c>
      <c r="G1426" s="2" t="s">
        <v>195</v>
      </c>
      <c r="H1426" s="2" t="s">
        <v>196</v>
      </c>
      <c r="I1426" s="2" t="s">
        <v>197</v>
      </c>
      <c r="J1426" s="2">
        <v>3</v>
      </c>
      <c r="K1426" s="2">
        <v>13.49</v>
      </c>
      <c r="L1426" s="2"/>
      <c r="M1426" s="2">
        <v>0</v>
      </c>
      <c r="N1426" s="2">
        <v>7.99</v>
      </c>
      <c r="O1426" s="2">
        <v>48.46</v>
      </c>
      <c r="P1426" s="2" t="s">
        <v>27</v>
      </c>
      <c r="Q1426" s="2" t="s">
        <v>28</v>
      </c>
      <c r="R1426" s="2" t="s">
        <v>42</v>
      </c>
      <c r="S1426" s="2" t="s">
        <v>43</v>
      </c>
      <c r="T1426" s="2"/>
      <c r="U1426" s="2" t="str">
        <f t="shared" si="67"/>
        <v>Not Required</v>
      </c>
      <c r="V1426" s="2" t="s">
        <v>3859</v>
      </c>
    </row>
    <row r="1427" spans="1:22" hidden="1" x14ac:dyDescent="0.3">
      <c r="A1427" s="2" t="s">
        <v>3860</v>
      </c>
      <c r="B1427" s="12">
        <f t="shared" si="66"/>
        <v>46238.586804178238</v>
      </c>
      <c r="C1427" s="13">
        <v>46238.586804178238</v>
      </c>
      <c r="D1427" s="2" t="s">
        <v>3861</v>
      </c>
      <c r="E1427" s="2" t="str">
        <f t="shared" si="68"/>
        <v>Email Available</v>
      </c>
      <c r="F1427" s="2" t="s">
        <v>3862</v>
      </c>
      <c r="G1427" s="2" t="s">
        <v>315</v>
      </c>
      <c r="H1427" s="2" t="s">
        <v>37</v>
      </c>
      <c r="I1427" s="2" t="s">
        <v>316</v>
      </c>
      <c r="J1427" s="2">
        <v>1</v>
      </c>
      <c r="K1427" s="2">
        <v>8.99</v>
      </c>
      <c r="L1427" s="2" t="s">
        <v>208</v>
      </c>
      <c r="M1427" s="2">
        <v>1.35</v>
      </c>
      <c r="N1427" s="2">
        <v>7.99</v>
      </c>
      <c r="O1427" s="2">
        <v>15.63</v>
      </c>
      <c r="P1427" s="2" t="s">
        <v>40</v>
      </c>
      <c r="Q1427" s="2" t="s">
        <v>114</v>
      </c>
      <c r="R1427" s="2" t="s">
        <v>52</v>
      </c>
      <c r="S1427" s="2" t="s">
        <v>228</v>
      </c>
      <c r="T1427" s="2"/>
      <c r="U1427" s="2" t="str">
        <f t="shared" si="67"/>
        <v>Not Required</v>
      </c>
      <c r="V1427" s="2" t="s">
        <v>3532</v>
      </c>
    </row>
    <row r="1428" spans="1:22" hidden="1" x14ac:dyDescent="0.3">
      <c r="A1428" s="2" t="s">
        <v>3863</v>
      </c>
      <c r="B1428" s="12">
        <f t="shared" si="66"/>
        <v>46238.581840648148</v>
      </c>
      <c r="C1428" s="13">
        <v>46238.581840648148</v>
      </c>
      <c r="D1428" s="2" t="s">
        <v>94</v>
      </c>
      <c r="E1428" s="2" t="str">
        <f t="shared" si="68"/>
        <v>Email Available</v>
      </c>
      <c r="F1428" s="2" t="s">
        <v>95</v>
      </c>
      <c r="G1428" s="2" t="s">
        <v>272</v>
      </c>
      <c r="H1428" s="2" t="s">
        <v>23</v>
      </c>
      <c r="I1428" s="2" t="s">
        <v>273</v>
      </c>
      <c r="J1428" s="2">
        <v>2</v>
      </c>
      <c r="K1428" s="2">
        <v>18.989999999999998</v>
      </c>
      <c r="L1428" s="2"/>
      <c r="M1428" s="2">
        <v>0</v>
      </c>
      <c r="N1428" s="2">
        <v>5.99</v>
      </c>
      <c r="O1428" s="2">
        <v>43.97</v>
      </c>
      <c r="P1428" s="2" t="s">
        <v>74</v>
      </c>
      <c r="Q1428" s="2" t="s">
        <v>114</v>
      </c>
      <c r="R1428" s="2" t="s">
        <v>52</v>
      </c>
      <c r="S1428" s="2" t="s">
        <v>43</v>
      </c>
      <c r="T1428" s="2"/>
      <c r="U1428" s="2" t="str">
        <f t="shared" si="67"/>
        <v>Not Required</v>
      </c>
      <c r="V1428" s="2" t="s">
        <v>1788</v>
      </c>
    </row>
    <row r="1429" spans="1:22" hidden="1" x14ac:dyDescent="0.3">
      <c r="A1429" s="2" t="s">
        <v>3864</v>
      </c>
      <c r="B1429" s="12">
        <f t="shared" si="66"/>
        <v>46238.585651504633</v>
      </c>
      <c r="C1429" s="13">
        <v>46238.585651504633</v>
      </c>
      <c r="D1429" s="2" t="s">
        <v>1098</v>
      </c>
      <c r="E1429" s="2" t="str">
        <f t="shared" si="68"/>
        <v>Email Available</v>
      </c>
      <c r="F1429" s="2" t="s">
        <v>1099</v>
      </c>
      <c r="G1429" s="2" t="s">
        <v>266</v>
      </c>
      <c r="H1429" s="2" t="s">
        <v>37</v>
      </c>
      <c r="I1429" s="2" t="s">
        <v>267</v>
      </c>
      <c r="J1429" s="2">
        <v>2</v>
      </c>
      <c r="K1429" s="2">
        <v>15.49</v>
      </c>
      <c r="L1429" s="2" t="s">
        <v>208</v>
      </c>
      <c r="M1429" s="2">
        <v>4.6500000000000004</v>
      </c>
      <c r="N1429" s="2">
        <v>7.99</v>
      </c>
      <c r="O1429" s="2" t="s">
        <v>3865</v>
      </c>
      <c r="P1429" s="2" t="s">
        <v>40</v>
      </c>
      <c r="Q1429" s="2" t="s">
        <v>28</v>
      </c>
      <c r="R1429" s="2" t="s">
        <v>52</v>
      </c>
      <c r="S1429" s="2" t="s">
        <v>30</v>
      </c>
      <c r="T1429" s="2" t="s">
        <v>69</v>
      </c>
      <c r="U1429" s="2" t="str">
        <f t="shared" si="67"/>
        <v>Valid</v>
      </c>
      <c r="V1429" s="2" t="s">
        <v>3866</v>
      </c>
    </row>
    <row r="1430" spans="1:22" hidden="1" x14ac:dyDescent="0.3">
      <c r="A1430" s="2" t="s">
        <v>3867</v>
      </c>
      <c r="B1430" s="12">
        <f t="shared" si="66"/>
        <v>46238.579526226851</v>
      </c>
      <c r="C1430" s="13">
        <v>46238.579526226851</v>
      </c>
      <c r="D1430" s="2" t="s">
        <v>1843</v>
      </c>
      <c r="E1430" s="2" t="str">
        <f t="shared" si="68"/>
        <v>Email Available</v>
      </c>
      <c r="F1430" s="2" t="s">
        <v>1844</v>
      </c>
      <c r="G1430" s="2" t="s">
        <v>65</v>
      </c>
      <c r="H1430" s="2" t="s">
        <v>49</v>
      </c>
      <c r="I1430" s="2" t="s">
        <v>66</v>
      </c>
      <c r="J1430" s="2">
        <v>1</v>
      </c>
      <c r="K1430" s="2">
        <v>14.99</v>
      </c>
      <c r="L1430" s="2"/>
      <c r="M1430" s="2">
        <v>0</v>
      </c>
      <c r="N1430" s="2">
        <v>7.99</v>
      </c>
      <c r="O1430" s="2">
        <v>22.98</v>
      </c>
      <c r="P1430" s="2" t="s">
        <v>74</v>
      </c>
      <c r="Q1430" s="2" t="s">
        <v>28</v>
      </c>
      <c r="R1430" s="2" t="s">
        <v>99</v>
      </c>
      <c r="S1430" s="2" t="s">
        <v>30</v>
      </c>
      <c r="T1430" s="2" t="s">
        <v>454</v>
      </c>
      <c r="U1430" s="2" t="str">
        <f t="shared" si="67"/>
        <v>Valid</v>
      </c>
      <c r="V1430" s="2" t="s">
        <v>3095</v>
      </c>
    </row>
    <row r="1431" spans="1:22" hidden="1" x14ac:dyDescent="0.3">
      <c r="A1431" s="2" t="s">
        <v>3868</v>
      </c>
      <c r="B1431" s="12">
        <f t="shared" si="66"/>
        <v>46238.581517465267</v>
      </c>
      <c r="C1431" s="13">
        <v>46238.581517465267</v>
      </c>
      <c r="D1431" s="2" t="s">
        <v>3869</v>
      </c>
      <c r="E1431" s="2" t="str">
        <f t="shared" si="68"/>
        <v>Email Available</v>
      </c>
      <c r="F1431" s="2" t="s">
        <v>3870</v>
      </c>
      <c r="G1431" s="2" t="s">
        <v>157</v>
      </c>
      <c r="H1431" s="2" t="s">
        <v>37</v>
      </c>
      <c r="I1431" s="2" t="s">
        <v>158</v>
      </c>
      <c r="J1431" s="2">
        <v>1</v>
      </c>
      <c r="K1431" s="2">
        <v>29.99</v>
      </c>
      <c r="L1431" s="2"/>
      <c r="M1431" s="2">
        <v>0</v>
      </c>
      <c r="N1431" s="2">
        <v>4.99</v>
      </c>
      <c r="O1431" s="2">
        <v>34.979999999999997</v>
      </c>
      <c r="P1431" s="2" t="s">
        <v>51</v>
      </c>
      <c r="Q1431" s="2" t="s">
        <v>90</v>
      </c>
      <c r="R1431" s="2" t="s">
        <v>29</v>
      </c>
      <c r="S1431" s="2" t="s">
        <v>337</v>
      </c>
      <c r="T1431" s="2"/>
      <c r="U1431" s="2" t="str">
        <f t="shared" si="67"/>
        <v>Not Required</v>
      </c>
      <c r="V1431" s="2" t="s">
        <v>3871</v>
      </c>
    </row>
    <row r="1432" spans="1:22" hidden="1" x14ac:dyDescent="0.3">
      <c r="A1432" s="2" t="s">
        <v>3872</v>
      </c>
      <c r="B1432" s="12">
        <f t="shared" si="66"/>
        <v>46238.584542766213</v>
      </c>
      <c r="C1432" s="13">
        <v>46238.584542766213</v>
      </c>
      <c r="D1432" s="2" t="s">
        <v>3873</v>
      </c>
      <c r="E1432" s="2" t="str">
        <f t="shared" si="68"/>
        <v>Email Available</v>
      </c>
      <c r="F1432" s="2" t="s">
        <v>3874</v>
      </c>
      <c r="G1432" s="2" t="s">
        <v>195</v>
      </c>
      <c r="H1432" s="2" t="s">
        <v>196</v>
      </c>
      <c r="I1432" s="2" t="s">
        <v>197</v>
      </c>
      <c r="J1432" s="2">
        <v>1</v>
      </c>
      <c r="K1432" s="2">
        <v>13.49</v>
      </c>
      <c r="L1432" s="2" t="s">
        <v>121</v>
      </c>
      <c r="M1432" s="2">
        <v>3.37</v>
      </c>
      <c r="N1432" s="2">
        <v>5.99</v>
      </c>
      <c r="O1432" s="2">
        <v>16.11</v>
      </c>
      <c r="P1432" s="2" t="s">
        <v>68</v>
      </c>
      <c r="Q1432" s="2" t="s">
        <v>28</v>
      </c>
      <c r="R1432" s="2" t="s">
        <v>99</v>
      </c>
      <c r="S1432" s="2" t="s">
        <v>30</v>
      </c>
      <c r="T1432" s="2" t="s">
        <v>60</v>
      </c>
      <c r="U1432" s="2" t="str">
        <f t="shared" si="67"/>
        <v>Valid</v>
      </c>
      <c r="V1432" s="2" t="s">
        <v>3875</v>
      </c>
    </row>
    <row r="1433" spans="1:22" hidden="1" x14ac:dyDescent="0.3">
      <c r="A1433" s="2" t="s">
        <v>3876</v>
      </c>
      <c r="B1433" s="12">
        <f t="shared" si="66"/>
        <v>46238.583369537038</v>
      </c>
      <c r="C1433" s="13">
        <v>46238.583369537038</v>
      </c>
      <c r="D1433" s="2" t="s">
        <v>637</v>
      </c>
      <c r="E1433" s="2" t="str">
        <f t="shared" si="68"/>
        <v>Email Available</v>
      </c>
      <c r="F1433" s="2" t="s">
        <v>638</v>
      </c>
      <c r="G1433" s="2" t="s">
        <v>127</v>
      </c>
      <c r="H1433" s="2" t="s">
        <v>81</v>
      </c>
      <c r="I1433" s="2" t="s">
        <v>128</v>
      </c>
      <c r="J1433" s="2">
        <v>1</v>
      </c>
      <c r="K1433" s="2" t="s">
        <v>1100</v>
      </c>
      <c r="L1433" s="2" t="s">
        <v>121</v>
      </c>
      <c r="M1433" s="2">
        <v>3.5</v>
      </c>
      <c r="N1433" s="2">
        <v>4.99</v>
      </c>
      <c r="O1433" s="2">
        <v>15.48</v>
      </c>
      <c r="P1433" s="2" t="s">
        <v>74</v>
      </c>
      <c r="Q1433" s="2" t="s">
        <v>114</v>
      </c>
      <c r="R1433" s="2" t="s">
        <v>52</v>
      </c>
      <c r="S1433" s="2" t="s">
        <v>30</v>
      </c>
      <c r="T1433" s="2" t="s">
        <v>454</v>
      </c>
      <c r="U1433" s="2" t="str">
        <f t="shared" si="67"/>
        <v>Valid</v>
      </c>
      <c r="V1433" s="2" t="s">
        <v>3877</v>
      </c>
    </row>
    <row r="1434" spans="1:22" hidden="1" x14ac:dyDescent="0.3">
      <c r="A1434" s="2" t="s">
        <v>3878</v>
      </c>
      <c r="B1434" s="12">
        <f t="shared" si="66"/>
        <v>46238.583825601847</v>
      </c>
      <c r="C1434" s="13">
        <v>46238.583825601847</v>
      </c>
      <c r="D1434" s="2" t="s">
        <v>3879</v>
      </c>
      <c r="E1434" s="2" t="str">
        <f t="shared" si="68"/>
        <v>Email Available</v>
      </c>
      <c r="F1434" s="2" t="s">
        <v>3682</v>
      </c>
      <c r="G1434" s="2" t="s">
        <v>58</v>
      </c>
      <c r="H1434" s="2" t="s">
        <v>23</v>
      </c>
      <c r="I1434" s="2" t="s">
        <v>59</v>
      </c>
      <c r="J1434" s="2">
        <v>1</v>
      </c>
      <c r="K1434" s="2">
        <v>9.99</v>
      </c>
      <c r="L1434" s="2" t="s">
        <v>25</v>
      </c>
      <c r="M1434" s="2">
        <v>2</v>
      </c>
      <c r="N1434" s="2">
        <v>7.99</v>
      </c>
      <c r="O1434" s="2">
        <v>15.98</v>
      </c>
      <c r="P1434" s="2" t="s">
        <v>51</v>
      </c>
      <c r="Q1434" s="2" t="s">
        <v>90</v>
      </c>
      <c r="R1434" s="2" t="s">
        <v>99</v>
      </c>
      <c r="S1434" s="2" t="s">
        <v>30</v>
      </c>
      <c r="T1434" s="2" t="s">
        <v>115</v>
      </c>
      <c r="U1434" s="2" t="str">
        <f t="shared" si="67"/>
        <v>Valid</v>
      </c>
      <c r="V1434" s="2" t="s">
        <v>3880</v>
      </c>
    </row>
    <row r="1435" spans="1:22" x14ac:dyDescent="0.3">
      <c r="A1435" s="2" t="s">
        <v>3881</v>
      </c>
      <c r="B1435" s="12">
        <f t="shared" si="66"/>
        <v>46238.586198252313</v>
      </c>
      <c r="C1435" s="13">
        <v>46238.586198252313</v>
      </c>
      <c r="D1435" s="2" t="s">
        <v>825</v>
      </c>
      <c r="E1435" s="2" t="str">
        <f t="shared" si="68"/>
        <v>Missing Email</v>
      </c>
      <c r="F1435" s="2"/>
      <c r="G1435" s="2" t="s">
        <v>272</v>
      </c>
      <c r="H1435" s="2" t="s">
        <v>23</v>
      </c>
      <c r="I1435" s="2" t="s">
        <v>273</v>
      </c>
      <c r="J1435" s="2">
        <v>1</v>
      </c>
      <c r="K1435" s="2">
        <v>18.989999999999998</v>
      </c>
      <c r="L1435" s="2"/>
      <c r="M1435" s="2">
        <v>0</v>
      </c>
      <c r="N1435" s="2">
        <v>7.99</v>
      </c>
      <c r="O1435" s="2">
        <v>26.98</v>
      </c>
      <c r="P1435" s="2" t="s">
        <v>40</v>
      </c>
      <c r="Q1435" s="2" t="s">
        <v>28</v>
      </c>
      <c r="R1435" s="2" t="s">
        <v>42</v>
      </c>
      <c r="S1435" s="2" t="s">
        <v>75</v>
      </c>
      <c r="T1435" s="2"/>
      <c r="U1435" s="2" t="str">
        <f t="shared" si="67"/>
        <v>Not Required</v>
      </c>
      <c r="V1435" s="2" t="s">
        <v>3882</v>
      </c>
    </row>
    <row r="1436" spans="1:22" hidden="1" x14ac:dyDescent="0.3">
      <c r="A1436" s="2" t="s">
        <v>3883</v>
      </c>
      <c r="B1436" s="12">
        <f t="shared" si="66"/>
        <v>46238.588326134261</v>
      </c>
      <c r="C1436" s="13">
        <v>46238.588326134261</v>
      </c>
      <c r="D1436" s="2" t="s">
        <v>1098</v>
      </c>
      <c r="E1436" s="2" t="str">
        <f t="shared" si="68"/>
        <v>Email Available</v>
      </c>
      <c r="F1436" s="2" t="s">
        <v>1099</v>
      </c>
      <c r="G1436" s="2" t="s">
        <v>65</v>
      </c>
      <c r="H1436" s="2" t="s">
        <v>49</v>
      </c>
      <c r="I1436" s="2" t="s">
        <v>453</v>
      </c>
      <c r="J1436" s="2">
        <v>1</v>
      </c>
      <c r="K1436" s="2">
        <v>14.99</v>
      </c>
      <c r="L1436" s="2" t="s">
        <v>121</v>
      </c>
      <c r="M1436" s="2">
        <v>3.75</v>
      </c>
      <c r="N1436" s="2">
        <v>5.99</v>
      </c>
      <c r="O1436" s="2">
        <v>17.23</v>
      </c>
      <c r="P1436" s="2" t="s">
        <v>51</v>
      </c>
      <c r="Q1436" s="2" t="s">
        <v>114</v>
      </c>
      <c r="R1436" s="2" t="s">
        <v>52</v>
      </c>
      <c r="S1436" s="2" t="s">
        <v>30</v>
      </c>
      <c r="T1436" s="2" t="s">
        <v>115</v>
      </c>
      <c r="U1436" s="2" t="str">
        <f t="shared" si="67"/>
        <v>Valid</v>
      </c>
      <c r="V1436" s="2" t="s">
        <v>3884</v>
      </c>
    </row>
    <row r="1437" spans="1:22" hidden="1" x14ac:dyDescent="0.3">
      <c r="A1437" s="2" t="s">
        <v>3885</v>
      </c>
      <c r="B1437" s="12">
        <f t="shared" si="66"/>
        <v>46238.582628194446</v>
      </c>
      <c r="C1437" s="13">
        <v>46238.582628194446</v>
      </c>
      <c r="D1437" s="2" t="s">
        <v>1261</v>
      </c>
      <c r="E1437" s="2" t="str">
        <f t="shared" si="68"/>
        <v>Email Available</v>
      </c>
      <c r="F1437" s="2" t="s">
        <v>1262</v>
      </c>
      <c r="G1437" s="2" t="s">
        <v>241</v>
      </c>
      <c r="H1437" s="2" t="s">
        <v>242</v>
      </c>
      <c r="I1437" s="2" t="s">
        <v>243</v>
      </c>
      <c r="J1437" s="2">
        <v>1</v>
      </c>
      <c r="K1437" s="2">
        <v>27.99</v>
      </c>
      <c r="L1437" s="2"/>
      <c r="M1437" s="2">
        <v>0</v>
      </c>
      <c r="N1437" s="2">
        <v>5.99</v>
      </c>
      <c r="O1437" s="2">
        <v>33.979999999999997</v>
      </c>
      <c r="P1437" s="2" t="s">
        <v>74</v>
      </c>
      <c r="Q1437" s="2" t="s">
        <v>28</v>
      </c>
      <c r="R1437" s="2" t="s">
        <v>29</v>
      </c>
      <c r="S1437" s="2" t="s">
        <v>30</v>
      </c>
      <c r="T1437" s="2" t="s">
        <v>115</v>
      </c>
      <c r="U1437" s="2" t="str">
        <f t="shared" si="67"/>
        <v>Valid</v>
      </c>
      <c r="V1437" s="2" t="s">
        <v>3886</v>
      </c>
    </row>
    <row r="1438" spans="1:22" hidden="1" x14ac:dyDescent="0.3">
      <c r="A1438" s="2" t="s">
        <v>3887</v>
      </c>
      <c r="B1438" s="12">
        <f t="shared" si="66"/>
        <v>46238.581510960648</v>
      </c>
      <c r="C1438" s="13">
        <v>46238.581510960648</v>
      </c>
      <c r="D1438" s="2" t="s">
        <v>1306</v>
      </c>
      <c r="E1438" s="2" t="str">
        <f t="shared" si="68"/>
        <v>Email Available</v>
      </c>
      <c r="F1438" s="2" t="s">
        <v>1307</v>
      </c>
      <c r="G1438" s="2" t="s">
        <v>241</v>
      </c>
      <c r="H1438" s="2" t="s">
        <v>242</v>
      </c>
      <c r="I1438" s="2" t="s">
        <v>243</v>
      </c>
      <c r="J1438" s="2">
        <v>1</v>
      </c>
      <c r="K1438" s="2">
        <v>27.99</v>
      </c>
      <c r="L1438" s="2" t="s">
        <v>67</v>
      </c>
      <c r="M1438" s="2">
        <v>2.8</v>
      </c>
      <c r="N1438" s="2">
        <v>7.99</v>
      </c>
      <c r="O1438" s="2">
        <v>33.18</v>
      </c>
      <c r="P1438" s="2" t="s">
        <v>40</v>
      </c>
      <c r="Q1438" s="2" t="s">
        <v>41</v>
      </c>
      <c r="R1438" s="2" t="s">
        <v>52</v>
      </c>
      <c r="S1438" s="2" t="s">
        <v>75</v>
      </c>
      <c r="T1438" s="2"/>
      <c r="U1438" s="2" t="str">
        <f t="shared" si="67"/>
        <v>Not Required</v>
      </c>
      <c r="V1438" s="2" t="s">
        <v>3888</v>
      </c>
    </row>
    <row r="1439" spans="1:22" hidden="1" x14ac:dyDescent="0.3">
      <c r="A1439" s="2" t="s">
        <v>3889</v>
      </c>
      <c r="B1439" s="12">
        <f t="shared" si="66"/>
        <v>46238.58262912037</v>
      </c>
      <c r="C1439" s="13">
        <v>46238.58262912037</v>
      </c>
      <c r="D1439" s="2" t="s">
        <v>1172</v>
      </c>
      <c r="E1439" s="2" t="str">
        <f t="shared" si="68"/>
        <v>Email Available</v>
      </c>
      <c r="F1439" s="2" t="s">
        <v>1173</v>
      </c>
      <c r="G1439" s="2" t="s">
        <v>58</v>
      </c>
      <c r="H1439" s="2" t="s">
        <v>23</v>
      </c>
      <c r="I1439" s="2" t="s">
        <v>59</v>
      </c>
      <c r="J1439" s="2">
        <v>1</v>
      </c>
      <c r="K1439" s="2">
        <v>9.99</v>
      </c>
      <c r="L1439" s="2" t="s">
        <v>67</v>
      </c>
      <c r="M1439" s="2">
        <v>1</v>
      </c>
      <c r="N1439" s="2">
        <v>4.99</v>
      </c>
      <c r="O1439" s="2">
        <v>13.98</v>
      </c>
      <c r="P1439" s="2" t="s">
        <v>68</v>
      </c>
      <c r="Q1439" s="2" t="s">
        <v>28</v>
      </c>
      <c r="R1439" s="2" t="s">
        <v>52</v>
      </c>
      <c r="S1439" s="2" t="s">
        <v>43</v>
      </c>
      <c r="T1439" s="2"/>
      <c r="U1439" s="2" t="str">
        <f t="shared" si="67"/>
        <v>Not Required</v>
      </c>
      <c r="V1439" s="2" t="s">
        <v>3890</v>
      </c>
    </row>
    <row r="1440" spans="1:22" hidden="1" x14ac:dyDescent="0.3">
      <c r="A1440" s="2" t="s">
        <v>3891</v>
      </c>
      <c r="B1440" s="12">
        <f t="shared" si="66"/>
        <v>46238.583923981481</v>
      </c>
      <c r="C1440" s="13">
        <v>46238.583923981481</v>
      </c>
      <c r="D1440" s="2" t="s">
        <v>424</v>
      </c>
      <c r="E1440" s="2" t="str">
        <f t="shared" si="68"/>
        <v>Email Available</v>
      </c>
      <c r="F1440" s="2" t="s">
        <v>425</v>
      </c>
      <c r="G1440" s="2" t="s">
        <v>315</v>
      </c>
      <c r="H1440" s="2" t="s">
        <v>37</v>
      </c>
      <c r="I1440" s="2" t="s">
        <v>316</v>
      </c>
      <c r="J1440" s="2">
        <v>1</v>
      </c>
      <c r="K1440" s="2">
        <v>8.99</v>
      </c>
      <c r="L1440" s="2"/>
      <c r="M1440" s="2">
        <v>0</v>
      </c>
      <c r="N1440" s="2">
        <v>5.99</v>
      </c>
      <c r="O1440" s="2">
        <v>14.98</v>
      </c>
      <c r="P1440" s="2" t="s">
        <v>68</v>
      </c>
      <c r="Q1440" s="2" t="s">
        <v>28</v>
      </c>
      <c r="R1440" s="2" t="s">
        <v>52</v>
      </c>
      <c r="S1440" s="2" t="s">
        <v>30</v>
      </c>
      <c r="T1440" s="2" t="s">
        <v>69</v>
      </c>
      <c r="U1440" s="2" t="str">
        <f t="shared" si="67"/>
        <v>Valid</v>
      </c>
      <c r="V1440" s="2" t="s">
        <v>3892</v>
      </c>
    </row>
    <row r="1441" spans="1:22" hidden="1" x14ac:dyDescent="0.3">
      <c r="A1441" s="2" t="s">
        <v>3893</v>
      </c>
      <c r="B1441" s="12">
        <f t="shared" si="66"/>
        <v>46238.582002210649</v>
      </c>
      <c r="C1441" s="13">
        <v>46238.582002210649</v>
      </c>
      <c r="D1441" s="2" t="s">
        <v>681</v>
      </c>
      <c r="E1441" s="2" t="str">
        <f t="shared" si="68"/>
        <v>Email Available</v>
      </c>
      <c r="F1441" s="2" t="s">
        <v>682</v>
      </c>
      <c r="G1441" s="2" t="s">
        <v>105</v>
      </c>
      <c r="H1441" s="2" t="s">
        <v>106</v>
      </c>
      <c r="I1441" s="2" t="s">
        <v>107</v>
      </c>
      <c r="J1441" s="2">
        <v>1</v>
      </c>
      <c r="K1441" s="2">
        <v>19.989999999999998</v>
      </c>
      <c r="L1441" s="2" t="s">
        <v>121</v>
      </c>
      <c r="M1441" s="2">
        <v>5</v>
      </c>
      <c r="N1441" s="2">
        <v>5.99</v>
      </c>
      <c r="O1441" s="2">
        <v>20.98</v>
      </c>
      <c r="P1441" s="2" t="s">
        <v>40</v>
      </c>
      <c r="Q1441" s="2" t="s">
        <v>114</v>
      </c>
      <c r="R1441" s="2" t="s">
        <v>42</v>
      </c>
      <c r="S1441" s="2" t="s">
        <v>75</v>
      </c>
      <c r="T1441" s="2"/>
      <c r="U1441" s="2" t="str">
        <f t="shared" si="67"/>
        <v>Not Required</v>
      </c>
      <c r="V1441" s="2" t="s">
        <v>3894</v>
      </c>
    </row>
    <row r="1442" spans="1:22" x14ac:dyDescent="0.3">
      <c r="A1442" s="2" t="s">
        <v>3895</v>
      </c>
      <c r="B1442" s="12">
        <f t="shared" si="66"/>
        <v>46238</v>
      </c>
      <c r="C1442" s="13" t="s">
        <v>255</v>
      </c>
      <c r="D1442" s="2" t="s">
        <v>3508</v>
      </c>
      <c r="E1442" s="2" t="str">
        <f t="shared" si="68"/>
        <v>Missing Email</v>
      </c>
      <c r="F1442" s="2"/>
      <c r="G1442" s="2" t="s">
        <v>226</v>
      </c>
      <c r="H1442" s="2" t="s">
        <v>23</v>
      </c>
      <c r="I1442" s="2" t="s">
        <v>227</v>
      </c>
      <c r="J1442" s="2">
        <v>1</v>
      </c>
      <c r="K1442" s="2">
        <v>17.989999999999998</v>
      </c>
      <c r="L1442" s="2" t="s">
        <v>208</v>
      </c>
      <c r="M1442" s="2">
        <v>2.7</v>
      </c>
      <c r="N1442" s="2">
        <v>5.99</v>
      </c>
      <c r="O1442" s="2">
        <v>21.28</v>
      </c>
      <c r="P1442" s="2" t="s">
        <v>27</v>
      </c>
      <c r="Q1442" s="2" t="s">
        <v>28</v>
      </c>
      <c r="R1442" s="2" t="s">
        <v>52</v>
      </c>
      <c r="S1442" s="2" t="s">
        <v>337</v>
      </c>
      <c r="T1442" s="2"/>
      <c r="U1442" s="2" t="str">
        <f t="shared" si="67"/>
        <v>Not Required</v>
      </c>
      <c r="V1442" s="2" t="s">
        <v>3896</v>
      </c>
    </row>
    <row r="1443" spans="1:22" hidden="1" x14ac:dyDescent="0.3">
      <c r="A1443" s="2" t="s">
        <v>3897</v>
      </c>
      <c r="B1443" s="12">
        <f t="shared" si="66"/>
        <v>46238.581776238418</v>
      </c>
      <c r="C1443" s="13">
        <v>46238.581776238418</v>
      </c>
      <c r="D1443" s="2" t="s">
        <v>424</v>
      </c>
      <c r="E1443" s="2" t="str">
        <f t="shared" si="68"/>
        <v>Email Available</v>
      </c>
      <c r="F1443" s="2" t="s">
        <v>425</v>
      </c>
      <c r="G1443" s="2" t="s">
        <v>36</v>
      </c>
      <c r="H1443" s="2" t="s">
        <v>37</v>
      </c>
      <c r="I1443" s="2" t="s">
        <v>38</v>
      </c>
      <c r="J1443" s="2">
        <v>1</v>
      </c>
      <c r="K1443" s="2">
        <v>21.99</v>
      </c>
      <c r="L1443" s="2" t="s">
        <v>208</v>
      </c>
      <c r="M1443" s="2">
        <v>3.3</v>
      </c>
      <c r="N1443" s="2">
        <v>7.99</v>
      </c>
      <c r="O1443" s="2">
        <v>26.68</v>
      </c>
      <c r="P1443" s="2" t="s">
        <v>74</v>
      </c>
      <c r="Q1443" s="2" t="s">
        <v>28</v>
      </c>
      <c r="R1443" s="2" t="s">
        <v>52</v>
      </c>
      <c r="S1443" s="2" t="s">
        <v>30</v>
      </c>
      <c r="T1443" s="2" t="s">
        <v>31</v>
      </c>
      <c r="U1443" s="2" t="str">
        <f t="shared" si="67"/>
        <v>Valid</v>
      </c>
      <c r="V1443" s="2" t="s">
        <v>3898</v>
      </c>
    </row>
    <row r="1444" spans="1:22" hidden="1" x14ac:dyDescent="0.3">
      <c r="A1444" s="2" t="s">
        <v>3899</v>
      </c>
      <c r="B1444" s="12">
        <f t="shared" si="66"/>
        <v>46238</v>
      </c>
      <c r="C1444" s="13" t="s">
        <v>1574</v>
      </c>
      <c r="D1444" s="2" t="s">
        <v>1220</v>
      </c>
      <c r="E1444" s="2" t="str">
        <f t="shared" si="68"/>
        <v>Email Available</v>
      </c>
      <c r="F1444" s="2" t="s">
        <v>1221</v>
      </c>
      <c r="G1444" s="2" t="s">
        <v>171</v>
      </c>
      <c r="H1444" s="2" t="s">
        <v>106</v>
      </c>
      <c r="I1444" s="2" t="s">
        <v>172</v>
      </c>
      <c r="J1444" s="2">
        <v>4</v>
      </c>
      <c r="K1444" s="2">
        <v>32.99</v>
      </c>
      <c r="L1444" s="2" t="s">
        <v>67</v>
      </c>
      <c r="M1444" s="2">
        <v>13.2</v>
      </c>
      <c r="N1444" s="2">
        <v>0</v>
      </c>
      <c r="O1444" s="2">
        <v>118.76</v>
      </c>
      <c r="P1444" s="2" t="s">
        <v>40</v>
      </c>
      <c r="Q1444" s="2" t="s">
        <v>114</v>
      </c>
      <c r="R1444" s="2" t="s">
        <v>99</v>
      </c>
      <c r="S1444" s="2" t="s">
        <v>75</v>
      </c>
      <c r="T1444" s="2"/>
      <c r="U1444" s="2" t="str">
        <f t="shared" si="67"/>
        <v>Not Required</v>
      </c>
      <c r="V1444" s="2" t="s">
        <v>862</v>
      </c>
    </row>
    <row r="1445" spans="1:22" hidden="1" x14ac:dyDescent="0.3">
      <c r="A1445" s="2" t="s">
        <v>3900</v>
      </c>
      <c r="B1445" s="12">
        <f t="shared" si="66"/>
        <v>46238.585516620369</v>
      </c>
      <c r="C1445" s="13">
        <v>46238.585516620369</v>
      </c>
      <c r="D1445" s="2" t="s">
        <v>63</v>
      </c>
      <c r="E1445" s="2" t="str">
        <f t="shared" si="68"/>
        <v>Email Available</v>
      </c>
      <c r="F1445" s="2" t="s">
        <v>64</v>
      </c>
      <c r="G1445" s="2" t="s">
        <v>65</v>
      </c>
      <c r="H1445" s="2" t="s">
        <v>49</v>
      </c>
      <c r="I1445" s="2" t="s">
        <v>453</v>
      </c>
      <c r="J1445" s="2">
        <v>1</v>
      </c>
      <c r="K1445" s="2">
        <v>14.99</v>
      </c>
      <c r="L1445" s="2" t="s">
        <v>39</v>
      </c>
      <c r="M1445" s="2">
        <v>0</v>
      </c>
      <c r="N1445" s="2">
        <v>0</v>
      </c>
      <c r="O1445" s="2" t="s">
        <v>1485</v>
      </c>
      <c r="P1445" s="2" t="s">
        <v>27</v>
      </c>
      <c r="Q1445" s="2" t="s">
        <v>41</v>
      </c>
      <c r="R1445" s="2" t="s">
        <v>52</v>
      </c>
      <c r="S1445" s="2" t="s">
        <v>30</v>
      </c>
      <c r="T1445" s="2" t="s">
        <v>939</v>
      </c>
      <c r="U1445" s="2" t="str">
        <f t="shared" si="67"/>
        <v>Valid</v>
      </c>
      <c r="V1445" s="2" t="s">
        <v>3901</v>
      </c>
    </row>
    <row r="1446" spans="1:22" hidden="1" x14ac:dyDescent="0.3">
      <c r="A1446" s="2" t="s">
        <v>3902</v>
      </c>
      <c r="B1446" s="12">
        <f t="shared" si="66"/>
        <v>46238.58191390046</v>
      </c>
      <c r="C1446" s="13">
        <v>46238.58191390046</v>
      </c>
      <c r="D1446" s="2" t="s">
        <v>1368</v>
      </c>
      <c r="E1446" s="2" t="str">
        <f t="shared" si="68"/>
        <v>Email Available</v>
      </c>
      <c r="F1446" s="2" t="s">
        <v>1369</v>
      </c>
      <c r="G1446" s="2" t="s">
        <v>195</v>
      </c>
      <c r="H1446" s="2" t="s">
        <v>196</v>
      </c>
      <c r="I1446" s="2" t="s">
        <v>197</v>
      </c>
      <c r="J1446" s="2">
        <v>1</v>
      </c>
      <c r="K1446" s="2">
        <v>13.49</v>
      </c>
      <c r="L1446" s="2"/>
      <c r="M1446" s="2">
        <v>0</v>
      </c>
      <c r="N1446" s="2">
        <v>4.99</v>
      </c>
      <c r="O1446" s="2">
        <v>18.48</v>
      </c>
      <c r="P1446" s="2" t="s">
        <v>27</v>
      </c>
      <c r="Q1446" s="2" t="s">
        <v>28</v>
      </c>
      <c r="R1446" s="2" t="s">
        <v>99</v>
      </c>
      <c r="S1446" s="2" t="s">
        <v>43</v>
      </c>
      <c r="T1446" s="2"/>
      <c r="U1446" s="2" t="str">
        <f t="shared" si="67"/>
        <v>Not Required</v>
      </c>
      <c r="V1446" s="2" t="s">
        <v>3903</v>
      </c>
    </row>
    <row r="1447" spans="1:22" hidden="1" x14ac:dyDescent="0.3">
      <c r="A1447" s="2" t="s">
        <v>3904</v>
      </c>
      <c r="B1447" s="12">
        <f t="shared" si="66"/>
        <v>46238.579140277783</v>
      </c>
      <c r="C1447" s="13">
        <v>46238.579140277783</v>
      </c>
      <c r="D1447" s="2" t="s">
        <v>131</v>
      </c>
      <c r="E1447" s="2" t="str">
        <f t="shared" si="68"/>
        <v>Email Available</v>
      </c>
      <c r="F1447" s="2" t="s">
        <v>132</v>
      </c>
      <c r="G1447" s="2" t="s">
        <v>48</v>
      </c>
      <c r="H1447" s="2" t="s">
        <v>49</v>
      </c>
      <c r="I1447" s="2" t="s">
        <v>50</v>
      </c>
      <c r="J1447" s="2">
        <v>1</v>
      </c>
      <c r="K1447" s="2" t="s">
        <v>1513</v>
      </c>
      <c r="L1447" s="2" t="s">
        <v>121</v>
      </c>
      <c r="M1447" s="2">
        <v>10</v>
      </c>
      <c r="N1447" s="2">
        <v>5.99</v>
      </c>
      <c r="O1447" s="2">
        <v>35.979999999999997</v>
      </c>
      <c r="P1447" s="2" t="s">
        <v>40</v>
      </c>
      <c r="Q1447" s="2" t="s">
        <v>41</v>
      </c>
      <c r="R1447" s="2" t="s">
        <v>42</v>
      </c>
      <c r="S1447" s="2" t="s">
        <v>30</v>
      </c>
      <c r="T1447" s="2" t="s">
        <v>53</v>
      </c>
      <c r="U1447" s="2" t="str">
        <f t="shared" si="67"/>
        <v>Valid</v>
      </c>
      <c r="V1447" s="2" t="s">
        <v>3905</v>
      </c>
    </row>
    <row r="1448" spans="1:22" hidden="1" x14ac:dyDescent="0.3">
      <c r="A1448" s="2" t="s">
        <v>3906</v>
      </c>
      <c r="B1448" s="12">
        <f t="shared" si="66"/>
        <v>46238</v>
      </c>
      <c r="C1448" s="13" t="s">
        <v>148</v>
      </c>
      <c r="D1448" s="2" t="s">
        <v>3907</v>
      </c>
      <c r="E1448" s="2" t="str">
        <f t="shared" si="68"/>
        <v>Email Available</v>
      </c>
      <c r="F1448" s="2" t="s">
        <v>3908</v>
      </c>
      <c r="G1448" s="2" t="s">
        <v>105</v>
      </c>
      <c r="H1448" s="2" t="s">
        <v>106</v>
      </c>
      <c r="I1448" s="2" t="s">
        <v>107</v>
      </c>
      <c r="J1448" s="2">
        <v>1</v>
      </c>
      <c r="K1448" s="2">
        <v>19.989999999999998</v>
      </c>
      <c r="L1448" s="2" t="s">
        <v>25</v>
      </c>
      <c r="M1448" s="2">
        <v>4</v>
      </c>
      <c r="N1448" s="2">
        <v>7.99</v>
      </c>
      <c r="O1448" s="2">
        <v>23.98</v>
      </c>
      <c r="P1448" s="2" t="s">
        <v>27</v>
      </c>
      <c r="Q1448" s="2" t="s">
        <v>28</v>
      </c>
      <c r="R1448" s="2" t="s">
        <v>29</v>
      </c>
      <c r="S1448" s="2" t="s">
        <v>30</v>
      </c>
      <c r="T1448" s="2" t="s">
        <v>69</v>
      </c>
      <c r="U1448" s="2" t="str">
        <f t="shared" si="67"/>
        <v>Valid</v>
      </c>
      <c r="V1448" s="2" t="s">
        <v>3909</v>
      </c>
    </row>
    <row r="1449" spans="1:22" hidden="1" x14ac:dyDescent="0.3">
      <c r="A1449" s="2" t="s">
        <v>3910</v>
      </c>
      <c r="B1449" s="12">
        <f t="shared" si="66"/>
        <v>46238.579505347217</v>
      </c>
      <c r="C1449" s="13">
        <v>46238.579505347217</v>
      </c>
      <c r="D1449" s="2" t="s">
        <v>610</v>
      </c>
      <c r="E1449" s="2" t="str">
        <f t="shared" si="68"/>
        <v>Email Available</v>
      </c>
      <c r="F1449" s="2" t="s">
        <v>611</v>
      </c>
      <c r="G1449" s="2" t="s">
        <v>241</v>
      </c>
      <c r="H1449" s="2" t="s">
        <v>242</v>
      </c>
      <c r="I1449" s="2" t="s">
        <v>243</v>
      </c>
      <c r="J1449" s="2">
        <v>2</v>
      </c>
      <c r="K1449" s="2">
        <v>27.99</v>
      </c>
      <c r="L1449" s="2" t="s">
        <v>208</v>
      </c>
      <c r="M1449" s="2" t="s">
        <v>3911</v>
      </c>
      <c r="N1449" s="2">
        <v>4.99</v>
      </c>
      <c r="O1449" s="2" t="s">
        <v>3912</v>
      </c>
      <c r="P1449" s="2" t="s">
        <v>68</v>
      </c>
      <c r="Q1449" s="2" t="s">
        <v>90</v>
      </c>
      <c r="R1449" s="2" t="s">
        <v>52</v>
      </c>
      <c r="S1449" s="2" t="s">
        <v>43</v>
      </c>
      <c r="T1449" s="2"/>
      <c r="U1449" s="2" t="str">
        <f t="shared" si="67"/>
        <v>Not Required</v>
      </c>
      <c r="V1449" s="2" t="s">
        <v>3913</v>
      </c>
    </row>
    <row r="1450" spans="1:22" hidden="1" x14ac:dyDescent="0.3">
      <c r="A1450" s="2" t="s">
        <v>3914</v>
      </c>
      <c r="B1450" s="12">
        <f t="shared" si="66"/>
        <v>46238.579314490737</v>
      </c>
      <c r="C1450" s="13">
        <v>46238.579314490737</v>
      </c>
      <c r="D1450" s="2" t="s">
        <v>297</v>
      </c>
      <c r="E1450" s="2" t="str">
        <f t="shared" si="68"/>
        <v>Email Available</v>
      </c>
      <c r="F1450" s="2" t="s">
        <v>298</v>
      </c>
      <c r="G1450" s="2" t="s">
        <v>1256</v>
      </c>
      <c r="H1450" s="2" t="s">
        <v>37</v>
      </c>
      <c r="I1450" s="2" t="s">
        <v>316</v>
      </c>
      <c r="J1450" s="2">
        <v>1</v>
      </c>
      <c r="K1450" s="2">
        <v>8.99</v>
      </c>
      <c r="L1450" s="2"/>
      <c r="M1450" s="2" t="s">
        <v>189</v>
      </c>
      <c r="N1450" s="2">
        <v>7.99</v>
      </c>
      <c r="O1450" s="2">
        <v>16.98</v>
      </c>
      <c r="P1450" s="2" t="s">
        <v>74</v>
      </c>
      <c r="Q1450" s="2" t="s">
        <v>28</v>
      </c>
      <c r="R1450" s="2" t="s">
        <v>52</v>
      </c>
      <c r="S1450" s="2" t="s">
        <v>228</v>
      </c>
      <c r="T1450" s="2"/>
      <c r="U1450" s="2" t="str">
        <f t="shared" si="67"/>
        <v>Not Required</v>
      </c>
      <c r="V1450" s="2" t="s">
        <v>3915</v>
      </c>
    </row>
    <row r="1451" spans="1:22" hidden="1" x14ac:dyDescent="0.3">
      <c r="A1451" s="2" t="s">
        <v>3916</v>
      </c>
      <c r="B1451" s="12">
        <f t="shared" si="66"/>
        <v>46238.587350902781</v>
      </c>
      <c r="C1451" s="13">
        <v>46238.587350902781</v>
      </c>
      <c r="D1451" s="2" t="s">
        <v>1049</v>
      </c>
      <c r="E1451" s="2" t="str">
        <f t="shared" si="68"/>
        <v>Email Available</v>
      </c>
      <c r="F1451" s="2" t="s">
        <v>1050</v>
      </c>
      <c r="G1451" s="2" t="s">
        <v>120</v>
      </c>
      <c r="H1451" s="2" t="s">
        <v>23</v>
      </c>
      <c r="I1451" s="2" t="s">
        <v>24</v>
      </c>
      <c r="J1451" s="2">
        <v>3</v>
      </c>
      <c r="K1451" s="2" t="s">
        <v>1163</v>
      </c>
      <c r="L1451" s="2"/>
      <c r="M1451" s="2">
        <v>0</v>
      </c>
      <c r="N1451" s="2">
        <v>4.99</v>
      </c>
      <c r="O1451" s="2">
        <v>43.96</v>
      </c>
      <c r="P1451" s="2" t="s">
        <v>74</v>
      </c>
      <c r="Q1451" s="2" t="s">
        <v>28</v>
      </c>
      <c r="R1451" s="2" t="s">
        <v>52</v>
      </c>
      <c r="S1451" s="2" t="s">
        <v>30</v>
      </c>
      <c r="T1451" s="2" t="s">
        <v>53</v>
      </c>
      <c r="U1451" s="2" t="str">
        <f t="shared" si="67"/>
        <v>Valid</v>
      </c>
      <c r="V1451" s="2" t="s">
        <v>3917</v>
      </c>
    </row>
    <row r="1452" spans="1:22" hidden="1" x14ac:dyDescent="0.3">
      <c r="A1452" s="2" t="s">
        <v>3918</v>
      </c>
      <c r="B1452" s="12">
        <f t="shared" si="66"/>
        <v>46238.585198321758</v>
      </c>
      <c r="C1452" s="13">
        <v>46238.585198321758</v>
      </c>
      <c r="D1452" s="2" t="s">
        <v>1475</v>
      </c>
      <c r="E1452" s="2" t="str">
        <f t="shared" si="68"/>
        <v>Email Available</v>
      </c>
      <c r="F1452" s="2" t="s">
        <v>1298</v>
      </c>
      <c r="G1452" s="2" t="s">
        <v>266</v>
      </c>
      <c r="H1452" s="2" t="s">
        <v>37</v>
      </c>
      <c r="I1452" s="2" t="s">
        <v>267</v>
      </c>
      <c r="J1452" s="2">
        <v>1</v>
      </c>
      <c r="K1452" s="2">
        <v>15.49</v>
      </c>
      <c r="L1452" s="2"/>
      <c r="M1452" s="2">
        <v>0</v>
      </c>
      <c r="N1452" s="2">
        <v>5.99</v>
      </c>
      <c r="O1452" s="2">
        <v>21.48</v>
      </c>
      <c r="P1452" s="2" t="s">
        <v>74</v>
      </c>
      <c r="Q1452" s="2" t="s">
        <v>114</v>
      </c>
      <c r="R1452" s="2" t="s">
        <v>29</v>
      </c>
      <c r="S1452" s="2" t="s">
        <v>30</v>
      </c>
      <c r="T1452" s="2" t="s">
        <v>1135</v>
      </c>
      <c r="U1452" s="2" t="str">
        <f t="shared" si="67"/>
        <v>Valid</v>
      </c>
      <c r="V1452" s="2" t="s">
        <v>3919</v>
      </c>
    </row>
    <row r="1453" spans="1:22" hidden="1" x14ac:dyDescent="0.3">
      <c r="A1453" s="2" t="s">
        <v>3920</v>
      </c>
      <c r="B1453" s="12">
        <f t="shared" si="66"/>
        <v>46238</v>
      </c>
      <c r="C1453" s="13" t="s">
        <v>148</v>
      </c>
      <c r="D1453" s="2" t="s">
        <v>1284</v>
      </c>
      <c r="E1453" s="2" t="str">
        <f t="shared" si="68"/>
        <v>Email Available</v>
      </c>
      <c r="F1453" s="2" t="s">
        <v>1285</v>
      </c>
      <c r="G1453" s="2" t="s">
        <v>226</v>
      </c>
      <c r="H1453" s="2" t="s">
        <v>23</v>
      </c>
      <c r="I1453" s="2" t="s">
        <v>227</v>
      </c>
      <c r="J1453" s="2">
        <v>1</v>
      </c>
      <c r="K1453" s="2">
        <v>17.989999999999998</v>
      </c>
      <c r="L1453" s="2" t="s">
        <v>39</v>
      </c>
      <c r="M1453" s="2">
        <v>0</v>
      </c>
      <c r="N1453" s="2">
        <v>0</v>
      </c>
      <c r="O1453" s="2">
        <v>17.989999999999998</v>
      </c>
      <c r="P1453" s="2" t="s">
        <v>27</v>
      </c>
      <c r="Q1453" s="2" t="s">
        <v>114</v>
      </c>
      <c r="R1453" s="2" t="s">
        <v>29</v>
      </c>
      <c r="S1453" s="2" t="s">
        <v>30</v>
      </c>
      <c r="T1453" s="2" t="s">
        <v>115</v>
      </c>
      <c r="U1453" s="2" t="str">
        <f t="shared" si="67"/>
        <v>Valid</v>
      </c>
      <c r="V1453" s="2" t="s">
        <v>3921</v>
      </c>
    </row>
    <row r="1454" spans="1:22" hidden="1" x14ac:dyDescent="0.3">
      <c r="A1454" s="2" t="s">
        <v>3922</v>
      </c>
      <c r="B1454" s="12">
        <f t="shared" si="66"/>
        <v>46120</v>
      </c>
      <c r="C1454" s="13" t="s">
        <v>142</v>
      </c>
      <c r="D1454" s="2" t="s">
        <v>3240</v>
      </c>
      <c r="E1454" s="2" t="str">
        <f t="shared" si="68"/>
        <v>Email Available</v>
      </c>
      <c r="F1454" s="2" t="s">
        <v>3241</v>
      </c>
      <c r="G1454" s="2" t="s">
        <v>133</v>
      </c>
      <c r="H1454" s="2" t="s">
        <v>106</v>
      </c>
      <c r="I1454" s="2" t="s">
        <v>134</v>
      </c>
      <c r="J1454" s="2">
        <v>3</v>
      </c>
      <c r="K1454" s="2">
        <v>16.989999999999998</v>
      </c>
      <c r="L1454" s="2" t="s">
        <v>208</v>
      </c>
      <c r="M1454" s="2">
        <v>7.65</v>
      </c>
      <c r="N1454" s="2">
        <v>5.99</v>
      </c>
      <c r="O1454" s="2" t="s">
        <v>3923</v>
      </c>
      <c r="P1454" s="2" t="s">
        <v>27</v>
      </c>
      <c r="Q1454" s="2" t="s">
        <v>28</v>
      </c>
      <c r="R1454" s="2" t="s">
        <v>52</v>
      </c>
      <c r="S1454" s="2" t="s">
        <v>108</v>
      </c>
      <c r="T1454" s="2"/>
      <c r="U1454" s="2" t="str">
        <f t="shared" si="67"/>
        <v>Not Required</v>
      </c>
      <c r="V1454" s="2" t="s">
        <v>3924</v>
      </c>
    </row>
    <row r="1455" spans="1:22" hidden="1" x14ac:dyDescent="0.3">
      <c r="A1455" s="2" t="s">
        <v>3925</v>
      </c>
      <c r="B1455" s="12">
        <f t="shared" si="66"/>
        <v>46238</v>
      </c>
      <c r="C1455" s="13" t="s">
        <v>148</v>
      </c>
      <c r="D1455" s="2" t="s">
        <v>1907</v>
      </c>
      <c r="E1455" s="2" t="str">
        <f t="shared" si="68"/>
        <v>Email Available</v>
      </c>
      <c r="F1455" s="2" t="s">
        <v>1908</v>
      </c>
      <c r="G1455" s="2" t="s">
        <v>226</v>
      </c>
      <c r="H1455" s="2" t="s">
        <v>23</v>
      </c>
      <c r="I1455" s="2" t="s">
        <v>227</v>
      </c>
      <c r="J1455" s="2">
        <v>2</v>
      </c>
      <c r="K1455" s="2">
        <v>17.989999999999998</v>
      </c>
      <c r="L1455" s="2"/>
      <c r="M1455" s="2">
        <v>0</v>
      </c>
      <c r="N1455" s="2">
        <v>4.99</v>
      </c>
      <c r="O1455" s="2">
        <v>40.97</v>
      </c>
      <c r="P1455" s="2" t="s">
        <v>68</v>
      </c>
      <c r="Q1455" s="2" t="s">
        <v>114</v>
      </c>
      <c r="R1455" s="2" t="s">
        <v>99</v>
      </c>
      <c r="S1455" s="2" t="s">
        <v>228</v>
      </c>
      <c r="T1455" s="2"/>
      <c r="U1455" s="2" t="str">
        <f t="shared" si="67"/>
        <v>Not Required</v>
      </c>
      <c r="V1455" s="2" t="s">
        <v>1688</v>
      </c>
    </row>
    <row r="1456" spans="1:22" hidden="1" x14ac:dyDescent="0.3">
      <c r="A1456" s="2" t="s">
        <v>3926</v>
      </c>
      <c r="B1456" s="12">
        <f t="shared" si="66"/>
        <v>46238.585178043977</v>
      </c>
      <c r="C1456" s="13">
        <v>46238.585178043977</v>
      </c>
      <c r="D1456" s="2" t="s">
        <v>3927</v>
      </c>
      <c r="E1456" s="2" t="str">
        <f t="shared" si="68"/>
        <v>Email Available</v>
      </c>
      <c r="F1456" s="2" t="s">
        <v>3928</v>
      </c>
      <c r="G1456" s="2" t="s">
        <v>65</v>
      </c>
      <c r="H1456" s="2" t="s">
        <v>49</v>
      </c>
      <c r="I1456" s="2" t="s">
        <v>453</v>
      </c>
      <c r="J1456" s="2">
        <v>1</v>
      </c>
      <c r="K1456" s="2">
        <v>14.99</v>
      </c>
      <c r="L1456" s="2" t="s">
        <v>121</v>
      </c>
      <c r="M1456" s="2">
        <v>3.75</v>
      </c>
      <c r="N1456" s="2">
        <v>4.99</v>
      </c>
      <c r="O1456" s="2">
        <v>16.23</v>
      </c>
      <c r="P1456" s="2" t="s">
        <v>27</v>
      </c>
      <c r="Q1456" s="2" t="s">
        <v>28</v>
      </c>
      <c r="R1456" s="2" t="s">
        <v>99</v>
      </c>
      <c r="S1456" s="2" t="s">
        <v>30</v>
      </c>
      <c r="T1456" s="2" t="s">
        <v>115</v>
      </c>
      <c r="U1456" s="2" t="str">
        <f t="shared" si="67"/>
        <v>Valid</v>
      </c>
      <c r="V1456" s="2" t="s">
        <v>3929</v>
      </c>
    </row>
    <row r="1457" spans="1:22" hidden="1" x14ac:dyDescent="0.3">
      <c r="A1457" s="2" t="s">
        <v>3932</v>
      </c>
      <c r="B1457" s="12">
        <f t="shared" si="66"/>
        <v>46238.585351493057</v>
      </c>
      <c r="C1457" s="13">
        <v>46238.585351493057</v>
      </c>
      <c r="D1457" s="2" t="s">
        <v>610</v>
      </c>
      <c r="E1457" s="2" t="str">
        <f t="shared" si="68"/>
        <v>Email Available</v>
      </c>
      <c r="F1457" s="2" t="s">
        <v>611</v>
      </c>
      <c r="G1457" s="2" t="s">
        <v>36</v>
      </c>
      <c r="H1457" s="2" t="s">
        <v>37</v>
      </c>
      <c r="I1457" s="2" t="s">
        <v>38</v>
      </c>
      <c r="J1457" s="2">
        <v>1</v>
      </c>
      <c r="K1457" s="2">
        <v>21.99</v>
      </c>
      <c r="L1457" s="2" t="s">
        <v>121</v>
      </c>
      <c r="M1457" s="2">
        <v>5.5</v>
      </c>
      <c r="N1457" s="2">
        <v>7.99</v>
      </c>
      <c r="O1457" s="2">
        <v>24.48</v>
      </c>
      <c r="P1457" s="2" t="s">
        <v>27</v>
      </c>
      <c r="Q1457" s="2" t="s">
        <v>28</v>
      </c>
      <c r="R1457" s="2" t="s">
        <v>52</v>
      </c>
      <c r="S1457" s="2" t="s">
        <v>43</v>
      </c>
      <c r="T1457" s="2"/>
      <c r="U1457" s="2" t="str">
        <f t="shared" si="67"/>
        <v>Not Required</v>
      </c>
      <c r="V1457" s="2" t="s">
        <v>3933</v>
      </c>
    </row>
    <row r="1458" spans="1:22" hidden="1" x14ac:dyDescent="0.3">
      <c r="A1458" s="2" t="s">
        <v>3934</v>
      </c>
      <c r="B1458" s="12">
        <f t="shared" si="66"/>
        <v>46238.584232928239</v>
      </c>
      <c r="C1458" s="13">
        <v>46238.584232928239</v>
      </c>
      <c r="D1458" s="2" t="s">
        <v>1560</v>
      </c>
      <c r="E1458" s="2" t="str">
        <f t="shared" si="68"/>
        <v>Email Available</v>
      </c>
      <c r="F1458" s="2" t="s">
        <v>1561</v>
      </c>
      <c r="G1458" s="2" t="s">
        <v>151</v>
      </c>
      <c r="H1458" s="2" t="s">
        <v>49</v>
      </c>
      <c r="I1458" s="2" t="s">
        <v>152</v>
      </c>
      <c r="J1458" s="2">
        <v>1</v>
      </c>
      <c r="K1458" s="2">
        <v>34.99</v>
      </c>
      <c r="L1458" s="2" t="s">
        <v>25</v>
      </c>
      <c r="M1458" s="2" t="s">
        <v>3935</v>
      </c>
      <c r="N1458" s="2">
        <v>4.99</v>
      </c>
      <c r="O1458" s="2">
        <v>32.979999999999997</v>
      </c>
      <c r="P1458" s="2" t="s">
        <v>40</v>
      </c>
      <c r="Q1458" s="2" t="s">
        <v>28</v>
      </c>
      <c r="R1458" s="2" t="s">
        <v>29</v>
      </c>
      <c r="S1458" s="2" t="s">
        <v>30</v>
      </c>
      <c r="T1458" s="2" t="s">
        <v>53</v>
      </c>
      <c r="U1458" s="2" t="str">
        <f t="shared" si="67"/>
        <v>Valid</v>
      </c>
      <c r="V1458" s="2" t="s">
        <v>3936</v>
      </c>
    </row>
    <row r="1459" spans="1:22" hidden="1" x14ac:dyDescent="0.3">
      <c r="A1459" s="2" t="s">
        <v>3937</v>
      </c>
      <c r="B1459" s="12">
        <f t="shared" si="66"/>
        <v>46238.579006261571</v>
      </c>
      <c r="C1459" s="13">
        <v>46238.579006261571</v>
      </c>
      <c r="D1459" s="2" t="s">
        <v>993</v>
      </c>
      <c r="E1459" s="2" t="str">
        <f t="shared" si="68"/>
        <v>Email Available</v>
      </c>
      <c r="F1459" s="2" t="s">
        <v>678</v>
      </c>
      <c r="G1459" s="2" t="s">
        <v>65</v>
      </c>
      <c r="H1459" s="2" t="s">
        <v>49</v>
      </c>
      <c r="I1459" s="2" t="s">
        <v>66</v>
      </c>
      <c r="J1459" s="2">
        <v>1</v>
      </c>
      <c r="K1459" s="2">
        <v>14.99</v>
      </c>
      <c r="L1459" s="2"/>
      <c r="M1459" s="2">
        <v>0</v>
      </c>
      <c r="N1459" s="2">
        <v>7.99</v>
      </c>
      <c r="O1459" s="2">
        <v>22.98</v>
      </c>
      <c r="P1459" s="2" t="s">
        <v>51</v>
      </c>
      <c r="Q1459" s="2" t="s">
        <v>28</v>
      </c>
      <c r="R1459" s="2" t="s">
        <v>99</v>
      </c>
      <c r="S1459" s="2" t="s">
        <v>30</v>
      </c>
      <c r="T1459" s="2" t="s">
        <v>347</v>
      </c>
      <c r="U1459" s="2" t="str">
        <f t="shared" si="67"/>
        <v>Valid</v>
      </c>
      <c r="V1459" s="2" t="s">
        <v>2455</v>
      </c>
    </row>
    <row r="1460" spans="1:22" hidden="1" x14ac:dyDescent="0.3">
      <c r="A1460" s="2" t="s">
        <v>3938</v>
      </c>
      <c r="B1460" s="12">
        <f t="shared" si="66"/>
        <v>46238.587453368047</v>
      </c>
      <c r="C1460" s="13">
        <v>46238.587453368047</v>
      </c>
      <c r="D1460" s="2" t="s">
        <v>565</v>
      </c>
      <c r="E1460" s="2" t="str">
        <f t="shared" si="68"/>
        <v>Email Available</v>
      </c>
      <c r="F1460" s="2" t="s">
        <v>566</v>
      </c>
      <c r="G1460" s="2" t="s">
        <v>272</v>
      </c>
      <c r="H1460" s="2" t="s">
        <v>23</v>
      </c>
      <c r="I1460" s="2" t="s">
        <v>273</v>
      </c>
      <c r="J1460" s="2">
        <v>1</v>
      </c>
      <c r="K1460" s="2">
        <v>18.989999999999998</v>
      </c>
      <c r="L1460" s="2" t="s">
        <v>67</v>
      </c>
      <c r="M1460" s="2" t="s">
        <v>602</v>
      </c>
      <c r="N1460" s="2">
        <v>4.99</v>
      </c>
      <c r="O1460" s="2">
        <v>22.08</v>
      </c>
      <c r="P1460" s="2" t="s">
        <v>68</v>
      </c>
      <c r="Q1460" s="2" t="s">
        <v>28</v>
      </c>
      <c r="R1460" s="2" t="s">
        <v>52</v>
      </c>
      <c r="S1460" s="2" t="s">
        <v>43</v>
      </c>
      <c r="T1460" s="2"/>
      <c r="U1460" s="2" t="str">
        <f t="shared" si="67"/>
        <v>Not Required</v>
      </c>
      <c r="V1460" s="2" t="s">
        <v>3939</v>
      </c>
    </row>
    <row r="1461" spans="1:22" hidden="1" x14ac:dyDescent="0.3">
      <c r="A1461" s="2" t="s">
        <v>3940</v>
      </c>
      <c r="B1461" s="12">
        <f t="shared" si="66"/>
        <v>46238.579720243048</v>
      </c>
      <c r="C1461" s="13">
        <v>46238.579720243048</v>
      </c>
      <c r="D1461" s="2" t="s">
        <v>748</v>
      </c>
      <c r="E1461" s="2" t="str">
        <f t="shared" si="68"/>
        <v>Email Available</v>
      </c>
      <c r="F1461" s="2" t="s">
        <v>749</v>
      </c>
      <c r="G1461" s="2" t="s">
        <v>206</v>
      </c>
      <c r="H1461" s="2" t="s">
        <v>196</v>
      </c>
      <c r="I1461" s="2" t="s">
        <v>207</v>
      </c>
      <c r="J1461" s="2">
        <v>1</v>
      </c>
      <c r="K1461" s="2">
        <v>24.99</v>
      </c>
      <c r="L1461" s="2" t="s">
        <v>25</v>
      </c>
      <c r="M1461" s="2">
        <v>5</v>
      </c>
      <c r="N1461" s="2">
        <v>7.99</v>
      </c>
      <c r="O1461" s="2">
        <v>27.98</v>
      </c>
      <c r="P1461" s="2" t="s">
        <v>27</v>
      </c>
      <c r="Q1461" s="2" t="s">
        <v>28</v>
      </c>
      <c r="R1461" s="2" t="s">
        <v>42</v>
      </c>
      <c r="S1461" s="2" t="s">
        <v>108</v>
      </c>
      <c r="T1461" s="2"/>
      <c r="U1461" s="2" t="str">
        <f t="shared" si="67"/>
        <v>Not Required</v>
      </c>
      <c r="V1461" s="2" t="s">
        <v>3941</v>
      </c>
    </row>
    <row r="1462" spans="1:22" hidden="1" x14ac:dyDescent="0.3">
      <c r="A1462" s="2" t="s">
        <v>3942</v>
      </c>
      <c r="B1462" s="12">
        <f t="shared" si="66"/>
        <v>46238.579177326392</v>
      </c>
      <c r="C1462" s="13">
        <v>46238.579177326392</v>
      </c>
      <c r="D1462" s="2" t="s">
        <v>1857</v>
      </c>
      <c r="E1462" s="2" t="str">
        <f t="shared" si="68"/>
        <v>Email Available</v>
      </c>
      <c r="F1462" s="2" t="s">
        <v>1858</v>
      </c>
      <c r="G1462" s="2" t="s">
        <v>206</v>
      </c>
      <c r="H1462" s="2" t="s">
        <v>196</v>
      </c>
      <c r="I1462" s="2" t="s">
        <v>207</v>
      </c>
      <c r="J1462" s="2">
        <v>2</v>
      </c>
      <c r="K1462" s="2">
        <v>24.99</v>
      </c>
      <c r="L1462" s="2"/>
      <c r="M1462" s="2">
        <v>0</v>
      </c>
      <c r="N1462" s="2">
        <v>7.99</v>
      </c>
      <c r="O1462" s="2">
        <v>57.97</v>
      </c>
      <c r="P1462" s="2" t="s">
        <v>51</v>
      </c>
      <c r="Q1462" s="2" t="s">
        <v>28</v>
      </c>
      <c r="R1462" s="2" t="s">
        <v>52</v>
      </c>
      <c r="S1462" s="2" t="s">
        <v>43</v>
      </c>
      <c r="T1462" s="2"/>
      <c r="U1462" s="2" t="str">
        <f t="shared" si="67"/>
        <v>Not Required</v>
      </c>
      <c r="V1462" s="2" t="s">
        <v>3943</v>
      </c>
    </row>
    <row r="1463" spans="1:22" hidden="1" x14ac:dyDescent="0.3">
      <c r="A1463" s="2" t="s">
        <v>3944</v>
      </c>
      <c r="B1463" s="12">
        <f t="shared" si="66"/>
        <v>46238.586510057867</v>
      </c>
      <c r="C1463" s="13">
        <v>46238.586510057867</v>
      </c>
      <c r="D1463" s="2" t="s">
        <v>3945</v>
      </c>
      <c r="E1463" s="2" t="str">
        <f t="shared" si="68"/>
        <v>Email Available</v>
      </c>
      <c r="F1463" s="2" t="s">
        <v>1114</v>
      </c>
      <c r="G1463" s="2" t="s">
        <v>187</v>
      </c>
      <c r="H1463" s="2" t="s">
        <v>37</v>
      </c>
      <c r="I1463" s="2" t="s">
        <v>188</v>
      </c>
      <c r="J1463" s="2">
        <v>1</v>
      </c>
      <c r="K1463" s="2">
        <v>11.99</v>
      </c>
      <c r="L1463" s="2" t="s">
        <v>208</v>
      </c>
      <c r="M1463" s="2">
        <v>1.8</v>
      </c>
      <c r="N1463" s="2">
        <v>5.99</v>
      </c>
      <c r="O1463" s="2">
        <v>16.18</v>
      </c>
      <c r="P1463" s="2" t="s">
        <v>74</v>
      </c>
      <c r="Q1463" s="2" t="s">
        <v>90</v>
      </c>
      <c r="R1463" s="2" t="s">
        <v>52</v>
      </c>
      <c r="S1463" s="2" t="s">
        <v>30</v>
      </c>
      <c r="T1463" s="2" t="s">
        <v>60</v>
      </c>
      <c r="U1463" s="2" t="str">
        <f t="shared" si="67"/>
        <v>Valid</v>
      </c>
      <c r="V1463" s="2" t="s">
        <v>3371</v>
      </c>
    </row>
    <row r="1464" spans="1:22" hidden="1" x14ac:dyDescent="0.3">
      <c r="A1464" s="2" t="s">
        <v>3946</v>
      </c>
      <c r="B1464" s="12">
        <f t="shared" si="66"/>
        <v>46238.58550483796</v>
      </c>
      <c r="C1464" s="13">
        <v>46238.58550483796</v>
      </c>
      <c r="D1464" s="2" t="s">
        <v>651</v>
      </c>
      <c r="E1464" s="2" t="str">
        <f t="shared" si="68"/>
        <v>Email Available</v>
      </c>
      <c r="F1464" s="2" t="s">
        <v>652</v>
      </c>
      <c r="G1464" s="2" t="s">
        <v>48</v>
      </c>
      <c r="H1464" s="2" t="s">
        <v>49</v>
      </c>
      <c r="I1464" s="2" t="s">
        <v>50</v>
      </c>
      <c r="J1464" s="2">
        <v>2</v>
      </c>
      <c r="K1464" s="2">
        <v>39.99</v>
      </c>
      <c r="L1464" s="2"/>
      <c r="M1464" s="2">
        <v>0</v>
      </c>
      <c r="N1464" s="2">
        <v>0</v>
      </c>
      <c r="O1464" s="2">
        <v>79.98</v>
      </c>
      <c r="P1464" s="2" t="s">
        <v>40</v>
      </c>
      <c r="Q1464" s="2" t="s">
        <v>90</v>
      </c>
      <c r="R1464" s="2" t="s">
        <v>42</v>
      </c>
      <c r="S1464" s="2" t="s">
        <v>30</v>
      </c>
      <c r="T1464" s="2" t="s">
        <v>499</v>
      </c>
      <c r="U1464" s="2" t="str">
        <f t="shared" si="67"/>
        <v>Valid</v>
      </c>
      <c r="V1464" s="2" t="s">
        <v>3947</v>
      </c>
    </row>
    <row r="1465" spans="1:22" hidden="1" x14ac:dyDescent="0.3">
      <c r="A1465" s="2" t="s">
        <v>3948</v>
      </c>
      <c r="B1465" s="12">
        <f t="shared" si="66"/>
        <v>46238.588824085651</v>
      </c>
      <c r="C1465" s="13">
        <v>46238.588824085651</v>
      </c>
      <c r="D1465" s="2" t="s">
        <v>3949</v>
      </c>
      <c r="E1465" s="2" t="str">
        <f t="shared" si="68"/>
        <v>Email Available</v>
      </c>
      <c r="F1465" s="2" t="s">
        <v>1464</v>
      </c>
      <c r="G1465" s="2" t="s">
        <v>284</v>
      </c>
      <c r="H1465" s="2" t="s">
        <v>23</v>
      </c>
      <c r="I1465" s="2" t="s">
        <v>285</v>
      </c>
      <c r="J1465" s="2">
        <v>2</v>
      </c>
      <c r="K1465" s="2">
        <v>24.99</v>
      </c>
      <c r="L1465" s="2" t="s">
        <v>67</v>
      </c>
      <c r="M1465" s="2">
        <v>5</v>
      </c>
      <c r="N1465" s="2">
        <v>7.99</v>
      </c>
      <c r="O1465" s="2">
        <v>52.97</v>
      </c>
      <c r="P1465" s="2" t="s">
        <v>51</v>
      </c>
      <c r="Q1465" s="2" t="s">
        <v>114</v>
      </c>
      <c r="R1465" s="2" t="s">
        <v>52</v>
      </c>
      <c r="S1465" s="2" t="s">
        <v>43</v>
      </c>
      <c r="T1465" s="2"/>
      <c r="U1465" s="2" t="str">
        <f t="shared" si="67"/>
        <v>Not Required</v>
      </c>
      <c r="V1465" s="2" t="s">
        <v>3950</v>
      </c>
    </row>
    <row r="1466" spans="1:22" hidden="1" x14ac:dyDescent="0.3">
      <c r="A1466" s="2" t="s">
        <v>3951</v>
      </c>
      <c r="B1466" s="12">
        <f t="shared" si="66"/>
        <v>46120</v>
      </c>
      <c r="C1466" s="13" t="s">
        <v>142</v>
      </c>
      <c r="D1466" s="2" t="s">
        <v>1639</v>
      </c>
      <c r="E1466" s="2" t="str">
        <f t="shared" si="68"/>
        <v>Email Available</v>
      </c>
      <c r="F1466" s="2" t="s">
        <v>1640</v>
      </c>
      <c r="G1466" s="2" t="s">
        <v>272</v>
      </c>
      <c r="H1466" s="2" t="s">
        <v>23</v>
      </c>
      <c r="I1466" s="2" t="s">
        <v>273</v>
      </c>
      <c r="J1466" s="2">
        <v>1</v>
      </c>
      <c r="K1466" s="2">
        <v>18.989999999999998</v>
      </c>
      <c r="L1466" s="2"/>
      <c r="M1466" s="2" t="s">
        <v>189</v>
      </c>
      <c r="N1466" s="2">
        <v>4.99</v>
      </c>
      <c r="O1466" s="2">
        <v>23.98</v>
      </c>
      <c r="P1466" s="2" t="s">
        <v>40</v>
      </c>
      <c r="Q1466" s="2" t="s">
        <v>41</v>
      </c>
      <c r="R1466" s="2" t="s">
        <v>52</v>
      </c>
      <c r="S1466" s="2" t="s">
        <v>108</v>
      </c>
      <c r="T1466" s="2"/>
      <c r="U1466" s="2" t="str">
        <f t="shared" si="67"/>
        <v>Not Required</v>
      </c>
      <c r="V1466" s="2" t="s">
        <v>3952</v>
      </c>
    </row>
    <row r="1467" spans="1:22" hidden="1" x14ac:dyDescent="0.3">
      <c r="A1467" s="2" t="s">
        <v>3953</v>
      </c>
      <c r="B1467" s="12">
        <f t="shared" ref="B1467:B1530" si="69">IF(ISNUMBER(C1467),C1467,DATEVALUE(SUBSTITUTE(TRIM(C1467),CHAR(160)," ")))</f>
        <v>46238.587323715277</v>
      </c>
      <c r="C1467" s="13">
        <v>46238.587323715277</v>
      </c>
      <c r="D1467" s="2" t="s">
        <v>3608</v>
      </c>
      <c r="E1467" s="2" t="str">
        <f t="shared" si="68"/>
        <v>Email Available</v>
      </c>
      <c r="F1467" s="2" t="s">
        <v>3609</v>
      </c>
      <c r="G1467" s="2" t="s">
        <v>36</v>
      </c>
      <c r="H1467" s="2" t="s">
        <v>37</v>
      </c>
      <c r="I1467" s="2" t="s">
        <v>38</v>
      </c>
      <c r="J1467" s="2">
        <v>1</v>
      </c>
      <c r="K1467" s="2">
        <v>21.99</v>
      </c>
      <c r="L1467" s="2"/>
      <c r="M1467" s="2">
        <v>0</v>
      </c>
      <c r="N1467" s="2">
        <v>4.99</v>
      </c>
      <c r="O1467" s="2">
        <v>26.98</v>
      </c>
      <c r="P1467" s="2" t="s">
        <v>40</v>
      </c>
      <c r="Q1467" s="2" t="s">
        <v>28</v>
      </c>
      <c r="R1467" s="2" t="s">
        <v>99</v>
      </c>
      <c r="S1467" s="2" t="s">
        <v>108</v>
      </c>
      <c r="T1467" s="2"/>
      <c r="U1467" s="2" t="str">
        <f t="shared" ref="U1467:U1530" si="70">IF(AND(S1467="United States",T1467=""),"Missing state",IF(T1467="","Not Required","Valid"))</f>
        <v>Not Required</v>
      </c>
      <c r="V1467" s="2" t="s">
        <v>3954</v>
      </c>
    </row>
    <row r="1468" spans="1:22" hidden="1" x14ac:dyDescent="0.3">
      <c r="A1468" s="2" t="s">
        <v>3955</v>
      </c>
      <c r="B1468" s="12">
        <f t="shared" si="69"/>
        <v>46238.580178946759</v>
      </c>
      <c r="C1468" s="13">
        <v>46238.580178946759</v>
      </c>
      <c r="D1468" s="2" t="s">
        <v>2856</v>
      </c>
      <c r="E1468" s="2" t="str">
        <f t="shared" si="68"/>
        <v>Email Available</v>
      </c>
      <c r="F1468" s="2" t="s">
        <v>2857</v>
      </c>
      <c r="G1468" s="2" t="s">
        <v>65</v>
      </c>
      <c r="H1468" s="2" t="s">
        <v>49</v>
      </c>
      <c r="I1468" s="2" t="s">
        <v>453</v>
      </c>
      <c r="J1468" s="2">
        <v>1</v>
      </c>
      <c r="K1468" s="2">
        <v>14.99</v>
      </c>
      <c r="L1468" s="2" t="s">
        <v>208</v>
      </c>
      <c r="M1468" s="2">
        <v>2.25</v>
      </c>
      <c r="N1468" s="2">
        <v>5.99</v>
      </c>
      <c r="O1468" s="2">
        <v>18.73</v>
      </c>
      <c r="P1468" s="2" t="s">
        <v>51</v>
      </c>
      <c r="Q1468" s="2" t="s">
        <v>41</v>
      </c>
      <c r="R1468" s="2" t="s">
        <v>29</v>
      </c>
      <c r="S1468" s="2" t="s">
        <v>75</v>
      </c>
      <c r="T1468" s="2"/>
      <c r="U1468" s="2" t="str">
        <f t="shared" si="70"/>
        <v>Not Required</v>
      </c>
      <c r="V1468" s="2" t="s">
        <v>3956</v>
      </c>
    </row>
    <row r="1469" spans="1:22" hidden="1" x14ac:dyDescent="0.3">
      <c r="A1469" s="2" t="s">
        <v>3959</v>
      </c>
      <c r="B1469" s="12">
        <f t="shared" si="69"/>
        <v>46238.5857249537</v>
      </c>
      <c r="C1469" s="13">
        <v>46238.5857249537</v>
      </c>
      <c r="D1469" s="2" t="s">
        <v>896</v>
      </c>
      <c r="E1469" s="2" t="str">
        <f t="shared" si="68"/>
        <v>Email Available</v>
      </c>
      <c r="F1469" s="2" t="s">
        <v>897</v>
      </c>
      <c r="G1469" s="2" t="s">
        <v>105</v>
      </c>
      <c r="H1469" s="2" t="s">
        <v>106</v>
      </c>
      <c r="I1469" s="2" t="s">
        <v>107</v>
      </c>
      <c r="J1469" s="2">
        <v>2</v>
      </c>
      <c r="K1469" s="2">
        <v>19.989999999999998</v>
      </c>
      <c r="L1469" s="2"/>
      <c r="M1469" s="2">
        <v>0</v>
      </c>
      <c r="N1469" s="2">
        <v>7.99</v>
      </c>
      <c r="O1469" s="2">
        <v>47.97</v>
      </c>
      <c r="P1469" s="2" t="s">
        <v>51</v>
      </c>
      <c r="Q1469" s="2" t="s">
        <v>28</v>
      </c>
      <c r="R1469" s="2" t="s">
        <v>42</v>
      </c>
      <c r="S1469" s="2" t="s">
        <v>337</v>
      </c>
      <c r="T1469" s="2"/>
      <c r="U1469" s="2" t="str">
        <f t="shared" si="70"/>
        <v>Not Required</v>
      </c>
      <c r="V1469" s="2" t="s">
        <v>3960</v>
      </c>
    </row>
    <row r="1470" spans="1:22" hidden="1" x14ac:dyDescent="0.3">
      <c r="A1470" s="2" t="s">
        <v>3961</v>
      </c>
      <c r="B1470" s="12">
        <f t="shared" si="69"/>
        <v>46238.585211793979</v>
      </c>
      <c r="C1470" s="13">
        <v>46238.585211793979</v>
      </c>
      <c r="D1470" s="2" t="s">
        <v>507</v>
      </c>
      <c r="E1470" s="2" t="str">
        <f t="shared" si="68"/>
        <v>Email Available</v>
      </c>
      <c r="F1470" s="2" t="s">
        <v>508</v>
      </c>
      <c r="G1470" s="2" t="s">
        <v>187</v>
      </c>
      <c r="H1470" s="2" t="s">
        <v>37</v>
      </c>
      <c r="I1470" s="2" t="s">
        <v>188</v>
      </c>
      <c r="J1470" s="2">
        <v>3</v>
      </c>
      <c r="K1470" s="2">
        <v>11.99</v>
      </c>
      <c r="L1470" s="2"/>
      <c r="M1470" s="2">
        <v>0</v>
      </c>
      <c r="N1470" s="2">
        <v>5.99</v>
      </c>
      <c r="O1470" s="2">
        <v>41.96</v>
      </c>
      <c r="P1470" s="2" t="s">
        <v>51</v>
      </c>
      <c r="Q1470" s="2" t="s">
        <v>41</v>
      </c>
      <c r="R1470" s="2" t="s">
        <v>52</v>
      </c>
      <c r="S1470" s="2" t="s">
        <v>30</v>
      </c>
      <c r="T1470" s="2" t="s">
        <v>145</v>
      </c>
      <c r="U1470" s="2" t="str">
        <f t="shared" si="70"/>
        <v>Valid</v>
      </c>
      <c r="V1470" s="2" t="s">
        <v>3962</v>
      </c>
    </row>
    <row r="1471" spans="1:22" hidden="1" x14ac:dyDescent="0.3">
      <c r="A1471" s="2" t="s">
        <v>3963</v>
      </c>
      <c r="B1471" s="12">
        <f t="shared" si="69"/>
        <v>46238.582705474539</v>
      </c>
      <c r="C1471" s="13">
        <v>46238.582705474539</v>
      </c>
      <c r="D1471" s="2" t="s">
        <v>524</v>
      </c>
      <c r="E1471" s="2" t="str">
        <f t="shared" si="68"/>
        <v>Email Available</v>
      </c>
      <c r="F1471" s="2" t="s">
        <v>525</v>
      </c>
      <c r="G1471" s="2" t="s">
        <v>87</v>
      </c>
      <c r="H1471" s="2" t="s">
        <v>88</v>
      </c>
      <c r="I1471" s="2" t="s">
        <v>89</v>
      </c>
      <c r="J1471" s="2">
        <v>1</v>
      </c>
      <c r="K1471" s="2">
        <v>54.99</v>
      </c>
      <c r="L1471" s="2"/>
      <c r="M1471" s="2">
        <v>0</v>
      </c>
      <c r="N1471" s="2">
        <v>7.99</v>
      </c>
      <c r="O1471" s="2">
        <v>62.98</v>
      </c>
      <c r="P1471" s="2" t="s">
        <v>68</v>
      </c>
      <c r="Q1471" s="2" t="s">
        <v>28</v>
      </c>
      <c r="R1471" s="2" t="s">
        <v>99</v>
      </c>
      <c r="S1471" s="2" t="s">
        <v>30</v>
      </c>
      <c r="T1471" s="2" t="s">
        <v>248</v>
      </c>
      <c r="U1471" s="2" t="str">
        <f t="shared" si="70"/>
        <v>Valid</v>
      </c>
      <c r="V1471" s="2" t="s">
        <v>3964</v>
      </c>
    </row>
    <row r="1472" spans="1:22" hidden="1" x14ac:dyDescent="0.3">
      <c r="A1472" s="2" t="s">
        <v>3965</v>
      </c>
      <c r="B1472" s="12">
        <f t="shared" si="69"/>
        <v>46238.581264074077</v>
      </c>
      <c r="C1472" s="13">
        <v>46238.581264074077</v>
      </c>
      <c r="D1472" s="2" t="s">
        <v>2343</v>
      </c>
      <c r="E1472" s="2" t="str">
        <f t="shared" si="68"/>
        <v>Email Available</v>
      </c>
      <c r="F1472" s="2" t="s">
        <v>2344</v>
      </c>
      <c r="G1472" s="2" t="s">
        <v>151</v>
      </c>
      <c r="H1472" s="2" t="s">
        <v>49</v>
      </c>
      <c r="I1472" s="2" t="s">
        <v>152</v>
      </c>
      <c r="J1472" s="2">
        <v>1</v>
      </c>
      <c r="K1472" s="2">
        <v>34.99</v>
      </c>
      <c r="L1472" s="2"/>
      <c r="M1472" s="2">
        <v>0</v>
      </c>
      <c r="N1472" s="2">
        <v>7.99</v>
      </c>
      <c r="O1472" s="2">
        <v>42.98</v>
      </c>
      <c r="P1472" s="2" t="s">
        <v>27</v>
      </c>
      <c r="Q1472" s="2" t="s">
        <v>28</v>
      </c>
      <c r="R1472" s="2" t="s">
        <v>29</v>
      </c>
      <c r="S1472" s="2" t="s">
        <v>43</v>
      </c>
      <c r="T1472" s="2"/>
      <c r="U1472" s="2" t="str">
        <f t="shared" si="70"/>
        <v>Not Required</v>
      </c>
      <c r="V1472" s="2" t="s">
        <v>3966</v>
      </c>
    </row>
    <row r="1473" spans="1:22" hidden="1" x14ac:dyDescent="0.3">
      <c r="A1473" s="2" t="s">
        <v>3967</v>
      </c>
      <c r="B1473" s="12">
        <f t="shared" si="69"/>
        <v>46238.584443900458</v>
      </c>
      <c r="C1473" s="13">
        <v>46238.584443900458</v>
      </c>
      <c r="D1473" s="2" t="s">
        <v>662</v>
      </c>
      <c r="E1473" s="2" t="str">
        <f t="shared" si="68"/>
        <v>Email Available</v>
      </c>
      <c r="F1473" s="2" t="s">
        <v>663</v>
      </c>
      <c r="G1473" s="2" t="s">
        <v>36</v>
      </c>
      <c r="H1473" s="2" t="s">
        <v>37</v>
      </c>
      <c r="I1473" s="2" t="s">
        <v>38</v>
      </c>
      <c r="J1473" s="2">
        <v>2</v>
      </c>
      <c r="K1473" s="2">
        <v>21.99</v>
      </c>
      <c r="L1473" s="2" t="s">
        <v>25</v>
      </c>
      <c r="M1473" s="2">
        <v>8.8000000000000007</v>
      </c>
      <c r="N1473" s="2">
        <v>4.99</v>
      </c>
      <c r="O1473" s="2">
        <v>40.17</v>
      </c>
      <c r="P1473" s="2" t="s">
        <v>27</v>
      </c>
      <c r="Q1473" s="2" t="s">
        <v>28</v>
      </c>
      <c r="R1473" s="2" t="s">
        <v>52</v>
      </c>
      <c r="S1473" s="2" t="s">
        <v>30</v>
      </c>
      <c r="T1473" s="2" t="s">
        <v>248</v>
      </c>
      <c r="U1473" s="2" t="str">
        <f t="shared" si="70"/>
        <v>Valid</v>
      </c>
      <c r="V1473" s="2" t="s">
        <v>3968</v>
      </c>
    </row>
    <row r="1474" spans="1:22" hidden="1" x14ac:dyDescent="0.3">
      <c r="A1474" s="2" t="s">
        <v>3969</v>
      </c>
      <c r="B1474" s="12">
        <f t="shared" si="69"/>
        <v>46238.58500353009</v>
      </c>
      <c r="C1474" s="13">
        <v>46238.58500353009</v>
      </c>
      <c r="D1474" s="2" t="s">
        <v>331</v>
      </c>
      <c r="E1474" s="2" t="str">
        <f t="shared" si="68"/>
        <v>Email Available</v>
      </c>
      <c r="F1474" s="2" t="s">
        <v>332</v>
      </c>
      <c r="G1474" s="2" t="s">
        <v>266</v>
      </c>
      <c r="H1474" s="2" t="s">
        <v>37</v>
      </c>
      <c r="I1474" s="2" t="s">
        <v>267</v>
      </c>
      <c r="J1474" s="2">
        <v>2</v>
      </c>
      <c r="K1474" s="2">
        <v>15.49</v>
      </c>
      <c r="L1474" s="2" t="s">
        <v>121</v>
      </c>
      <c r="M1474" s="2">
        <v>7.75</v>
      </c>
      <c r="N1474" s="2">
        <v>4.99</v>
      </c>
      <c r="O1474" s="2">
        <v>28.22</v>
      </c>
      <c r="P1474" s="2" t="s">
        <v>68</v>
      </c>
      <c r="Q1474" s="2" t="s">
        <v>28</v>
      </c>
      <c r="R1474" s="2" t="s">
        <v>99</v>
      </c>
      <c r="S1474" s="2" t="s">
        <v>30</v>
      </c>
      <c r="T1474" s="2" t="s">
        <v>69</v>
      </c>
      <c r="U1474" s="2" t="str">
        <f t="shared" si="70"/>
        <v>Valid</v>
      </c>
      <c r="V1474" s="2" t="s">
        <v>3970</v>
      </c>
    </row>
    <row r="1475" spans="1:22" hidden="1" x14ac:dyDescent="0.3">
      <c r="A1475" s="2" t="s">
        <v>3971</v>
      </c>
      <c r="B1475" s="12">
        <f t="shared" si="69"/>
        <v>46238.588261018522</v>
      </c>
      <c r="C1475" s="13">
        <v>46238.588261018522</v>
      </c>
      <c r="D1475" s="2" t="s">
        <v>900</v>
      </c>
      <c r="E1475" s="2" t="str">
        <f t="shared" ref="E1475:E1538" si="71">IF(TRIM(F1475)="","Missing Email","Email Available")</f>
        <v>Email Available</v>
      </c>
      <c r="F1475" s="2" t="s">
        <v>901</v>
      </c>
      <c r="G1475" s="2" t="s">
        <v>151</v>
      </c>
      <c r="H1475" s="2" t="s">
        <v>49</v>
      </c>
      <c r="I1475" s="2" t="s">
        <v>152</v>
      </c>
      <c r="J1475" s="2">
        <v>1</v>
      </c>
      <c r="K1475" s="2">
        <v>34.99</v>
      </c>
      <c r="L1475" s="2" t="s">
        <v>208</v>
      </c>
      <c r="M1475" s="2">
        <v>5.25</v>
      </c>
      <c r="N1475" s="2">
        <v>5.99</v>
      </c>
      <c r="O1475" s="2">
        <v>35.729999999999997</v>
      </c>
      <c r="P1475" s="2" t="s">
        <v>51</v>
      </c>
      <c r="Q1475" s="2" t="s">
        <v>114</v>
      </c>
      <c r="R1475" s="2" t="s">
        <v>42</v>
      </c>
      <c r="S1475" s="2" t="s">
        <v>30</v>
      </c>
      <c r="T1475" s="2" t="s">
        <v>69</v>
      </c>
      <c r="U1475" s="2" t="str">
        <f t="shared" si="70"/>
        <v>Valid</v>
      </c>
      <c r="V1475" s="2" t="s">
        <v>3972</v>
      </c>
    </row>
    <row r="1476" spans="1:22" hidden="1" x14ac:dyDescent="0.3">
      <c r="A1476" s="2" t="s">
        <v>3973</v>
      </c>
      <c r="B1476" s="12">
        <f t="shared" si="69"/>
        <v>46238.585001134263</v>
      </c>
      <c r="C1476" s="13">
        <v>46238.585001134263</v>
      </c>
      <c r="D1476" s="2" t="s">
        <v>713</v>
      </c>
      <c r="E1476" s="2" t="str">
        <f t="shared" si="71"/>
        <v>Email Available</v>
      </c>
      <c r="F1476" s="2" t="s">
        <v>714</v>
      </c>
      <c r="G1476" s="2" t="s">
        <v>87</v>
      </c>
      <c r="H1476" s="2" t="s">
        <v>88</v>
      </c>
      <c r="I1476" s="2" t="s">
        <v>89</v>
      </c>
      <c r="J1476" s="2">
        <v>1</v>
      </c>
      <c r="K1476" s="2">
        <v>54.99</v>
      </c>
      <c r="L1476" s="2"/>
      <c r="M1476" s="2">
        <v>0</v>
      </c>
      <c r="N1476" s="2">
        <v>4.99</v>
      </c>
      <c r="O1476" s="2">
        <v>59.98</v>
      </c>
      <c r="P1476" s="2" t="s">
        <v>27</v>
      </c>
      <c r="Q1476" s="2" t="s">
        <v>28</v>
      </c>
      <c r="R1476" s="2" t="s">
        <v>52</v>
      </c>
      <c r="S1476" s="2" t="s">
        <v>337</v>
      </c>
      <c r="T1476" s="2"/>
      <c r="U1476" s="2" t="str">
        <f t="shared" si="70"/>
        <v>Not Required</v>
      </c>
      <c r="V1476" s="2" t="s">
        <v>3974</v>
      </c>
    </row>
    <row r="1477" spans="1:22" hidden="1" x14ac:dyDescent="0.3">
      <c r="A1477" s="2" t="s">
        <v>3975</v>
      </c>
      <c r="B1477" s="12">
        <f t="shared" si="69"/>
        <v>46238.580436446762</v>
      </c>
      <c r="C1477" s="13">
        <v>46238.580436446762</v>
      </c>
      <c r="D1477" s="2" t="s">
        <v>562</v>
      </c>
      <c r="E1477" s="2" t="str">
        <f t="shared" si="71"/>
        <v>Email Available</v>
      </c>
      <c r="F1477" s="2" t="s">
        <v>47</v>
      </c>
      <c r="G1477" s="2" t="s">
        <v>315</v>
      </c>
      <c r="H1477" s="2" t="s">
        <v>37</v>
      </c>
      <c r="I1477" s="2" t="s">
        <v>316</v>
      </c>
      <c r="J1477" s="2">
        <v>3</v>
      </c>
      <c r="K1477" s="2">
        <v>8.99</v>
      </c>
      <c r="L1477" s="2" t="s">
        <v>39</v>
      </c>
      <c r="M1477" s="2">
        <v>0</v>
      </c>
      <c r="N1477" s="2">
        <v>0</v>
      </c>
      <c r="O1477" s="2">
        <v>26.97</v>
      </c>
      <c r="P1477" s="2" t="s">
        <v>68</v>
      </c>
      <c r="Q1477" s="2" t="s">
        <v>41</v>
      </c>
      <c r="R1477" s="2" t="s">
        <v>52</v>
      </c>
      <c r="S1477" s="2" t="s">
        <v>30</v>
      </c>
      <c r="T1477" s="2" t="s">
        <v>499</v>
      </c>
      <c r="U1477" s="2" t="str">
        <f t="shared" si="70"/>
        <v>Valid</v>
      </c>
      <c r="V1477" s="2" t="s">
        <v>3976</v>
      </c>
    </row>
    <row r="1478" spans="1:22" hidden="1" x14ac:dyDescent="0.3">
      <c r="A1478" s="2" t="s">
        <v>3977</v>
      </c>
      <c r="B1478" s="12">
        <f t="shared" si="69"/>
        <v>46238.580058009262</v>
      </c>
      <c r="C1478" s="13">
        <v>46238.580058009262</v>
      </c>
      <c r="D1478" s="2" t="s">
        <v>1616</v>
      </c>
      <c r="E1478" s="2" t="str">
        <f t="shared" si="71"/>
        <v>Email Available</v>
      </c>
      <c r="F1478" s="2" t="s">
        <v>1617</v>
      </c>
      <c r="G1478" s="2" t="s">
        <v>112</v>
      </c>
      <c r="H1478" s="2" t="s">
        <v>81</v>
      </c>
      <c r="I1478" s="2" t="s">
        <v>113</v>
      </c>
      <c r="J1478" s="2">
        <v>1</v>
      </c>
      <c r="K1478" s="2" t="s">
        <v>1004</v>
      </c>
      <c r="L1478" s="2"/>
      <c r="M1478" s="2">
        <v>0</v>
      </c>
      <c r="N1478" s="2">
        <v>5.99</v>
      </c>
      <c r="O1478" s="2">
        <v>28.98</v>
      </c>
      <c r="P1478" s="2" t="s">
        <v>74</v>
      </c>
      <c r="Q1478" s="2" t="s">
        <v>28</v>
      </c>
      <c r="R1478" s="2" t="s">
        <v>29</v>
      </c>
      <c r="S1478" s="2" t="s">
        <v>75</v>
      </c>
      <c r="T1478" s="2"/>
      <c r="U1478" s="2" t="str">
        <f t="shared" si="70"/>
        <v>Not Required</v>
      </c>
      <c r="V1478" s="2" t="s">
        <v>3978</v>
      </c>
    </row>
    <row r="1479" spans="1:22" hidden="1" x14ac:dyDescent="0.3">
      <c r="A1479" s="2" t="s">
        <v>3979</v>
      </c>
      <c r="B1479" s="12">
        <f t="shared" si="69"/>
        <v>46238.584228217587</v>
      </c>
      <c r="C1479" s="13">
        <v>46238.584228217587</v>
      </c>
      <c r="D1479" s="2" t="s">
        <v>502</v>
      </c>
      <c r="E1479" s="2" t="str">
        <f t="shared" si="71"/>
        <v>Email Available</v>
      </c>
      <c r="F1479" s="2" t="s">
        <v>503</v>
      </c>
      <c r="G1479" s="2" t="s">
        <v>127</v>
      </c>
      <c r="H1479" s="2" t="s">
        <v>81</v>
      </c>
      <c r="I1479" s="2" t="s">
        <v>128</v>
      </c>
      <c r="J1479" s="2">
        <v>2</v>
      </c>
      <c r="K1479" s="2">
        <v>13.99</v>
      </c>
      <c r="L1479" s="2" t="s">
        <v>121</v>
      </c>
      <c r="M1479" s="2">
        <v>7</v>
      </c>
      <c r="N1479" s="2">
        <v>7.99</v>
      </c>
      <c r="O1479" s="2">
        <v>28.97</v>
      </c>
      <c r="P1479" s="2" t="s">
        <v>74</v>
      </c>
      <c r="Q1479" s="2" t="s">
        <v>41</v>
      </c>
      <c r="R1479" s="2" t="s">
        <v>52</v>
      </c>
      <c r="S1479" s="2" t="s">
        <v>108</v>
      </c>
      <c r="T1479" s="2"/>
      <c r="U1479" s="2" t="str">
        <f t="shared" si="70"/>
        <v>Not Required</v>
      </c>
      <c r="V1479" s="2" t="s">
        <v>3047</v>
      </c>
    </row>
    <row r="1480" spans="1:22" hidden="1" x14ac:dyDescent="0.3">
      <c r="A1480" s="2" t="s">
        <v>3980</v>
      </c>
      <c r="B1480" s="12">
        <f t="shared" si="69"/>
        <v>46238</v>
      </c>
      <c r="C1480" s="13" t="s">
        <v>722</v>
      </c>
      <c r="D1480" s="2" t="s">
        <v>384</v>
      </c>
      <c r="E1480" s="2" t="str">
        <f t="shared" si="71"/>
        <v>Email Available</v>
      </c>
      <c r="F1480" s="2" t="s">
        <v>385</v>
      </c>
      <c r="G1480" s="2" t="s">
        <v>284</v>
      </c>
      <c r="H1480" s="2" t="s">
        <v>23</v>
      </c>
      <c r="I1480" s="2" t="s">
        <v>285</v>
      </c>
      <c r="J1480" s="2">
        <v>1</v>
      </c>
      <c r="K1480" s="2">
        <v>24.99</v>
      </c>
      <c r="L1480" s="2" t="s">
        <v>121</v>
      </c>
      <c r="M1480" s="2">
        <v>6.25</v>
      </c>
      <c r="N1480" s="2">
        <v>5.99</v>
      </c>
      <c r="O1480" s="2">
        <v>24.73</v>
      </c>
      <c r="P1480" s="2" t="s">
        <v>51</v>
      </c>
      <c r="Q1480" s="2" t="s">
        <v>90</v>
      </c>
      <c r="R1480" s="2" t="s">
        <v>29</v>
      </c>
      <c r="S1480" s="2" t="s">
        <v>75</v>
      </c>
      <c r="T1480" s="2"/>
      <c r="U1480" s="2" t="str">
        <f t="shared" si="70"/>
        <v>Not Required</v>
      </c>
      <c r="V1480" s="2" t="s">
        <v>3981</v>
      </c>
    </row>
    <row r="1481" spans="1:22" hidden="1" x14ac:dyDescent="0.3">
      <c r="A1481" s="2" t="s">
        <v>3982</v>
      </c>
      <c r="B1481" s="12">
        <f t="shared" si="69"/>
        <v>46238.583708622682</v>
      </c>
      <c r="C1481" s="13">
        <v>46238.583708622682</v>
      </c>
      <c r="D1481" s="2" t="s">
        <v>713</v>
      </c>
      <c r="E1481" s="2" t="str">
        <f t="shared" si="71"/>
        <v>Email Available</v>
      </c>
      <c r="F1481" s="2" t="s">
        <v>714</v>
      </c>
      <c r="G1481" s="2" t="s">
        <v>133</v>
      </c>
      <c r="H1481" s="2" t="s">
        <v>106</v>
      </c>
      <c r="I1481" s="2" t="s">
        <v>134</v>
      </c>
      <c r="J1481" s="2">
        <v>1</v>
      </c>
      <c r="K1481" s="2">
        <v>16.989999999999998</v>
      </c>
      <c r="L1481" s="2" t="s">
        <v>67</v>
      </c>
      <c r="M1481" s="2">
        <v>1.7</v>
      </c>
      <c r="N1481" s="2">
        <v>4.99</v>
      </c>
      <c r="O1481" s="2">
        <v>20.28</v>
      </c>
      <c r="P1481" s="2" t="s">
        <v>68</v>
      </c>
      <c r="Q1481" s="2" t="s">
        <v>41</v>
      </c>
      <c r="R1481" s="2" t="s">
        <v>52</v>
      </c>
      <c r="S1481" s="2" t="s">
        <v>337</v>
      </c>
      <c r="T1481" s="2"/>
      <c r="U1481" s="2" t="str">
        <f t="shared" si="70"/>
        <v>Not Required</v>
      </c>
      <c r="V1481" s="2" t="s">
        <v>3983</v>
      </c>
    </row>
    <row r="1482" spans="1:22" hidden="1" x14ac:dyDescent="0.3">
      <c r="A1482" s="2" t="s">
        <v>3984</v>
      </c>
      <c r="B1482" s="12">
        <f t="shared" si="69"/>
        <v>46238.579305659718</v>
      </c>
      <c r="C1482" s="13">
        <v>46238.579305659718</v>
      </c>
      <c r="D1482" s="2" t="s">
        <v>424</v>
      </c>
      <c r="E1482" s="2" t="str">
        <f t="shared" si="71"/>
        <v>Email Available</v>
      </c>
      <c r="F1482" s="2" t="s">
        <v>425</v>
      </c>
      <c r="G1482" s="2" t="s">
        <v>226</v>
      </c>
      <c r="H1482" s="2" t="s">
        <v>23</v>
      </c>
      <c r="I1482" s="2" t="s">
        <v>227</v>
      </c>
      <c r="J1482" s="2">
        <v>1</v>
      </c>
      <c r="K1482" s="2">
        <v>17.989999999999998</v>
      </c>
      <c r="L1482" s="2" t="s">
        <v>208</v>
      </c>
      <c r="M1482" s="2">
        <v>2.7</v>
      </c>
      <c r="N1482" s="2">
        <v>5.99</v>
      </c>
      <c r="O1482" s="2">
        <v>21.28</v>
      </c>
      <c r="P1482" s="2" t="s">
        <v>51</v>
      </c>
      <c r="Q1482" s="2" t="s">
        <v>114</v>
      </c>
      <c r="R1482" s="2" t="s">
        <v>99</v>
      </c>
      <c r="S1482" s="2" t="s">
        <v>30</v>
      </c>
      <c r="T1482" s="2" t="s">
        <v>31</v>
      </c>
      <c r="U1482" s="2" t="str">
        <f t="shared" si="70"/>
        <v>Valid</v>
      </c>
      <c r="V1482" s="2" t="s">
        <v>3985</v>
      </c>
    </row>
    <row r="1483" spans="1:22" hidden="1" x14ac:dyDescent="0.3">
      <c r="A1483" s="2" t="s">
        <v>3986</v>
      </c>
      <c r="B1483" s="12">
        <f t="shared" si="69"/>
        <v>46238.581951423606</v>
      </c>
      <c r="C1483" s="13">
        <v>46238.581951423606</v>
      </c>
      <c r="D1483" s="2" t="s">
        <v>424</v>
      </c>
      <c r="E1483" s="2" t="str">
        <f t="shared" si="71"/>
        <v>Email Available</v>
      </c>
      <c r="F1483" s="2" t="s">
        <v>425</v>
      </c>
      <c r="G1483" s="2" t="s">
        <v>48</v>
      </c>
      <c r="H1483" s="2" t="s">
        <v>49</v>
      </c>
      <c r="I1483" s="2" t="s">
        <v>50</v>
      </c>
      <c r="J1483" s="2">
        <v>2</v>
      </c>
      <c r="K1483" s="2">
        <v>39.99</v>
      </c>
      <c r="L1483" s="2"/>
      <c r="M1483" s="2">
        <v>0</v>
      </c>
      <c r="N1483" s="2">
        <v>0</v>
      </c>
      <c r="O1483" s="2">
        <v>79.98</v>
      </c>
      <c r="P1483" s="2" t="s">
        <v>74</v>
      </c>
      <c r="Q1483" s="2" t="s">
        <v>90</v>
      </c>
      <c r="R1483" s="2" t="s">
        <v>52</v>
      </c>
      <c r="S1483" s="2" t="s">
        <v>30</v>
      </c>
      <c r="T1483" s="2" t="s">
        <v>69</v>
      </c>
      <c r="U1483" s="2" t="str">
        <f t="shared" si="70"/>
        <v>Valid</v>
      </c>
      <c r="V1483" s="2" t="s">
        <v>3987</v>
      </c>
    </row>
    <row r="1484" spans="1:22" hidden="1" x14ac:dyDescent="0.3">
      <c r="A1484" s="2" t="s">
        <v>3988</v>
      </c>
      <c r="B1484" s="12">
        <f t="shared" si="69"/>
        <v>46238.585420243056</v>
      </c>
      <c r="C1484" s="13">
        <v>46238.585420243056</v>
      </c>
      <c r="D1484" s="2" t="s">
        <v>405</v>
      </c>
      <c r="E1484" s="2" t="str">
        <f t="shared" si="71"/>
        <v>Email Available</v>
      </c>
      <c r="F1484" s="2" t="s">
        <v>406</v>
      </c>
      <c r="G1484" s="2" t="s">
        <v>272</v>
      </c>
      <c r="H1484" s="2" t="s">
        <v>23</v>
      </c>
      <c r="I1484" s="2" t="s">
        <v>273</v>
      </c>
      <c r="J1484" s="2">
        <v>1</v>
      </c>
      <c r="K1484" s="2">
        <v>18.989999999999998</v>
      </c>
      <c r="L1484" s="2" t="s">
        <v>121</v>
      </c>
      <c r="M1484" s="2" t="s">
        <v>3294</v>
      </c>
      <c r="N1484" s="2">
        <v>5.99</v>
      </c>
      <c r="O1484" s="2" t="s">
        <v>3989</v>
      </c>
      <c r="P1484" s="2" t="s">
        <v>74</v>
      </c>
      <c r="Q1484" s="2" t="s">
        <v>41</v>
      </c>
      <c r="R1484" s="2" t="s">
        <v>52</v>
      </c>
      <c r="S1484" s="2" t="s">
        <v>30</v>
      </c>
      <c r="T1484" s="2" t="s">
        <v>347</v>
      </c>
      <c r="U1484" s="2" t="str">
        <f t="shared" si="70"/>
        <v>Valid</v>
      </c>
      <c r="V1484" s="2" t="s">
        <v>3990</v>
      </c>
    </row>
    <row r="1485" spans="1:22" x14ac:dyDescent="0.3">
      <c r="A1485" s="2" t="s">
        <v>3991</v>
      </c>
      <c r="B1485" s="12">
        <f t="shared" si="69"/>
        <v>46238</v>
      </c>
      <c r="C1485" s="13" t="s">
        <v>255</v>
      </c>
      <c r="D1485" s="2" t="s">
        <v>364</v>
      </c>
      <c r="E1485" s="2" t="str">
        <f t="shared" si="71"/>
        <v>Missing Email</v>
      </c>
      <c r="F1485" s="2"/>
      <c r="G1485" s="2" t="s">
        <v>133</v>
      </c>
      <c r="H1485" s="2" t="s">
        <v>106</v>
      </c>
      <c r="I1485" s="2" t="s">
        <v>134</v>
      </c>
      <c r="J1485" s="2">
        <v>1</v>
      </c>
      <c r="K1485" s="2">
        <v>16.989999999999998</v>
      </c>
      <c r="L1485" s="2" t="s">
        <v>208</v>
      </c>
      <c r="M1485" s="2" t="s">
        <v>3992</v>
      </c>
      <c r="N1485" s="2">
        <v>7.99</v>
      </c>
      <c r="O1485" s="2">
        <v>22.43</v>
      </c>
      <c r="P1485" s="2" t="s">
        <v>74</v>
      </c>
      <c r="Q1485" s="2" t="s">
        <v>28</v>
      </c>
      <c r="R1485" s="2" t="s">
        <v>29</v>
      </c>
      <c r="S1485" s="2" t="s">
        <v>75</v>
      </c>
      <c r="T1485" s="2"/>
      <c r="U1485" s="2" t="str">
        <f t="shared" si="70"/>
        <v>Not Required</v>
      </c>
      <c r="V1485" s="2" t="s">
        <v>3993</v>
      </c>
    </row>
    <row r="1486" spans="1:22" hidden="1" x14ac:dyDescent="0.3">
      <c r="A1486" s="2" t="s">
        <v>3994</v>
      </c>
      <c r="B1486" s="12">
        <f t="shared" si="69"/>
        <v>46238.584311319442</v>
      </c>
      <c r="C1486" s="13">
        <v>46238.584311319442</v>
      </c>
      <c r="D1486" s="2" t="s">
        <v>193</v>
      </c>
      <c r="E1486" s="2" t="str">
        <f t="shared" si="71"/>
        <v>Email Available</v>
      </c>
      <c r="F1486" s="2" t="s">
        <v>194</v>
      </c>
      <c r="G1486" s="2" t="s">
        <v>112</v>
      </c>
      <c r="H1486" s="2" t="s">
        <v>81</v>
      </c>
      <c r="I1486" s="2" t="s">
        <v>113</v>
      </c>
      <c r="J1486" s="2">
        <v>4</v>
      </c>
      <c r="K1486" s="2">
        <v>22.99</v>
      </c>
      <c r="L1486" s="2"/>
      <c r="M1486" s="2">
        <v>0</v>
      </c>
      <c r="N1486" s="2">
        <v>0</v>
      </c>
      <c r="O1486" s="2">
        <v>91.96</v>
      </c>
      <c r="P1486" s="2" t="s">
        <v>27</v>
      </c>
      <c r="Q1486" s="2" t="s">
        <v>90</v>
      </c>
      <c r="R1486" s="2" t="s">
        <v>52</v>
      </c>
      <c r="S1486" s="2" t="s">
        <v>30</v>
      </c>
      <c r="T1486" s="2" t="s">
        <v>766</v>
      </c>
      <c r="U1486" s="2" t="str">
        <f t="shared" si="70"/>
        <v>Valid</v>
      </c>
      <c r="V1486" s="2" t="s">
        <v>3995</v>
      </c>
    </row>
    <row r="1487" spans="1:22" hidden="1" x14ac:dyDescent="0.3">
      <c r="A1487" s="2" t="s">
        <v>3996</v>
      </c>
      <c r="B1487" s="12">
        <f t="shared" si="69"/>
        <v>46238.585028136571</v>
      </c>
      <c r="C1487" s="13">
        <v>46238.585028136571</v>
      </c>
      <c r="D1487" s="2" t="s">
        <v>713</v>
      </c>
      <c r="E1487" s="2" t="str">
        <f t="shared" si="71"/>
        <v>Email Available</v>
      </c>
      <c r="F1487" s="2" t="s">
        <v>714</v>
      </c>
      <c r="G1487" s="2" t="s">
        <v>80</v>
      </c>
      <c r="H1487" s="2" t="s">
        <v>81</v>
      </c>
      <c r="I1487" s="2" t="s">
        <v>82</v>
      </c>
      <c r="J1487" s="2">
        <v>1</v>
      </c>
      <c r="K1487" s="2">
        <v>89.99</v>
      </c>
      <c r="L1487" s="2" t="s">
        <v>121</v>
      </c>
      <c r="M1487" s="2">
        <v>22.5</v>
      </c>
      <c r="N1487" s="2">
        <v>0</v>
      </c>
      <c r="O1487" s="2">
        <v>67.489999999999995</v>
      </c>
      <c r="P1487" s="2" t="s">
        <v>68</v>
      </c>
      <c r="Q1487" s="2" t="s">
        <v>90</v>
      </c>
      <c r="R1487" s="2" t="s">
        <v>52</v>
      </c>
      <c r="S1487" s="2" t="s">
        <v>337</v>
      </c>
      <c r="T1487" s="2"/>
      <c r="U1487" s="2" t="str">
        <f t="shared" si="70"/>
        <v>Not Required</v>
      </c>
      <c r="V1487" s="2" t="s">
        <v>3997</v>
      </c>
    </row>
    <row r="1488" spans="1:22" hidden="1" x14ac:dyDescent="0.3">
      <c r="A1488" s="2" t="s">
        <v>3998</v>
      </c>
      <c r="B1488" s="12">
        <f t="shared" si="69"/>
        <v>46238.580775937502</v>
      </c>
      <c r="C1488" s="13">
        <v>46238.580775937502</v>
      </c>
      <c r="D1488" s="2" t="s">
        <v>211</v>
      </c>
      <c r="E1488" s="2" t="str">
        <f t="shared" si="71"/>
        <v>Email Available</v>
      </c>
      <c r="F1488" s="2" t="s">
        <v>212</v>
      </c>
      <c r="G1488" s="2" t="s">
        <v>48</v>
      </c>
      <c r="H1488" s="2" t="s">
        <v>49</v>
      </c>
      <c r="I1488" s="2" t="s">
        <v>50</v>
      </c>
      <c r="J1488" s="2">
        <v>2</v>
      </c>
      <c r="K1488" s="2">
        <v>39.99</v>
      </c>
      <c r="L1488" s="2"/>
      <c r="M1488" s="2">
        <v>0</v>
      </c>
      <c r="N1488" s="2">
        <v>0</v>
      </c>
      <c r="O1488" s="2">
        <v>79.98</v>
      </c>
      <c r="P1488" s="2" t="s">
        <v>74</v>
      </c>
      <c r="Q1488" s="2" t="s">
        <v>41</v>
      </c>
      <c r="R1488" s="2" t="s">
        <v>29</v>
      </c>
      <c r="S1488" s="2" t="s">
        <v>108</v>
      </c>
      <c r="T1488" s="2"/>
      <c r="U1488" s="2" t="str">
        <f t="shared" si="70"/>
        <v>Not Required</v>
      </c>
      <c r="V1488" s="2" t="s">
        <v>3999</v>
      </c>
    </row>
    <row r="1489" spans="1:22" hidden="1" x14ac:dyDescent="0.3">
      <c r="A1489" s="2" t="s">
        <v>4004</v>
      </c>
      <c r="B1489" s="12">
        <f t="shared" si="69"/>
        <v>46238.579810856478</v>
      </c>
      <c r="C1489" s="13">
        <v>46238.579810856478</v>
      </c>
      <c r="D1489" s="2" t="s">
        <v>345</v>
      </c>
      <c r="E1489" s="2" t="str">
        <f t="shared" si="71"/>
        <v>Email Available</v>
      </c>
      <c r="F1489" s="2" t="s">
        <v>452</v>
      </c>
      <c r="G1489" s="2" t="s">
        <v>48</v>
      </c>
      <c r="H1489" s="2" t="s">
        <v>49</v>
      </c>
      <c r="I1489" s="2" t="s">
        <v>50</v>
      </c>
      <c r="J1489" s="2">
        <v>4</v>
      </c>
      <c r="K1489" s="2">
        <v>39.99</v>
      </c>
      <c r="L1489" s="2"/>
      <c r="M1489" s="2">
        <v>0</v>
      </c>
      <c r="N1489" s="2">
        <v>0</v>
      </c>
      <c r="O1489" s="2">
        <v>159.96</v>
      </c>
      <c r="P1489" s="2" t="s">
        <v>51</v>
      </c>
      <c r="Q1489" s="2" t="s">
        <v>28</v>
      </c>
      <c r="R1489" s="2" t="s">
        <v>52</v>
      </c>
      <c r="S1489" s="2" t="s">
        <v>30</v>
      </c>
      <c r="T1489" s="2" t="s">
        <v>454</v>
      </c>
      <c r="U1489" s="2" t="str">
        <f t="shared" si="70"/>
        <v>Valid</v>
      </c>
      <c r="V1489" s="2" t="s">
        <v>4005</v>
      </c>
    </row>
    <row r="1490" spans="1:22" hidden="1" x14ac:dyDescent="0.3">
      <c r="A1490" s="2" t="s">
        <v>4006</v>
      </c>
      <c r="B1490" s="12">
        <f>DATE(VALUE(RIGHT(C1490,4)),MATCH(LEFT(C1490,3),{"Jan","Feb","Mar","Apr","May","Jun","Jul","Aug","Sep","Oct","Nov","Dec"},0),VALUE(MID(C1490,5,2)))</f>
        <v>46238</v>
      </c>
      <c r="C1490" s="13" t="s">
        <v>176</v>
      </c>
      <c r="D1490" s="2"/>
      <c r="E1490" s="2" t="str">
        <f t="shared" si="71"/>
        <v>Email Available</v>
      </c>
      <c r="F1490" s="2" t="s">
        <v>765</v>
      </c>
      <c r="G1490" s="2" t="s">
        <v>187</v>
      </c>
      <c r="H1490" s="2" t="s">
        <v>37</v>
      </c>
      <c r="I1490" s="2" t="s">
        <v>188</v>
      </c>
      <c r="J1490" s="2">
        <v>1</v>
      </c>
      <c r="K1490" s="2">
        <v>11.99</v>
      </c>
      <c r="L1490" s="2"/>
      <c r="M1490" s="2">
        <v>0</v>
      </c>
      <c r="N1490" s="2">
        <v>7.99</v>
      </c>
      <c r="O1490" s="2">
        <v>19.98</v>
      </c>
      <c r="P1490" s="2" t="s">
        <v>40</v>
      </c>
      <c r="Q1490" s="2" t="s">
        <v>90</v>
      </c>
      <c r="R1490" s="2" t="s">
        <v>29</v>
      </c>
      <c r="S1490" s="2" t="s">
        <v>30</v>
      </c>
      <c r="T1490" s="2" t="s">
        <v>31</v>
      </c>
      <c r="U1490" s="2" t="str">
        <f t="shared" si="70"/>
        <v>Valid</v>
      </c>
      <c r="V1490" s="2" t="s">
        <v>1550</v>
      </c>
    </row>
    <row r="1491" spans="1:22" x14ac:dyDescent="0.3">
      <c r="A1491" s="2" t="s">
        <v>4007</v>
      </c>
      <c r="B1491" s="12">
        <f t="shared" si="69"/>
        <v>46238.588991643519</v>
      </c>
      <c r="C1491" s="13">
        <v>46238.588991643519</v>
      </c>
      <c r="D1491" s="2" t="s">
        <v>4008</v>
      </c>
      <c r="E1491" s="2" t="str">
        <f t="shared" si="71"/>
        <v>Missing Email</v>
      </c>
      <c r="F1491" s="2"/>
      <c r="G1491" s="2" t="s">
        <v>187</v>
      </c>
      <c r="H1491" s="2" t="s">
        <v>37</v>
      </c>
      <c r="I1491" s="2" t="s">
        <v>188</v>
      </c>
      <c r="J1491" s="2">
        <v>2</v>
      </c>
      <c r="K1491" s="2">
        <v>11.99</v>
      </c>
      <c r="L1491" s="2"/>
      <c r="M1491" s="2">
        <v>0</v>
      </c>
      <c r="N1491" s="2">
        <v>5.99</v>
      </c>
      <c r="O1491" s="2">
        <v>29.97</v>
      </c>
      <c r="P1491" s="2" t="s">
        <v>40</v>
      </c>
      <c r="Q1491" s="2" t="s">
        <v>90</v>
      </c>
      <c r="R1491" s="2" t="s">
        <v>52</v>
      </c>
      <c r="S1491" s="2" t="s">
        <v>30</v>
      </c>
      <c r="T1491" s="2" t="s">
        <v>53</v>
      </c>
      <c r="U1491" s="2" t="str">
        <f t="shared" si="70"/>
        <v>Valid</v>
      </c>
      <c r="V1491" s="2" t="s">
        <v>1809</v>
      </c>
    </row>
    <row r="1492" spans="1:22" hidden="1" x14ac:dyDescent="0.3">
      <c r="A1492" s="2" t="s">
        <v>4009</v>
      </c>
      <c r="B1492" s="12">
        <f t="shared" si="69"/>
        <v>46238.587364270832</v>
      </c>
      <c r="C1492" s="13">
        <v>46238.587364270832</v>
      </c>
      <c r="D1492" s="2" t="s">
        <v>2572</v>
      </c>
      <c r="E1492" s="2" t="str">
        <f t="shared" si="71"/>
        <v>Email Available</v>
      </c>
      <c r="F1492" s="2" t="s">
        <v>2573</v>
      </c>
      <c r="G1492" s="2" t="s">
        <v>80</v>
      </c>
      <c r="H1492" s="2" t="s">
        <v>81</v>
      </c>
      <c r="I1492" s="2" t="s">
        <v>82</v>
      </c>
      <c r="J1492" s="2">
        <v>1</v>
      </c>
      <c r="K1492" s="2">
        <v>89.99</v>
      </c>
      <c r="L1492" s="2" t="s">
        <v>67</v>
      </c>
      <c r="M1492" s="2">
        <v>9</v>
      </c>
      <c r="N1492" s="2">
        <v>0</v>
      </c>
      <c r="O1492" s="2">
        <v>80.989999999999995</v>
      </c>
      <c r="P1492" s="2" t="s">
        <v>74</v>
      </c>
      <c r="Q1492" s="2" t="s">
        <v>114</v>
      </c>
      <c r="R1492" s="2" t="s">
        <v>52</v>
      </c>
      <c r="S1492" s="2" t="s">
        <v>337</v>
      </c>
      <c r="T1492" s="2"/>
      <c r="U1492" s="2" t="str">
        <f t="shared" si="70"/>
        <v>Not Required</v>
      </c>
      <c r="V1492" s="2" t="s">
        <v>1207</v>
      </c>
    </row>
    <row r="1493" spans="1:22" hidden="1" x14ac:dyDescent="0.3">
      <c r="A1493" s="2" t="s">
        <v>4010</v>
      </c>
      <c r="B1493" s="12">
        <f t="shared" si="69"/>
        <v>46238.582071458331</v>
      </c>
      <c r="C1493" s="13">
        <v>46238.582071458331</v>
      </c>
      <c r="D1493" s="2" t="s">
        <v>2478</v>
      </c>
      <c r="E1493" s="2" t="str">
        <f t="shared" si="71"/>
        <v>Email Available</v>
      </c>
      <c r="F1493" s="2" t="s">
        <v>2479</v>
      </c>
      <c r="G1493" s="2" t="s">
        <v>65</v>
      </c>
      <c r="H1493" s="2" t="s">
        <v>49</v>
      </c>
      <c r="I1493" s="2" t="s">
        <v>453</v>
      </c>
      <c r="J1493" s="2">
        <v>1</v>
      </c>
      <c r="K1493" s="2">
        <v>14.99</v>
      </c>
      <c r="L1493" s="2"/>
      <c r="M1493" s="2">
        <v>0</v>
      </c>
      <c r="N1493" s="2">
        <v>4.99</v>
      </c>
      <c r="O1493" s="2">
        <v>19.98</v>
      </c>
      <c r="P1493" s="2" t="s">
        <v>27</v>
      </c>
      <c r="Q1493" s="2" t="s">
        <v>28</v>
      </c>
      <c r="R1493" s="2" t="s">
        <v>42</v>
      </c>
      <c r="S1493" s="2" t="s">
        <v>108</v>
      </c>
      <c r="T1493" s="2"/>
      <c r="U1493" s="2" t="str">
        <f t="shared" si="70"/>
        <v>Not Required</v>
      </c>
      <c r="V1493" s="2" t="s">
        <v>4011</v>
      </c>
    </row>
    <row r="1494" spans="1:22" hidden="1" x14ac:dyDescent="0.3">
      <c r="A1494" s="2" t="s">
        <v>4012</v>
      </c>
      <c r="B1494" s="12">
        <f t="shared" si="69"/>
        <v>46238.582503761572</v>
      </c>
      <c r="C1494" s="13">
        <v>46238.582503761572</v>
      </c>
      <c r="D1494" s="2" t="s">
        <v>1227</v>
      </c>
      <c r="E1494" s="2" t="str">
        <f t="shared" si="71"/>
        <v>Email Available</v>
      </c>
      <c r="F1494" s="2" t="s">
        <v>1228</v>
      </c>
      <c r="G1494" s="2" t="s">
        <v>284</v>
      </c>
      <c r="H1494" s="2" t="s">
        <v>23</v>
      </c>
      <c r="I1494" s="2" t="s">
        <v>285</v>
      </c>
      <c r="J1494" s="2">
        <v>2</v>
      </c>
      <c r="K1494" s="2">
        <v>24.99</v>
      </c>
      <c r="L1494" s="2" t="s">
        <v>39</v>
      </c>
      <c r="M1494" s="2">
        <v>0</v>
      </c>
      <c r="N1494" s="2">
        <v>0</v>
      </c>
      <c r="O1494" s="2">
        <v>49.98</v>
      </c>
      <c r="P1494" s="2" t="s">
        <v>27</v>
      </c>
      <c r="Q1494" s="2" t="s">
        <v>90</v>
      </c>
      <c r="R1494" s="2" t="s">
        <v>52</v>
      </c>
      <c r="S1494" s="2" t="s">
        <v>30</v>
      </c>
      <c r="T1494" s="2" t="s">
        <v>145</v>
      </c>
      <c r="U1494" s="2" t="str">
        <f t="shared" si="70"/>
        <v>Valid</v>
      </c>
      <c r="V1494" s="2" t="s">
        <v>4013</v>
      </c>
    </row>
    <row r="1495" spans="1:22" hidden="1" x14ac:dyDescent="0.3">
      <c r="A1495" s="2" t="s">
        <v>4014</v>
      </c>
      <c r="B1495" s="12">
        <f t="shared" si="69"/>
        <v>46238.580508194442</v>
      </c>
      <c r="C1495" s="13">
        <v>46238.580508194442</v>
      </c>
      <c r="D1495" s="2" t="s">
        <v>327</v>
      </c>
      <c r="E1495" s="2" t="str">
        <f t="shared" si="71"/>
        <v>Email Available</v>
      </c>
      <c r="F1495" s="2" t="s">
        <v>328</v>
      </c>
      <c r="G1495" s="2" t="s">
        <v>151</v>
      </c>
      <c r="H1495" s="2" t="s">
        <v>49</v>
      </c>
      <c r="I1495" s="2" t="s">
        <v>152</v>
      </c>
      <c r="J1495" s="2">
        <v>1</v>
      </c>
      <c r="K1495" s="2">
        <v>34.99</v>
      </c>
      <c r="L1495" s="2"/>
      <c r="M1495" s="2">
        <v>0</v>
      </c>
      <c r="N1495" s="2">
        <v>5.99</v>
      </c>
      <c r="O1495" s="2" t="s">
        <v>4015</v>
      </c>
      <c r="P1495" s="2" t="s">
        <v>68</v>
      </c>
      <c r="Q1495" s="2" t="s">
        <v>28</v>
      </c>
      <c r="R1495" s="2" t="s">
        <v>52</v>
      </c>
      <c r="S1495" s="2" t="s">
        <v>228</v>
      </c>
      <c r="T1495" s="2"/>
      <c r="U1495" s="2" t="str">
        <f t="shared" si="70"/>
        <v>Not Required</v>
      </c>
      <c r="V1495" s="2" t="s">
        <v>4016</v>
      </c>
    </row>
    <row r="1496" spans="1:22" hidden="1" x14ac:dyDescent="0.3">
      <c r="A1496" s="2" t="s">
        <v>4017</v>
      </c>
      <c r="B1496" s="12">
        <f t="shared" si="69"/>
        <v>46238.583963900463</v>
      </c>
      <c r="C1496" s="13">
        <v>46238.583963900463</v>
      </c>
      <c r="D1496" s="2" t="s">
        <v>2093</v>
      </c>
      <c r="E1496" s="2" t="str">
        <f t="shared" si="71"/>
        <v>Email Available</v>
      </c>
      <c r="F1496" s="2" t="s">
        <v>2094</v>
      </c>
      <c r="G1496" s="2" t="s">
        <v>226</v>
      </c>
      <c r="H1496" s="2" t="s">
        <v>23</v>
      </c>
      <c r="I1496" s="2" t="s">
        <v>227</v>
      </c>
      <c r="J1496" s="2">
        <v>1</v>
      </c>
      <c r="K1496" s="2">
        <v>17.989999999999998</v>
      </c>
      <c r="L1496" s="2"/>
      <c r="M1496" s="2">
        <v>0</v>
      </c>
      <c r="N1496" s="2">
        <v>5.99</v>
      </c>
      <c r="O1496" s="2">
        <v>23.98</v>
      </c>
      <c r="P1496" s="2" t="s">
        <v>40</v>
      </c>
      <c r="Q1496" s="2" t="s">
        <v>28</v>
      </c>
      <c r="R1496" s="2" t="s">
        <v>52</v>
      </c>
      <c r="S1496" s="2" t="s">
        <v>30</v>
      </c>
      <c r="T1496" s="2" t="s">
        <v>69</v>
      </c>
      <c r="U1496" s="2" t="str">
        <f t="shared" si="70"/>
        <v>Valid</v>
      </c>
      <c r="V1496" s="2" t="s">
        <v>4018</v>
      </c>
    </row>
    <row r="1497" spans="1:22" hidden="1" x14ac:dyDescent="0.3">
      <c r="A1497" s="2" t="s">
        <v>4019</v>
      </c>
      <c r="B1497" s="12">
        <f t="shared" si="69"/>
        <v>46238.579615902781</v>
      </c>
      <c r="C1497" s="13">
        <v>46238.579615902781</v>
      </c>
      <c r="D1497" s="2" t="s">
        <v>354</v>
      </c>
      <c r="E1497" s="2" t="str">
        <f t="shared" si="71"/>
        <v>Email Available</v>
      </c>
      <c r="F1497" s="2" t="s">
        <v>355</v>
      </c>
      <c r="G1497" s="2" t="s">
        <v>241</v>
      </c>
      <c r="H1497" s="2" t="s">
        <v>242</v>
      </c>
      <c r="I1497" s="2" t="s">
        <v>243</v>
      </c>
      <c r="J1497" s="2">
        <v>2</v>
      </c>
      <c r="K1497" s="2">
        <v>27.99</v>
      </c>
      <c r="L1497" s="2"/>
      <c r="M1497" s="2">
        <v>0</v>
      </c>
      <c r="N1497" s="2">
        <v>4.99</v>
      </c>
      <c r="O1497" s="2">
        <v>60.97</v>
      </c>
      <c r="P1497" s="2" t="s">
        <v>40</v>
      </c>
      <c r="Q1497" s="2" t="s">
        <v>28</v>
      </c>
      <c r="R1497" s="2" t="s">
        <v>52</v>
      </c>
      <c r="S1497" s="2" t="s">
        <v>228</v>
      </c>
      <c r="T1497" s="2"/>
      <c r="U1497" s="2" t="str">
        <f t="shared" si="70"/>
        <v>Not Required</v>
      </c>
      <c r="V1497" s="2" t="s">
        <v>4020</v>
      </c>
    </row>
    <row r="1498" spans="1:22" x14ac:dyDescent="0.3">
      <c r="A1498" s="2" t="s">
        <v>4021</v>
      </c>
      <c r="B1498" s="12">
        <f t="shared" si="69"/>
        <v>46238.583288495371</v>
      </c>
      <c r="C1498" s="13">
        <v>46238.583288495371</v>
      </c>
      <c r="D1498" s="2" t="s">
        <v>853</v>
      </c>
      <c r="E1498" s="2" t="str">
        <f t="shared" si="71"/>
        <v>Missing Email</v>
      </c>
      <c r="F1498" s="2"/>
      <c r="G1498" s="2" t="s">
        <v>80</v>
      </c>
      <c r="H1498" s="2" t="s">
        <v>81</v>
      </c>
      <c r="I1498" s="2" t="s">
        <v>82</v>
      </c>
      <c r="J1498" s="2">
        <v>1</v>
      </c>
      <c r="K1498" s="2">
        <v>89.99</v>
      </c>
      <c r="L1498" s="2" t="s">
        <v>208</v>
      </c>
      <c r="M1498" s="2" t="s">
        <v>4022</v>
      </c>
      <c r="N1498" s="2">
        <v>0</v>
      </c>
      <c r="O1498" s="2">
        <v>76.489999999999995</v>
      </c>
      <c r="P1498" s="2" t="s">
        <v>68</v>
      </c>
      <c r="Q1498" s="2" t="s">
        <v>90</v>
      </c>
      <c r="R1498" s="2" t="s">
        <v>29</v>
      </c>
      <c r="S1498" s="2" t="s">
        <v>30</v>
      </c>
      <c r="T1498" s="2" t="s">
        <v>145</v>
      </c>
      <c r="U1498" s="2" t="str">
        <f t="shared" si="70"/>
        <v>Valid</v>
      </c>
      <c r="V1498" s="2" t="s">
        <v>4023</v>
      </c>
    </row>
    <row r="1499" spans="1:22" hidden="1" x14ac:dyDescent="0.3">
      <c r="A1499" s="2" t="s">
        <v>4024</v>
      </c>
      <c r="B1499" s="12">
        <f t="shared" si="69"/>
        <v>46238.58602722222</v>
      </c>
      <c r="C1499" s="13">
        <v>46238.58602722222</v>
      </c>
      <c r="D1499" s="2" t="s">
        <v>1172</v>
      </c>
      <c r="E1499" s="2" t="str">
        <f t="shared" si="71"/>
        <v>Email Available</v>
      </c>
      <c r="F1499" s="2" t="s">
        <v>1173</v>
      </c>
      <c r="G1499" s="2" t="s">
        <v>157</v>
      </c>
      <c r="H1499" s="2" t="s">
        <v>37</v>
      </c>
      <c r="I1499" s="2" t="s">
        <v>158</v>
      </c>
      <c r="J1499" s="2">
        <v>1</v>
      </c>
      <c r="K1499" s="2">
        <v>29.99</v>
      </c>
      <c r="L1499" s="2" t="s">
        <v>25</v>
      </c>
      <c r="M1499" s="2">
        <v>6</v>
      </c>
      <c r="N1499" s="2">
        <v>5.99</v>
      </c>
      <c r="O1499" s="2">
        <v>29.98</v>
      </c>
      <c r="P1499" s="2" t="s">
        <v>68</v>
      </c>
      <c r="Q1499" s="2" t="s">
        <v>41</v>
      </c>
      <c r="R1499" s="2" t="s">
        <v>52</v>
      </c>
      <c r="S1499" s="2" t="s">
        <v>43</v>
      </c>
      <c r="T1499" s="2"/>
      <c r="U1499" s="2" t="str">
        <f t="shared" si="70"/>
        <v>Not Required</v>
      </c>
      <c r="V1499" s="2" t="s">
        <v>4025</v>
      </c>
    </row>
    <row r="1500" spans="1:22" hidden="1" x14ac:dyDescent="0.3">
      <c r="A1500" s="2" t="s">
        <v>4026</v>
      </c>
      <c r="B1500" s="12">
        <f t="shared" si="69"/>
        <v>46120</v>
      </c>
      <c r="C1500" s="13" t="s">
        <v>142</v>
      </c>
      <c r="D1500" s="2" t="s">
        <v>4027</v>
      </c>
      <c r="E1500" s="2" t="str">
        <f t="shared" si="71"/>
        <v>Email Available</v>
      </c>
      <c r="F1500" s="2" t="s">
        <v>537</v>
      </c>
      <c r="G1500" s="2" t="s">
        <v>241</v>
      </c>
      <c r="H1500" s="2" t="s">
        <v>242</v>
      </c>
      <c r="I1500" s="2" t="s">
        <v>243</v>
      </c>
      <c r="J1500" s="2">
        <v>1</v>
      </c>
      <c r="K1500" s="2">
        <v>27.99</v>
      </c>
      <c r="L1500" s="2"/>
      <c r="M1500" s="2">
        <v>0</v>
      </c>
      <c r="N1500" s="2">
        <v>7.99</v>
      </c>
      <c r="O1500" s="2" t="s">
        <v>792</v>
      </c>
      <c r="P1500" s="2" t="s">
        <v>40</v>
      </c>
      <c r="Q1500" s="2" t="s">
        <v>90</v>
      </c>
      <c r="R1500" s="2" t="s">
        <v>42</v>
      </c>
      <c r="S1500" s="2" t="s">
        <v>30</v>
      </c>
      <c r="T1500" s="2" t="s">
        <v>347</v>
      </c>
      <c r="U1500" s="2" t="str">
        <f t="shared" si="70"/>
        <v>Valid</v>
      </c>
      <c r="V1500" s="2" t="s">
        <v>4028</v>
      </c>
    </row>
    <row r="1501" spans="1:22" hidden="1" x14ac:dyDescent="0.3">
      <c r="A1501" s="2" t="s">
        <v>4029</v>
      </c>
      <c r="B1501" s="12">
        <f t="shared" si="69"/>
        <v>46238.587122280092</v>
      </c>
      <c r="C1501" s="13">
        <v>46238.587122280092</v>
      </c>
      <c r="D1501" s="2" t="s">
        <v>1502</v>
      </c>
      <c r="E1501" s="2" t="str">
        <f t="shared" si="71"/>
        <v>Email Available</v>
      </c>
      <c r="F1501" s="2" t="s">
        <v>1503</v>
      </c>
      <c r="G1501" s="2" t="s">
        <v>171</v>
      </c>
      <c r="H1501" s="2" t="s">
        <v>106</v>
      </c>
      <c r="I1501" s="2" t="s">
        <v>172</v>
      </c>
      <c r="J1501" s="2">
        <v>1</v>
      </c>
      <c r="K1501" s="2" t="s">
        <v>173</v>
      </c>
      <c r="L1501" s="2" t="s">
        <v>121</v>
      </c>
      <c r="M1501" s="2">
        <v>8.25</v>
      </c>
      <c r="N1501" s="2">
        <v>7.99</v>
      </c>
      <c r="O1501" s="2">
        <v>32.729999999999997</v>
      </c>
      <c r="P1501" s="2" t="s">
        <v>51</v>
      </c>
      <c r="Q1501" s="2" t="s">
        <v>28</v>
      </c>
      <c r="R1501" s="2" t="s">
        <v>52</v>
      </c>
      <c r="S1501" s="2" t="s">
        <v>30</v>
      </c>
      <c r="T1501" s="2" t="s">
        <v>248</v>
      </c>
      <c r="U1501" s="2" t="str">
        <f t="shared" si="70"/>
        <v>Valid</v>
      </c>
      <c r="V1501" s="2" t="s">
        <v>4030</v>
      </c>
    </row>
    <row r="1502" spans="1:22" hidden="1" x14ac:dyDescent="0.3">
      <c r="A1502" s="2" t="s">
        <v>4031</v>
      </c>
      <c r="B1502" s="12">
        <f t="shared" si="69"/>
        <v>46238.585486157397</v>
      </c>
      <c r="C1502" s="13">
        <v>46238.585486157397</v>
      </c>
      <c r="D1502" s="2" t="s">
        <v>239</v>
      </c>
      <c r="E1502" s="2" t="str">
        <f t="shared" si="71"/>
        <v>Email Available</v>
      </c>
      <c r="F1502" s="2" t="s">
        <v>240</v>
      </c>
      <c r="G1502" s="2" t="s">
        <v>284</v>
      </c>
      <c r="H1502" s="2" t="s">
        <v>23</v>
      </c>
      <c r="I1502" s="2" t="s">
        <v>285</v>
      </c>
      <c r="J1502" s="2">
        <v>2</v>
      </c>
      <c r="K1502" s="2">
        <v>24.99</v>
      </c>
      <c r="L1502" s="2" t="s">
        <v>39</v>
      </c>
      <c r="M1502" s="2">
        <v>0</v>
      </c>
      <c r="N1502" s="2">
        <v>0</v>
      </c>
      <c r="O1502" s="2">
        <v>49.98</v>
      </c>
      <c r="P1502" s="2" t="s">
        <v>74</v>
      </c>
      <c r="Q1502" s="2" t="s">
        <v>28</v>
      </c>
      <c r="R1502" s="2" t="s">
        <v>52</v>
      </c>
      <c r="S1502" s="2" t="s">
        <v>75</v>
      </c>
      <c r="T1502" s="2"/>
      <c r="U1502" s="2" t="str">
        <f t="shared" si="70"/>
        <v>Not Required</v>
      </c>
      <c r="V1502" s="2" t="s">
        <v>4032</v>
      </c>
    </row>
    <row r="1503" spans="1:22" hidden="1" x14ac:dyDescent="0.3">
      <c r="A1503" s="2" t="s">
        <v>4033</v>
      </c>
      <c r="B1503" s="12">
        <f t="shared" si="69"/>
        <v>46238.586810023153</v>
      </c>
      <c r="C1503" s="13">
        <v>46238.586810023153</v>
      </c>
      <c r="D1503" s="2" t="s">
        <v>1098</v>
      </c>
      <c r="E1503" s="2" t="str">
        <f t="shared" si="71"/>
        <v>Email Available</v>
      </c>
      <c r="F1503" s="2" t="s">
        <v>1099</v>
      </c>
      <c r="G1503" s="2" t="s">
        <v>226</v>
      </c>
      <c r="H1503" s="2" t="s">
        <v>23</v>
      </c>
      <c r="I1503" s="2" t="s">
        <v>227</v>
      </c>
      <c r="J1503" s="2">
        <v>2</v>
      </c>
      <c r="K1503" s="2">
        <v>17.989999999999998</v>
      </c>
      <c r="L1503" s="2" t="s">
        <v>25</v>
      </c>
      <c r="M1503" s="2">
        <v>7.2</v>
      </c>
      <c r="N1503" s="2">
        <v>4.99</v>
      </c>
      <c r="O1503" s="2" t="s">
        <v>4034</v>
      </c>
      <c r="P1503" s="2" t="s">
        <v>74</v>
      </c>
      <c r="Q1503" s="2" t="s">
        <v>28</v>
      </c>
      <c r="R1503" s="2" t="s">
        <v>52</v>
      </c>
      <c r="S1503" s="2" t="s">
        <v>30</v>
      </c>
      <c r="T1503" s="2" t="s">
        <v>248</v>
      </c>
      <c r="U1503" s="2" t="str">
        <f t="shared" si="70"/>
        <v>Valid</v>
      </c>
      <c r="V1503" s="2" t="s">
        <v>4035</v>
      </c>
    </row>
    <row r="1504" spans="1:22" hidden="1" x14ac:dyDescent="0.3">
      <c r="A1504" s="2" t="s">
        <v>4036</v>
      </c>
      <c r="B1504" s="12">
        <f t="shared" si="69"/>
        <v>46238.581115949077</v>
      </c>
      <c r="C1504" s="13">
        <v>46238.581115949077</v>
      </c>
      <c r="D1504" s="2" t="s">
        <v>1953</v>
      </c>
      <c r="E1504" s="2" t="str">
        <f t="shared" si="71"/>
        <v>Email Available</v>
      </c>
      <c r="F1504" s="2" t="s">
        <v>4037</v>
      </c>
      <c r="G1504" s="2" t="s">
        <v>368</v>
      </c>
      <c r="H1504" s="2" t="s">
        <v>88</v>
      </c>
      <c r="I1504" s="2" t="s">
        <v>369</v>
      </c>
      <c r="J1504" s="2">
        <v>1</v>
      </c>
      <c r="K1504" s="2">
        <v>54.99</v>
      </c>
      <c r="L1504" s="2" t="s">
        <v>67</v>
      </c>
      <c r="M1504" s="2">
        <v>5.5</v>
      </c>
      <c r="N1504" s="2">
        <v>4.99</v>
      </c>
      <c r="O1504" s="2">
        <v>54.48</v>
      </c>
      <c r="P1504" s="2" t="s">
        <v>40</v>
      </c>
      <c r="Q1504" s="2" t="s">
        <v>114</v>
      </c>
      <c r="R1504" s="2" t="s">
        <v>29</v>
      </c>
      <c r="S1504" s="2" t="s">
        <v>228</v>
      </c>
      <c r="T1504" s="2"/>
      <c r="U1504" s="2" t="str">
        <f t="shared" si="70"/>
        <v>Not Required</v>
      </c>
      <c r="V1504" s="2" t="s">
        <v>4038</v>
      </c>
    </row>
    <row r="1505" spans="1:22" hidden="1" x14ac:dyDescent="0.3">
      <c r="A1505" s="2" t="s">
        <v>4039</v>
      </c>
      <c r="B1505" s="12">
        <f t="shared" si="69"/>
        <v>46238.586869965278</v>
      </c>
      <c r="C1505" s="13">
        <v>46238.586869965278</v>
      </c>
      <c r="D1505" s="2" t="s">
        <v>4040</v>
      </c>
      <c r="E1505" s="2" t="str">
        <f t="shared" si="71"/>
        <v>Email Available</v>
      </c>
      <c r="F1505" s="2" t="s">
        <v>741</v>
      </c>
      <c r="G1505" s="2" t="s">
        <v>206</v>
      </c>
      <c r="H1505" s="2" t="s">
        <v>196</v>
      </c>
      <c r="I1505" s="2" t="s">
        <v>207</v>
      </c>
      <c r="J1505" s="2">
        <v>2</v>
      </c>
      <c r="K1505" s="2">
        <v>24.99</v>
      </c>
      <c r="L1505" s="2" t="s">
        <v>208</v>
      </c>
      <c r="M1505" s="2">
        <v>7.5</v>
      </c>
      <c r="N1505" s="2">
        <v>7.99</v>
      </c>
      <c r="O1505" s="2" t="s">
        <v>4041</v>
      </c>
      <c r="P1505" s="2" t="s">
        <v>68</v>
      </c>
      <c r="Q1505" s="2" t="s">
        <v>28</v>
      </c>
      <c r="R1505" s="2" t="s">
        <v>29</v>
      </c>
      <c r="S1505" s="2" t="s">
        <v>108</v>
      </c>
      <c r="T1505" s="2"/>
      <c r="U1505" s="2" t="str">
        <f t="shared" si="70"/>
        <v>Not Required</v>
      </c>
      <c r="V1505" s="2" t="s">
        <v>4042</v>
      </c>
    </row>
    <row r="1506" spans="1:22" hidden="1" x14ac:dyDescent="0.3">
      <c r="A1506" s="2" t="s">
        <v>4043</v>
      </c>
      <c r="B1506" s="12">
        <f t="shared" si="69"/>
        <v>46238.586900324073</v>
      </c>
      <c r="C1506" s="13">
        <v>46238.586900324073</v>
      </c>
      <c r="D1506" s="2" t="s">
        <v>3373</v>
      </c>
      <c r="E1506" s="2" t="str">
        <f t="shared" si="71"/>
        <v>Email Available</v>
      </c>
      <c r="F1506" s="2" t="s">
        <v>3374</v>
      </c>
      <c r="G1506" s="2" t="s">
        <v>65</v>
      </c>
      <c r="H1506" s="2" t="s">
        <v>49</v>
      </c>
      <c r="I1506" s="2" t="s">
        <v>453</v>
      </c>
      <c r="J1506" s="2">
        <v>3</v>
      </c>
      <c r="K1506" s="2">
        <v>14.99</v>
      </c>
      <c r="L1506" s="2" t="s">
        <v>208</v>
      </c>
      <c r="M1506" s="2">
        <v>6.75</v>
      </c>
      <c r="N1506" s="2">
        <v>5.99</v>
      </c>
      <c r="O1506" s="2">
        <v>44.21</v>
      </c>
      <c r="P1506" s="2" t="s">
        <v>68</v>
      </c>
      <c r="Q1506" s="2" t="s">
        <v>114</v>
      </c>
      <c r="R1506" s="2" t="s">
        <v>42</v>
      </c>
      <c r="S1506" s="2" t="s">
        <v>337</v>
      </c>
      <c r="T1506" s="2"/>
      <c r="U1506" s="2" t="str">
        <f t="shared" si="70"/>
        <v>Not Required</v>
      </c>
      <c r="V1506" s="2" t="s">
        <v>4044</v>
      </c>
    </row>
    <row r="1507" spans="1:22" x14ac:dyDescent="0.3">
      <c r="A1507" s="2" t="s">
        <v>4045</v>
      </c>
      <c r="B1507" s="12">
        <f t="shared" si="69"/>
        <v>46238.584720590283</v>
      </c>
      <c r="C1507" s="13">
        <v>46238.584720590283</v>
      </c>
      <c r="D1507" s="2" t="s">
        <v>2097</v>
      </c>
      <c r="E1507" s="2" t="str">
        <f t="shared" si="71"/>
        <v>Missing Email</v>
      </c>
      <c r="F1507" s="2"/>
      <c r="G1507" s="2" t="s">
        <v>65</v>
      </c>
      <c r="H1507" s="2" t="s">
        <v>49</v>
      </c>
      <c r="I1507" s="2" t="s">
        <v>66</v>
      </c>
      <c r="J1507" s="2">
        <v>1</v>
      </c>
      <c r="K1507" s="2">
        <v>14.99</v>
      </c>
      <c r="L1507" s="2" t="s">
        <v>39</v>
      </c>
      <c r="M1507" s="2">
        <v>0</v>
      </c>
      <c r="N1507" s="2">
        <v>0</v>
      </c>
      <c r="O1507" s="2" t="s">
        <v>1485</v>
      </c>
      <c r="P1507" s="2" t="s">
        <v>27</v>
      </c>
      <c r="Q1507" s="2" t="s">
        <v>90</v>
      </c>
      <c r="R1507" s="2" t="s">
        <v>42</v>
      </c>
      <c r="S1507" s="2" t="s">
        <v>75</v>
      </c>
      <c r="T1507" s="2"/>
      <c r="U1507" s="2" t="str">
        <f t="shared" si="70"/>
        <v>Not Required</v>
      </c>
      <c r="V1507" s="2" t="s">
        <v>4046</v>
      </c>
    </row>
    <row r="1508" spans="1:22" hidden="1" x14ac:dyDescent="0.3">
      <c r="A1508" s="2" t="s">
        <v>4047</v>
      </c>
      <c r="B1508" s="12">
        <f t="shared" si="69"/>
        <v>46238</v>
      </c>
      <c r="C1508" s="13" t="s">
        <v>2780</v>
      </c>
      <c r="D1508" s="2" t="s">
        <v>866</v>
      </c>
      <c r="E1508" s="2" t="str">
        <f t="shared" si="71"/>
        <v>Email Available</v>
      </c>
      <c r="F1508" s="2" t="s">
        <v>867</v>
      </c>
      <c r="G1508" s="2" t="s">
        <v>171</v>
      </c>
      <c r="H1508" s="2" t="s">
        <v>106</v>
      </c>
      <c r="I1508" s="2" t="s">
        <v>172</v>
      </c>
      <c r="J1508" s="2">
        <v>3</v>
      </c>
      <c r="K1508" s="2" t="s">
        <v>173</v>
      </c>
      <c r="L1508" s="2" t="s">
        <v>39</v>
      </c>
      <c r="M1508" s="2">
        <v>0</v>
      </c>
      <c r="N1508" s="2">
        <v>0</v>
      </c>
      <c r="O1508" s="2">
        <v>98.97</v>
      </c>
      <c r="P1508" s="2" t="s">
        <v>74</v>
      </c>
      <c r="Q1508" s="2" t="s">
        <v>28</v>
      </c>
      <c r="R1508" s="2" t="s">
        <v>52</v>
      </c>
      <c r="S1508" s="2" t="s">
        <v>108</v>
      </c>
      <c r="T1508" s="2"/>
      <c r="U1508" s="2" t="str">
        <f t="shared" si="70"/>
        <v>Not Required</v>
      </c>
      <c r="V1508" s="2" t="s">
        <v>4048</v>
      </c>
    </row>
    <row r="1509" spans="1:22" hidden="1" x14ac:dyDescent="0.3">
      <c r="A1509" s="2" t="s">
        <v>4049</v>
      </c>
      <c r="B1509" s="12">
        <f t="shared" si="69"/>
        <v>46120</v>
      </c>
      <c r="C1509" s="13" t="s">
        <v>142</v>
      </c>
      <c r="D1509" s="2" t="s">
        <v>2992</v>
      </c>
      <c r="E1509" s="2" t="str">
        <f t="shared" si="71"/>
        <v>Email Available</v>
      </c>
      <c r="F1509" s="2" t="s">
        <v>2993</v>
      </c>
      <c r="G1509" s="2" t="s">
        <v>241</v>
      </c>
      <c r="H1509" s="2" t="s">
        <v>242</v>
      </c>
      <c r="I1509" s="2" t="s">
        <v>243</v>
      </c>
      <c r="J1509" s="2">
        <v>1</v>
      </c>
      <c r="K1509" s="2" t="s">
        <v>1532</v>
      </c>
      <c r="L1509" s="2" t="s">
        <v>67</v>
      </c>
      <c r="M1509" s="2">
        <v>2.8</v>
      </c>
      <c r="N1509" s="2">
        <v>5.99</v>
      </c>
      <c r="O1509" s="2">
        <v>31.18</v>
      </c>
      <c r="P1509" s="2" t="s">
        <v>51</v>
      </c>
      <c r="Q1509" s="2" t="s">
        <v>114</v>
      </c>
      <c r="R1509" s="2" t="s">
        <v>52</v>
      </c>
      <c r="S1509" s="2" t="s">
        <v>30</v>
      </c>
      <c r="T1509" s="2" t="s">
        <v>347</v>
      </c>
      <c r="U1509" s="2" t="str">
        <f t="shared" si="70"/>
        <v>Valid</v>
      </c>
      <c r="V1509" s="2" t="s">
        <v>4050</v>
      </c>
    </row>
    <row r="1510" spans="1:22" hidden="1" x14ac:dyDescent="0.3">
      <c r="A1510" s="2" t="s">
        <v>4051</v>
      </c>
      <c r="B1510" s="12">
        <f t="shared" si="69"/>
        <v>46238.579353148147</v>
      </c>
      <c r="C1510" s="13">
        <v>46238.579353148147</v>
      </c>
      <c r="D1510" s="2" t="s">
        <v>204</v>
      </c>
      <c r="E1510" s="2" t="str">
        <f t="shared" si="71"/>
        <v>Email Available</v>
      </c>
      <c r="F1510" s="2" t="s">
        <v>205</v>
      </c>
      <c r="G1510" s="2" t="s">
        <v>272</v>
      </c>
      <c r="H1510" s="2" t="s">
        <v>23</v>
      </c>
      <c r="I1510" s="2" t="s">
        <v>273</v>
      </c>
      <c r="J1510" s="2">
        <v>1</v>
      </c>
      <c r="K1510" s="2">
        <v>18.989999999999998</v>
      </c>
      <c r="L1510" s="2" t="s">
        <v>121</v>
      </c>
      <c r="M1510" s="2">
        <v>4.75</v>
      </c>
      <c r="N1510" s="2">
        <v>7.99</v>
      </c>
      <c r="O1510" s="2">
        <v>22.23</v>
      </c>
      <c r="P1510" s="2" t="s">
        <v>68</v>
      </c>
      <c r="Q1510" s="2" t="s">
        <v>90</v>
      </c>
      <c r="R1510" s="2" t="s">
        <v>52</v>
      </c>
      <c r="S1510" s="2" t="s">
        <v>75</v>
      </c>
      <c r="T1510" s="2"/>
      <c r="U1510" s="2" t="str">
        <f t="shared" si="70"/>
        <v>Not Required</v>
      </c>
      <c r="V1510" s="2" t="s">
        <v>4052</v>
      </c>
    </row>
    <row r="1511" spans="1:22" hidden="1" x14ac:dyDescent="0.3">
      <c r="A1511" s="2" t="s">
        <v>4053</v>
      </c>
      <c r="B1511" s="12">
        <f t="shared" si="69"/>
        <v>46238.585834652768</v>
      </c>
      <c r="C1511" s="13">
        <v>46238.585834652768</v>
      </c>
      <c r="D1511" s="2" t="s">
        <v>373</v>
      </c>
      <c r="E1511" s="2" t="str">
        <f t="shared" si="71"/>
        <v>Email Available</v>
      </c>
      <c r="F1511" s="2" t="s">
        <v>374</v>
      </c>
      <c r="G1511" s="2" t="s">
        <v>48</v>
      </c>
      <c r="H1511" s="2" t="s">
        <v>49</v>
      </c>
      <c r="I1511" s="2" t="s">
        <v>50</v>
      </c>
      <c r="J1511" s="2">
        <v>1</v>
      </c>
      <c r="K1511" s="2" t="s">
        <v>1513</v>
      </c>
      <c r="L1511" s="2"/>
      <c r="M1511" s="2" t="s">
        <v>189</v>
      </c>
      <c r="N1511" s="2">
        <v>7.99</v>
      </c>
      <c r="O1511" s="2">
        <v>47.98</v>
      </c>
      <c r="P1511" s="2" t="s">
        <v>40</v>
      </c>
      <c r="Q1511" s="2" t="s">
        <v>90</v>
      </c>
      <c r="R1511" s="2" t="s">
        <v>29</v>
      </c>
      <c r="S1511" s="2" t="s">
        <v>337</v>
      </c>
      <c r="T1511" s="2"/>
      <c r="U1511" s="2" t="str">
        <f t="shared" si="70"/>
        <v>Not Required</v>
      </c>
      <c r="V1511" s="2" t="s">
        <v>4054</v>
      </c>
    </row>
    <row r="1512" spans="1:22" hidden="1" x14ac:dyDescent="0.3">
      <c r="A1512" s="2" t="s">
        <v>4055</v>
      </c>
      <c r="B1512" s="12">
        <f t="shared" si="69"/>
        <v>46238.586785601852</v>
      </c>
      <c r="C1512" s="13">
        <v>46238.586785601852</v>
      </c>
      <c r="D1512" s="2" t="s">
        <v>1339</v>
      </c>
      <c r="E1512" s="2" t="str">
        <f t="shared" si="71"/>
        <v>Email Available</v>
      </c>
      <c r="F1512" s="2" t="s">
        <v>1340</v>
      </c>
      <c r="G1512" s="2" t="s">
        <v>226</v>
      </c>
      <c r="H1512" s="2" t="s">
        <v>23</v>
      </c>
      <c r="I1512" s="2" t="s">
        <v>227</v>
      </c>
      <c r="J1512" s="2">
        <v>2</v>
      </c>
      <c r="K1512" s="2">
        <v>17.989999999999998</v>
      </c>
      <c r="L1512" s="2" t="s">
        <v>67</v>
      </c>
      <c r="M1512" s="2">
        <v>3.6</v>
      </c>
      <c r="N1512" s="2">
        <v>5.99</v>
      </c>
      <c r="O1512" s="2">
        <v>38.369999999999997</v>
      </c>
      <c r="P1512" s="2" t="s">
        <v>68</v>
      </c>
      <c r="Q1512" s="2" t="s">
        <v>41</v>
      </c>
      <c r="R1512" s="2" t="s">
        <v>52</v>
      </c>
      <c r="S1512" s="2" t="s">
        <v>43</v>
      </c>
      <c r="T1512" s="2"/>
      <c r="U1512" s="2" t="str">
        <f t="shared" si="70"/>
        <v>Not Required</v>
      </c>
      <c r="V1512" s="2" t="s">
        <v>4056</v>
      </c>
    </row>
    <row r="1513" spans="1:22" hidden="1" x14ac:dyDescent="0.3">
      <c r="A1513" s="2" t="s">
        <v>4057</v>
      </c>
      <c r="B1513" s="12">
        <f t="shared" si="69"/>
        <v>46120</v>
      </c>
      <c r="C1513" s="13" t="s">
        <v>142</v>
      </c>
      <c r="D1513" s="2" t="s">
        <v>713</v>
      </c>
      <c r="E1513" s="2" t="str">
        <f t="shared" si="71"/>
        <v>Email Available</v>
      </c>
      <c r="F1513" s="2" t="s">
        <v>714</v>
      </c>
      <c r="G1513" s="2" t="s">
        <v>284</v>
      </c>
      <c r="H1513" s="2" t="s">
        <v>23</v>
      </c>
      <c r="I1513" s="2" t="s">
        <v>285</v>
      </c>
      <c r="J1513" s="2">
        <v>1</v>
      </c>
      <c r="K1513" s="2">
        <v>24.99</v>
      </c>
      <c r="L1513" s="2"/>
      <c r="M1513" s="2" t="s">
        <v>189</v>
      </c>
      <c r="N1513" s="2">
        <v>4.99</v>
      </c>
      <c r="O1513" s="2" t="s">
        <v>2244</v>
      </c>
      <c r="P1513" s="2" t="s">
        <v>27</v>
      </c>
      <c r="Q1513" s="2" t="s">
        <v>41</v>
      </c>
      <c r="R1513" s="2" t="s">
        <v>99</v>
      </c>
      <c r="S1513" s="2" t="s">
        <v>337</v>
      </c>
      <c r="T1513" s="2"/>
      <c r="U1513" s="2" t="str">
        <f t="shared" si="70"/>
        <v>Not Required</v>
      </c>
      <c r="V1513" s="2" t="s">
        <v>4058</v>
      </c>
    </row>
    <row r="1514" spans="1:22" hidden="1" x14ac:dyDescent="0.3">
      <c r="A1514" s="2" t="s">
        <v>4059</v>
      </c>
      <c r="B1514" s="12">
        <f t="shared" si="69"/>
        <v>46120</v>
      </c>
      <c r="C1514" s="13" t="s">
        <v>142</v>
      </c>
      <c r="D1514" s="2" t="s">
        <v>748</v>
      </c>
      <c r="E1514" s="2" t="str">
        <f t="shared" si="71"/>
        <v>Email Available</v>
      </c>
      <c r="F1514" s="2" t="s">
        <v>749</v>
      </c>
      <c r="G1514" s="2" t="s">
        <v>272</v>
      </c>
      <c r="H1514" s="2" t="s">
        <v>23</v>
      </c>
      <c r="I1514" s="2" t="s">
        <v>273</v>
      </c>
      <c r="J1514" s="2">
        <v>1</v>
      </c>
      <c r="K1514" s="2">
        <v>18.989999999999998</v>
      </c>
      <c r="L1514" s="2"/>
      <c r="M1514" s="2">
        <v>0</v>
      </c>
      <c r="N1514" s="2">
        <v>7.99</v>
      </c>
      <c r="O1514" s="2" t="s">
        <v>591</v>
      </c>
      <c r="P1514" s="2" t="s">
        <v>68</v>
      </c>
      <c r="Q1514" s="2" t="s">
        <v>28</v>
      </c>
      <c r="R1514" s="2" t="s">
        <v>29</v>
      </c>
      <c r="S1514" s="2" t="s">
        <v>108</v>
      </c>
      <c r="T1514" s="2"/>
      <c r="U1514" s="2" t="str">
        <f t="shared" si="70"/>
        <v>Not Required</v>
      </c>
      <c r="V1514" s="2" t="s">
        <v>4060</v>
      </c>
    </row>
    <row r="1515" spans="1:22" hidden="1" x14ac:dyDescent="0.3">
      <c r="A1515" s="2" t="s">
        <v>4061</v>
      </c>
      <c r="B1515" s="12">
        <f t="shared" si="69"/>
        <v>46238.583464513889</v>
      </c>
      <c r="C1515" s="13">
        <v>46238.583464513889</v>
      </c>
      <c r="D1515" s="2" t="s">
        <v>1543</v>
      </c>
      <c r="E1515" s="2" t="str">
        <f t="shared" si="71"/>
        <v>Email Available</v>
      </c>
      <c r="F1515" s="2" t="s">
        <v>1544</v>
      </c>
      <c r="G1515" s="2" t="s">
        <v>112</v>
      </c>
      <c r="H1515" s="2" t="s">
        <v>81</v>
      </c>
      <c r="I1515" s="2" t="s">
        <v>113</v>
      </c>
      <c r="J1515" s="2">
        <v>1</v>
      </c>
      <c r="K1515" s="2">
        <v>22.99</v>
      </c>
      <c r="L1515" s="2"/>
      <c r="M1515" s="2">
        <v>0</v>
      </c>
      <c r="N1515" s="2">
        <v>4.99</v>
      </c>
      <c r="O1515" s="2">
        <v>27.98</v>
      </c>
      <c r="P1515" s="2" t="s">
        <v>51</v>
      </c>
      <c r="Q1515" s="2" t="s">
        <v>114</v>
      </c>
      <c r="R1515" s="2" t="s">
        <v>42</v>
      </c>
      <c r="S1515" s="2" t="s">
        <v>30</v>
      </c>
      <c r="T1515" s="2" t="s">
        <v>145</v>
      </c>
      <c r="U1515" s="2" t="str">
        <f t="shared" si="70"/>
        <v>Valid</v>
      </c>
      <c r="V1515" s="2" t="s">
        <v>4062</v>
      </c>
    </row>
    <row r="1516" spans="1:22" hidden="1" x14ac:dyDescent="0.3">
      <c r="A1516" s="2" t="s">
        <v>4063</v>
      </c>
      <c r="B1516" s="12">
        <f t="shared" si="69"/>
        <v>46120</v>
      </c>
      <c r="C1516" s="13" t="s">
        <v>142</v>
      </c>
      <c r="D1516" s="2" t="s">
        <v>2921</v>
      </c>
      <c r="E1516" s="2" t="str">
        <f t="shared" si="71"/>
        <v>Email Available</v>
      </c>
      <c r="F1516" s="2" t="s">
        <v>734</v>
      </c>
      <c r="G1516" s="2" t="s">
        <v>58</v>
      </c>
      <c r="H1516" s="2" t="s">
        <v>23</v>
      </c>
      <c r="I1516" s="2" t="s">
        <v>59</v>
      </c>
      <c r="J1516" s="2">
        <v>2</v>
      </c>
      <c r="K1516" s="2">
        <v>9.99</v>
      </c>
      <c r="L1516" s="2" t="s">
        <v>39</v>
      </c>
      <c r="M1516" s="2">
        <v>0</v>
      </c>
      <c r="N1516" s="2">
        <v>0</v>
      </c>
      <c r="O1516" s="2">
        <v>19.98</v>
      </c>
      <c r="P1516" s="2" t="s">
        <v>51</v>
      </c>
      <c r="Q1516" s="2" t="s">
        <v>28</v>
      </c>
      <c r="R1516" s="2" t="s">
        <v>42</v>
      </c>
      <c r="S1516" s="2" t="s">
        <v>108</v>
      </c>
      <c r="T1516" s="2"/>
      <c r="U1516" s="2" t="str">
        <f t="shared" si="70"/>
        <v>Not Required</v>
      </c>
      <c r="V1516" s="2" t="s">
        <v>4064</v>
      </c>
    </row>
    <row r="1517" spans="1:22" hidden="1" x14ac:dyDescent="0.3">
      <c r="A1517" s="2" t="s">
        <v>4065</v>
      </c>
      <c r="B1517" s="12">
        <f t="shared" si="69"/>
        <v>46238.586836134258</v>
      </c>
      <c r="C1517" s="13">
        <v>46238.586836134258</v>
      </c>
      <c r="D1517" s="2" t="s">
        <v>3138</v>
      </c>
      <c r="E1517" s="2" t="str">
        <f t="shared" si="71"/>
        <v>Email Available</v>
      </c>
      <c r="F1517" s="2" t="s">
        <v>3139</v>
      </c>
      <c r="G1517" s="2" t="s">
        <v>65</v>
      </c>
      <c r="H1517" s="2" t="s">
        <v>49</v>
      </c>
      <c r="I1517" s="2" t="s">
        <v>66</v>
      </c>
      <c r="J1517" s="2">
        <v>2</v>
      </c>
      <c r="K1517" s="2" t="s">
        <v>1485</v>
      </c>
      <c r="L1517" s="2" t="s">
        <v>67</v>
      </c>
      <c r="M1517" s="2">
        <v>3</v>
      </c>
      <c r="N1517" s="2">
        <v>4.99</v>
      </c>
      <c r="O1517" s="2">
        <v>31.97</v>
      </c>
      <c r="P1517" s="2" t="s">
        <v>27</v>
      </c>
      <c r="Q1517" s="2" t="s">
        <v>41</v>
      </c>
      <c r="R1517" s="2" t="s">
        <v>42</v>
      </c>
      <c r="S1517" s="2" t="s">
        <v>30</v>
      </c>
      <c r="T1517" s="2" t="s">
        <v>31</v>
      </c>
      <c r="U1517" s="2" t="str">
        <f t="shared" si="70"/>
        <v>Valid</v>
      </c>
      <c r="V1517" s="2" t="s">
        <v>4066</v>
      </c>
    </row>
    <row r="1518" spans="1:22" x14ac:dyDescent="0.3">
      <c r="A1518" s="2" t="s">
        <v>4067</v>
      </c>
      <c r="B1518" s="12">
        <f t="shared" si="69"/>
        <v>46238.580001875001</v>
      </c>
      <c r="C1518" s="13">
        <v>46238.580001875001</v>
      </c>
      <c r="D1518" s="2" t="s">
        <v>204</v>
      </c>
      <c r="E1518" s="2" t="str">
        <f t="shared" si="71"/>
        <v>Missing Email</v>
      </c>
      <c r="F1518" s="2"/>
      <c r="G1518" s="2" t="s">
        <v>105</v>
      </c>
      <c r="H1518" s="2" t="s">
        <v>106</v>
      </c>
      <c r="I1518" s="2" t="s">
        <v>107</v>
      </c>
      <c r="J1518" s="2">
        <v>2</v>
      </c>
      <c r="K1518" s="2">
        <v>19.989999999999998</v>
      </c>
      <c r="L1518" s="2" t="s">
        <v>121</v>
      </c>
      <c r="M1518" s="2">
        <v>9.99</v>
      </c>
      <c r="N1518" s="2">
        <v>5.99</v>
      </c>
      <c r="O1518" s="2">
        <v>35.979999999999997</v>
      </c>
      <c r="P1518" s="2" t="s">
        <v>74</v>
      </c>
      <c r="Q1518" s="2" t="s">
        <v>28</v>
      </c>
      <c r="R1518" s="2" t="s">
        <v>52</v>
      </c>
      <c r="S1518" s="2" t="s">
        <v>75</v>
      </c>
      <c r="T1518" s="2"/>
      <c r="U1518" s="2" t="str">
        <f t="shared" si="70"/>
        <v>Not Required</v>
      </c>
      <c r="V1518" s="2" t="s">
        <v>4068</v>
      </c>
    </row>
    <row r="1519" spans="1:22" hidden="1" x14ac:dyDescent="0.3">
      <c r="A1519" s="2" t="s">
        <v>4069</v>
      </c>
      <c r="B1519" s="12">
        <f t="shared" si="69"/>
        <v>46238.587794988423</v>
      </c>
      <c r="C1519" s="13">
        <v>46238.587794988423</v>
      </c>
      <c r="D1519" s="2" t="s">
        <v>666</v>
      </c>
      <c r="E1519" s="2" t="str">
        <f t="shared" si="71"/>
        <v>Email Available</v>
      </c>
      <c r="F1519" s="2" t="s">
        <v>667</v>
      </c>
      <c r="G1519" s="2" t="s">
        <v>266</v>
      </c>
      <c r="H1519" s="2" t="s">
        <v>37</v>
      </c>
      <c r="I1519" s="2" t="s">
        <v>267</v>
      </c>
      <c r="J1519" s="2">
        <v>1</v>
      </c>
      <c r="K1519" s="2">
        <v>15.49</v>
      </c>
      <c r="L1519" s="2" t="s">
        <v>67</v>
      </c>
      <c r="M1519" s="2">
        <v>1.55</v>
      </c>
      <c r="N1519" s="2">
        <v>7.99</v>
      </c>
      <c r="O1519" s="2">
        <v>21.93</v>
      </c>
      <c r="P1519" s="2" t="s">
        <v>68</v>
      </c>
      <c r="Q1519" s="2" t="s">
        <v>90</v>
      </c>
      <c r="R1519" s="2" t="s">
        <v>52</v>
      </c>
      <c r="S1519" s="2" t="s">
        <v>75</v>
      </c>
      <c r="T1519" s="2"/>
      <c r="U1519" s="2" t="str">
        <f t="shared" si="70"/>
        <v>Not Required</v>
      </c>
      <c r="V1519" s="2" t="s">
        <v>2594</v>
      </c>
    </row>
    <row r="1520" spans="1:22" hidden="1" x14ac:dyDescent="0.3">
      <c r="A1520" s="2" t="s">
        <v>4070</v>
      </c>
      <c r="B1520" s="12">
        <f t="shared" si="69"/>
        <v>46238.581301539351</v>
      </c>
      <c r="C1520" s="13">
        <v>46238.581301539351</v>
      </c>
      <c r="D1520" s="2" t="s">
        <v>2051</v>
      </c>
      <c r="E1520" s="2" t="str">
        <f t="shared" si="71"/>
        <v>Email Available</v>
      </c>
      <c r="F1520" s="2" t="s">
        <v>2052</v>
      </c>
      <c r="G1520" s="2" t="s">
        <v>226</v>
      </c>
      <c r="H1520" s="2" t="s">
        <v>23</v>
      </c>
      <c r="I1520" s="2" t="s">
        <v>227</v>
      </c>
      <c r="J1520" s="2">
        <v>4</v>
      </c>
      <c r="K1520" s="2">
        <v>17.989999999999998</v>
      </c>
      <c r="L1520" s="2"/>
      <c r="M1520" s="2">
        <v>0</v>
      </c>
      <c r="N1520" s="2">
        <v>5.99</v>
      </c>
      <c r="O1520" s="2">
        <v>77.95</v>
      </c>
      <c r="P1520" s="2" t="s">
        <v>51</v>
      </c>
      <c r="Q1520" s="2" t="s">
        <v>41</v>
      </c>
      <c r="R1520" s="2" t="s">
        <v>52</v>
      </c>
      <c r="S1520" s="2" t="s">
        <v>43</v>
      </c>
      <c r="T1520" s="2"/>
      <c r="U1520" s="2" t="str">
        <f t="shared" si="70"/>
        <v>Not Required</v>
      </c>
      <c r="V1520" s="2" t="s">
        <v>4071</v>
      </c>
    </row>
    <row r="1521" spans="1:22" hidden="1" x14ac:dyDescent="0.3">
      <c r="A1521" s="2" t="s">
        <v>4072</v>
      </c>
      <c r="B1521" s="12">
        <f t="shared" si="69"/>
        <v>46238.588022685188</v>
      </c>
      <c r="C1521" s="13">
        <v>46238.588022685188</v>
      </c>
      <c r="D1521" s="2" t="s">
        <v>536</v>
      </c>
      <c r="E1521" s="2" t="str">
        <f t="shared" si="71"/>
        <v>Email Available</v>
      </c>
      <c r="F1521" s="2" t="s">
        <v>537</v>
      </c>
      <c r="G1521" s="2" t="s">
        <v>48</v>
      </c>
      <c r="H1521" s="2" t="s">
        <v>49</v>
      </c>
      <c r="I1521" s="2" t="s">
        <v>50</v>
      </c>
      <c r="J1521" s="2">
        <v>1</v>
      </c>
      <c r="K1521" s="2">
        <v>39.99</v>
      </c>
      <c r="L1521" s="2" t="s">
        <v>67</v>
      </c>
      <c r="M1521" s="2">
        <v>4</v>
      </c>
      <c r="N1521" s="2">
        <v>4.99</v>
      </c>
      <c r="O1521" s="2">
        <v>40.98</v>
      </c>
      <c r="P1521" s="2" t="s">
        <v>68</v>
      </c>
      <c r="Q1521" s="2" t="s">
        <v>114</v>
      </c>
      <c r="R1521" s="2" t="s">
        <v>52</v>
      </c>
      <c r="S1521" s="2" t="s">
        <v>30</v>
      </c>
      <c r="T1521" s="2" t="s">
        <v>60</v>
      </c>
      <c r="U1521" s="2" t="str">
        <f t="shared" si="70"/>
        <v>Valid</v>
      </c>
      <c r="V1521" s="2" t="s">
        <v>4073</v>
      </c>
    </row>
    <row r="1522" spans="1:22" hidden="1" x14ac:dyDescent="0.3">
      <c r="A1522" s="2" t="s">
        <v>4074</v>
      </c>
      <c r="B1522" s="12">
        <f t="shared" si="69"/>
        <v>46238.579070277781</v>
      </c>
      <c r="C1522" s="13">
        <v>46238.579070277781</v>
      </c>
      <c r="D1522" s="2" t="s">
        <v>4075</v>
      </c>
      <c r="E1522" s="2" t="str">
        <f t="shared" si="71"/>
        <v>Email Available</v>
      </c>
      <c r="F1522" s="2" t="s">
        <v>3908</v>
      </c>
      <c r="G1522" s="2" t="s">
        <v>272</v>
      </c>
      <c r="H1522" s="2" t="s">
        <v>23</v>
      </c>
      <c r="I1522" s="2" t="s">
        <v>273</v>
      </c>
      <c r="J1522" s="2">
        <v>1</v>
      </c>
      <c r="K1522" s="2">
        <v>18.989999999999998</v>
      </c>
      <c r="L1522" s="2"/>
      <c r="M1522" s="2">
        <v>0</v>
      </c>
      <c r="N1522" s="2">
        <v>5.99</v>
      </c>
      <c r="O1522" s="2" t="s">
        <v>954</v>
      </c>
      <c r="P1522" s="2" t="s">
        <v>27</v>
      </c>
      <c r="Q1522" s="2" t="s">
        <v>28</v>
      </c>
      <c r="R1522" s="2" t="s">
        <v>99</v>
      </c>
      <c r="S1522" s="2" t="s">
        <v>30</v>
      </c>
      <c r="T1522" s="2" t="s">
        <v>53</v>
      </c>
      <c r="U1522" s="2" t="str">
        <f t="shared" si="70"/>
        <v>Valid</v>
      </c>
      <c r="V1522" s="2" t="s">
        <v>4076</v>
      </c>
    </row>
    <row r="1523" spans="1:22" x14ac:dyDescent="0.3">
      <c r="A1523" s="2" t="s">
        <v>4077</v>
      </c>
      <c r="B1523" s="12">
        <f t="shared" si="69"/>
        <v>46238.58200263889</v>
      </c>
      <c r="C1523" s="13">
        <v>46238.58200263889</v>
      </c>
      <c r="D1523" s="2" t="s">
        <v>829</v>
      </c>
      <c r="E1523" s="2" t="str">
        <f t="shared" si="71"/>
        <v>Missing Email</v>
      </c>
      <c r="F1523" s="2"/>
      <c r="G1523" s="2" t="s">
        <v>187</v>
      </c>
      <c r="H1523" s="2" t="s">
        <v>37</v>
      </c>
      <c r="I1523" s="2" t="s">
        <v>188</v>
      </c>
      <c r="J1523" s="2">
        <v>1</v>
      </c>
      <c r="K1523" s="2">
        <v>11.99</v>
      </c>
      <c r="L1523" s="2"/>
      <c r="M1523" s="2">
        <v>0</v>
      </c>
      <c r="N1523" s="2">
        <v>7.99</v>
      </c>
      <c r="O1523" s="2">
        <v>19.98</v>
      </c>
      <c r="P1523" s="2" t="s">
        <v>68</v>
      </c>
      <c r="Q1523" s="2" t="s">
        <v>28</v>
      </c>
      <c r="R1523" s="2" t="s">
        <v>52</v>
      </c>
      <c r="S1523" s="2" t="s">
        <v>30</v>
      </c>
      <c r="T1523" s="2" t="s">
        <v>347</v>
      </c>
      <c r="U1523" s="2" t="str">
        <f t="shared" si="70"/>
        <v>Valid</v>
      </c>
      <c r="V1523" s="2" t="s">
        <v>4078</v>
      </c>
    </row>
    <row r="1524" spans="1:22" hidden="1" x14ac:dyDescent="0.3">
      <c r="A1524" s="2" t="s">
        <v>4079</v>
      </c>
      <c r="B1524" s="12">
        <f t="shared" si="69"/>
        <v>46238</v>
      </c>
      <c r="C1524" s="13" t="s">
        <v>148</v>
      </c>
      <c r="D1524" s="2" t="s">
        <v>524</v>
      </c>
      <c r="E1524" s="2" t="str">
        <f t="shared" si="71"/>
        <v>Email Available</v>
      </c>
      <c r="F1524" s="2" t="s">
        <v>525</v>
      </c>
      <c r="G1524" s="2" t="s">
        <v>195</v>
      </c>
      <c r="H1524" s="2" t="s">
        <v>196</v>
      </c>
      <c r="I1524" s="2" t="s">
        <v>197</v>
      </c>
      <c r="J1524" s="2">
        <v>1</v>
      </c>
      <c r="K1524" s="2">
        <v>13.49</v>
      </c>
      <c r="L1524" s="2"/>
      <c r="M1524" s="2">
        <v>0</v>
      </c>
      <c r="N1524" s="2">
        <v>5.99</v>
      </c>
      <c r="O1524" s="2">
        <v>19.48</v>
      </c>
      <c r="P1524" s="2" t="s">
        <v>51</v>
      </c>
      <c r="Q1524" s="2" t="s">
        <v>114</v>
      </c>
      <c r="R1524" s="2" t="s">
        <v>52</v>
      </c>
      <c r="S1524" s="2" t="s">
        <v>30</v>
      </c>
      <c r="T1524" s="2" t="s">
        <v>351</v>
      </c>
      <c r="U1524" s="2" t="str">
        <f t="shared" si="70"/>
        <v>Valid</v>
      </c>
      <c r="V1524" s="2" t="s">
        <v>4080</v>
      </c>
    </row>
    <row r="1525" spans="1:22" x14ac:dyDescent="0.3">
      <c r="A1525" s="2" t="s">
        <v>4081</v>
      </c>
      <c r="B1525" s="12">
        <f t="shared" si="69"/>
        <v>46238.58278556713</v>
      </c>
      <c r="C1525" s="13">
        <v>46238.58278556713</v>
      </c>
      <c r="D1525" s="2" t="s">
        <v>63</v>
      </c>
      <c r="E1525" s="2" t="str">
        <f t="shared" si="71"/>
        <v>Missing Email</v>
      </c>
      <c r="F1525" s="2"/>
      <c r="G1525" s="2" t="s">
        <v>87</v>
      </c>
      <c r="H1525" s="2" t="s">
        <v>88</v>
      </c>
      <c r="I1525" s="2" t="s">
        <v>89</v>
      </c>
      <c r="J1525" s="2">
        <v>1</v>
      </c>
      <c r="K1525" s="2">
        <v>54.99</v>
      </c>
      <c r="L1525" s="2" t="s">
        <v>67</v>
      </c>
      <c r="M1525" s="2">
        <v>5.5</v>
      </c>
      <c r="N1525" s="2">
        <v>7.99</v>
      </c>
      <c r="O1525" s="2">
        <v>57.48</v>
      </c>
      <c r="P1525" s="2" t="s">
        <v>51</v>
      </c>
      <c r="Q1525" s="2" t="s">
        <v>28</v>
      </c>
      <c r="R1525" s="2" t="s">
        <v>29</v>
      </c>
      <c r="S1525" s="2" t="s">
        <v>30</v>
      </c>
      <c r="T1525" s="2" t="s">
        <v>454</v>
      </c>
      <c r="U1525" s="2" t="str">
        <f t="shared" si="70"/>
        <v>Valid</v>
      </c>
      <c r="V1525" s="2" t="s">
        <v>4082</v>
      </c>
    </row>
    <row r="1526" spans="1:22" hidden="1" x14ac:dyDescent="0.3">
      <c r="A1526" s="2" t="s">
        <v>4083</v>
      </c>
      <c r="B1526" s="12">
        <f t="shared" si="69"/>
        <v>46120</v>
      </c>
      <c r="C1526" s="13" t="s">
        <v>142</v>
      </c>
      <c r="D1526" s="2" t="s">
        <v>4084</v>
      </c>
      <c r="E1526" s="2" t="str">
        <f t="shared" si="71"/>
        <v>Email Available</v>
      </c>
      <c r="F1526" s="2" t="s">
        <v>4085</v>
      </c>
      <c r="G1526" s="2" t="s">
        <v>195</v>
      </c>
      <c r="H1526" s="2" t="s">
        <v>196</v>
      </c>
      <c r="I1526" s="2" t="s">
        <v>197</v>
      </c>
      <c r="J1526" s="2">
        <v>1</v>
      </c>
      <c r="K1526" s="2">
        <v>13.49</v>
      </c>
      <c r="L1526" s="2" t="s">
        <v>121</v>
      </c>
      <c r="M1526" s="2">
        <v>3.37</v>
      </c>
      <c r="N1526" s="2">
        <v>7.99</v>
      </c>
      <c r="O1526" s="2">
        <v>0</v>
      </c>
      <c r="P1526" s="2" t="s">
        <v>68</v>
      </c>
      <c r="Q1526" s="2" t="s">
        <v>90</v>
      </c>
      <c r="R1526" s="2" t="s">
        <v>52</v>
      </c>
      <c r="S1526" s="2" t="s">
        <v>43</v>
      </c>
      <c r="T1526" s="2"/>
      <c r="U1526" s="2" t="str">
        <f t="shared" si="70"/>
        <v>Not Required</v>
      </c>
      <c r="V1526" s="2" t="s">
        <v>4086</v>
      </c>
    </row>
    <row r="1527" spans="1:22" hidden="1" x14ac:dyDescent="0.3">
      <c r="A1527" s="2" t="s">
        <v>4087</v>
      </c>
      <c r="B1527" s="12">
        <f t="shared" si="69"/>
        <v>46238.588223530103</v>
      </c>
      <c r="C1527" s="13">
        <v>46238.588223530103</v>
      </c>
      <c r="D1527" s="2" t="s">
        <v>1368</v>
      </c>
      <c r="E1527" s="2" t="str">
        <f t="shared" si="71"/>
        <v>Email Available</v>
      </c>
      <c r="F1527" s="2" t="s">
        <v>1369</v>
      </c>
      <c r="G1527" s="2" t="s">
        <v>151</v>
      </c>
      <c r="H1527" s="2" t="s">
        <v>49</v>
      </c>
      <c r="I1527" s="2" t="s">
        <v>152</v>
      </c>
      <c r="J1527" s="2">
        <v>1</v>
      </c>
      <c r="K1527" s="2">
        <v>34.99</v>
      </c>
      <c r="L1527" s="2"/>
      <c r="M1527" s="2">
        <v>0</v>
      </c>
      <c r="N1527" s="2">
        <v>4.99</v>
      </c>
      <c r="O1527" s="2">
        <v>39.979999999999997</v>
      </c>
      <c r="P1527" s="2" t="s">
        <v>40</v>
      </c>
      <c r="Q1527" s="2" t="s">
        <v>41</v>
      </c>
      <c r="R1527" s="2" t="s">
        <v>52</v>
      </c>
      <c r="S1527" s="2" t="s">
        <v>43</v>
      </c>
      <c r="T1527" s="2"/>
      <c r="U1527" s="2" t="str">
        <f t="shared" si="70"/>
        <v>Not Required</v>
      </c>
      <c r="V1527" s="2" t="s">
        <v>4088</v>
      </c>
    </row>
    <row r="1528" spans="1:22" hidden="1" x14ac:dyDescent="0.3">
      <c r="A1528" s="2" t="s">
        <v>4089</v>
      </c>
      <c r="B1528" s="12">
        <f t="shared" si="69"/>
        <v>46238.585445682867</v>
      </c>
      <c r="C1528" s="13">
        <v>46238.585445682867</v>
      </c>
      <c r="D1528" s="2" t="s">
        <v>993</v>
      </c>
      <c r="E1528" s="2" t="str">
        <f t="shared" si="71"/>
        <v>Email Available</v>
      </c>
      <c r="F1528" s="2" t="s">
        <v>678</v>
      </c>
      <c r="G1528" s="2" t="s">
        <v>241</v>
      </c>
      <c r="H1528" s="2" t="s">
        <v>242</v>
      </c>
      <c r="I1528" s="2" t="s">
        <v>243</v>
      </c>
      <c r="J1528" s="2">
        <v>2</v>
      </c>
      <c r="K1528" s="2">
        <v>27.99</v>
      </c>
      <c r="L1528" s="2" t="s">
        <v>208</v>
      </c>
      <c r="M1528" s="2">
        <v>8.4</v>
      </c>
      <c r="N1528" s="2">
        <v>7.99</v>
      </c>
      <c r="O1528" s="2">
        <v>55.57</v>
      </c>
      <c r="P1528" s="2" t="s">
        <v>27</v>
      </c>
      <c r="Q1528" s="2" t="s">
        <v>114</v>
      </c>
      <c r="R1528" s="2" t="s">
        <v>52</v>
      </c>
      <c r="S1528" s="2" t="s">
        <v>30</v>
      </c>
      <c r="T1528" s="2" t="s">
        <v>53</v>
      </c>
      <c r="U1528" s="2" t="str">
        <f t="shared" si="70"/>
        <v>Valid</v>
      </c>
      <c r="V1528" s="2" t="s">
        <v>4090</v>
      </c>
    </row>
    <row r="1529" spans="1:22" x14ac:dyDescent="0.3">
      <c r="A1529" s="2" t="s">
        <v>4091</v>
      </c>
      <c r="B1529" s="12">
        <f t="shared" si="69"/>
        <v>46238.58741453704</v>
      </c>
      <c r="C1529" s="13">
        <v>46238.58741453704</v>
      </c>
      <c r="D1529" s="2" t="s">
        <v>4092</v>
      </c>
      <c r="E1529" s="2" t="str">
        <f t="shared" si="71"/>
        <v>Missing Email</v>
      </c>
      <c r="F1529" s="2"/>
      <c r="G1529" s="2" t="s">
        <v>241</v>
      </c>
      <c r="H1529" s="2" t="s">
        <v>242</v>
      </c>
      <c r="I1529" s="2" t="s">
        <v>243</v>
      </c>
      <c r="J1529" s="2">
        <v>2</v>
      </c>
      <c r="K1529" s="2">
        <v>27.99</v>
      </c>
      <c r="L1529" s="2"/>
      <c r="M1529" s="2">
        <v>0</v>
      </c>
      <c r="N1529" s="2">
        <v>5.99</v>
      </c>
      <c r="O1529" s="2">
        <v>61.97</v>
      </c>
      <c r="P1529" s="2" t="s">
        <v>40</v>
      </c>
      <c r="Q1529" s="2" t="s">
        <v>28</v>
      </c>
      <c r="R1529" s="2" t="s">
        <v>52</v>
      </c>
      <c r="S1529" s="2" t="s">
        <v>75</v>
      </c>
      <c r="T1529" s="2"/>
      <c r="U1529" s="2" t="str">
        <f t="shared" si="70"/>
        <v>Not Required</v>
      </c>
      <c r="V1529" s="2" t="s">
        <v>4093</v>
      </c>
    </row>
    <row r="1530" spans="1:22" hidden="1" x14ac:dyDescent="0.3">
      <c r="A1530" s="2" t="s">
        <v>4094</v>
      </c>
      <c r="B1530" s="12">
        <f t="shared" si="69"/>
        <v>46238.585180138893</v>
      </c>
      <c r="C1530" s="13">
        <v>46238.585180138893</v>
      </c>
      <c r="D1530" s="2" t="s">
        <v>651</v>
      </c>
      <c r="E1530" s="2" t="str">
        <f t="shared" si="71"/>
        <v>Email Available</v>
      </c>
      <c r="F1530" s="2" t="s">
        <v>652</v>
      </c>
      <c r="G1530" s="2" t="s">
        <v>65</v>
      </c>
      <c r="H1530" s="2" t="s">
        <v>49</v>
      </c>
      <c r="I1530" s="2" t="s">
        <v>453</v>
      </c>
      <c r="J1530" s="2">
        <v>1</v>
      </c>
      <c r="K1530" s="2">
        <v>14.99</v>
      </c>
      <c r="L1530" s="2" t="s">
        <v>121</v>
      </c>
      <c r="M1530" s="2" t="s">
        <v>4095</v>
      </c>
      <c r="N1530" s="2">
        <v>4.99</v>
      </c>
      <c r="O1530" s="2">
        <v>16.23</v>
      </c>
      <c r="P1530" s="2" t="s">
        <v>40</v>
      </c>
      <c r="Q1530" s="2" t="s">
        <v>28</v>
      </c>
      <c r="R1530" s="2" t="s">
        <v>29</v>
      </c>
      <c r="S1530" s="2" t="s">
        <v>30</v>
      </c>
      <c r="T1530" s="2" t="s">
        <v>91</v>
      </c>
      <c r="U1530" s="2" t="str">
        <f t="shared" si="70"/>
        <v>Valid</v>
      </c>
      <c r="V1530" s="2" t="s">
        <v>4096</v>
      </c>
    </row>
    <row r="1531" spans="1:22" hidden="1" x14ac:dyDescent="0.3">
      <c r="A1531" s="2" t="s">
        <v>4097</v>
      </c>
      <c r="B1531" s="12">
        <f t="shared" ref="B1531:B1594" si="72">IF(ISNUMBER(C1531),C1531,DATEVALUE(SUBSTITUTE(TRIM(C1531),CHAR(160)," ")))</f>
        <v>46238.587353391202</v>
      </c>
      <c r="C1531" s="13">
        <v>46238.587353391202</v>
      </c>
      <c r="D1531" s="2" t="s">
        <v>327</v>
      </c>
      <c r="E1531" s="2" t="str">
        <f t="shared" si="71"/>
        <v>Email Available</v>
      </c>
      <c r="F1531" s="2" t="s">
        <v>328</v>
      </c>
      <c r="G1531" s="2" t="s">
        <v>195</v>
      </c>
      <c r="H1531" s="2" t="s">
        <v>196</v>
      </c>
      <c r="I1531" s="2" t="s">
        <v>197</v>
      </c>
      <c r="J1531" s="2">
        <v>1</v>
      </c>
      <c r="K1531" s="2">
        <v>13.49</v>
      </c>
      <c r="L1531" s="2"/>
      <c r="M1531" s="2">
        <v>0</v>
      </c>
      <c r="N1531" s="2">
        <v>4.99</v>
      </c>
      <c r="O1531" s="2">
        <v>18.48</v>
      </c>
      <c r="P1531" s="2" t="s">
        <v>40</v>
      </c>
      <c r="Q1531" s="2" t="s">
        <v>114</v>
      </c>
      <c r="R1531" s="2" t="s">
        <v>42</v>
      </c>
      <c r="S1531" s="2" t="s">
        <v>228</v>
      </c>
      <c r="T1531" s="2"/>
      <c r="U1531" s="2" t="str">
        <f t="shared" ref="U1531:U1594" si="73">IF(AND(S1531="United States",T1531=""),"Missing state",IF(T1531="","Not Required","Valid"))</f>
        <v>Not Required</v>
      </c>
      <c r="V1531" s="2" t="s">
        <v>4098</v>
      </c>
    </row>
    <row r="1532" spans="1:22" hidden="1" x14ac:dyDescent="0.3">
      <c r="A1532" s="2" t="s">
        <v>4099</v>
      </c>
      <c r="B1532" s="12">
        <f t="shared" si="72"/>
        <v>46238.580015335647</v>
      </c>
      <c r="C1532" s="13">
        <v>46238.580015335647</v>
      </c>
      <c r="D1532" s="2" t="s">
        <v>327</v>
      </c>
      <c r="E1532" s="2" t="str">
        <f t="shared" si="71"/>
        <v>Email Available</v>
      </c>
      <c r="F1532" s="2" t="s">
        <v>4100</v>
      </c>
      <c r="G1532" s="2" t="s">
        <v>368</v>
      </c>
      <c r="H1532" s="2" t="s">
        <v>88</v>
      </c>
      <c r="I1532" s="2" t="s">
        <v>369</v>
      </c>
      <c r="J1532" s="2">
        <v>1</v>
      </c>
      <c r="K1532" s="2">
        <v>54.99</v>
      </c>
      <c r="L1532" s="2" t="s">
        <v>121</v>
      </c>
      <c r="M1532" s="2">
        <v>13.75</v>
      </c>
      <c r="N1532" s="2">
        <v>4.99</v>
      </c>
      <c r="O1532" s="2">
        <v>46.23</v>
      </c>
      <c r="P1532" s="2" t="s">
        <v>40</v>
      </c>
      <c r="Q1532" s="2" t="s">
        <v>28</v>
      </c>
      <c r="R1532" s="2" t="s">
        <v>52</v>
      </c>
      <c r="S1532" s="2" t="s">
        <v>30</v>
      </c>
      <c r="T1532" s="2" t="s">
        <v>53</v>
      </c>
      <c r="U1532" s="2" t="str">
        <f t="shared" si="73"/>
        <v>Valid</v>
      </c>
      <c r="V1532" s="2" t="s">
        <v>4101</v>
      </c>
    </row>
    <row r="1533" spans="1:22" hidden="1" x14ac:dyDescent="0.3">
      <c r="A1533" s="2" t="s">
        <v>4102</v>
      </c>
      <c r="B1533" s="12">
        <f t="shared" si="72"/>
        <v>46238.588045277778</v>
      </c>
      <c r="C1533" s="13">
        <v>46238.588045277778</v>
      </c>
      <c r="D1533" s="2" t="s">
        <v>919</v>
      </c>
      <c r="E1533" s="2" t="str">
        <f t="shared" si="71"/>
        <v>Email Available</v>
      </c>
      <c r="F1533" s="2" t="s">
        <v>4103</v>
      </c>
      <c r="G1533" s="2" t="s">
        <v>157</v>
      </c>
      <c r="H1533" s="2" t="s">
        <v>37</v>
      </c>
      <c r="I1533" s="2" t="s">
        <v>158</v>
      </c>
      <c r="J1533" s="2">
        <v>1</v>
      </c>
      <c r="K1533" s="2">
        <v>29.99</v>
      </c>
      <c r="L1533" s="2" t="s">
        <v>67</v>
      </c>
      <c r="M1533" s="2">
        <v>3</v>
      </c>
      <c r="N1533" s="2">
        <v>7.99</v>
      </c>
      <c r="O1533" s="2">
        <v>34.979999999999997</v>
      </c>
      <c r="P1533" s="2" t="s">
        <v>27</v>
      </c>
      <c r="Q1533" s="2" t="s">
        <v>90</v>
      </c>
      <c r="R1533" s="2" t="s">
        <v>52</v>
      </c>
      <c r="S1533" s="2" t="s">
        <v>75</v>
      </c>
      <c r="T1533" s="2"/>
      <c r="U1533" s="2" t="str">
        <f t="shared" si="73"/>
        <v>Not Required</v>
      </c>
      <c r="V1533" s="2" t="s">
        <v>4104</v>
      </c>
    </row>
    <row r="1534" spans="1:22" hidden="1" x14ac:dyDescent="0.3">
      <c r="A1534" s="2" t="s">
        <v>4105</v>
      </c>
      <c r="B1534" s="12">
        <f t="shared" si="72"/>
        <v>46120</v>
      </c>
      <c r="C1534" s="13" t="s">
        <v>142</v>
      </c>
      <c r="D1534" s="2" t="s">
        <v>480</v>
      </c>
      <c r="E1534" s="2" t="str">
        <f t="shared" si="71"/>
        <v>Email Available</v>
      </c>
      <c r="F1534" s="2" t="s">
        <v>481</v>
      </c>
      <c r="G1534" s="2" t="s">
        <v>206</v>
      </c>
      <c r="H1534" s="2" t="s">
        <v>196</v>
      </c>
      <c r="I1534" s="2" t="s">
        <v>207</v>
      </c>
      <c r="J1534" s="2">
        <v>1</v>
      </c>
      <c r="K1534" s="2">
        <v>24.99</v>
      </c>
      <c r="L1534" s="2" t="s">
        <v>25</v>
      </c>
      <c r="M1534" s="2" t="s">
        <v>931</v>
      </c>
      <c r="N1534" s="2">
        <v>5.99</v>
      </c>
      <c r="O1534" s="2">
        <v>25.98</v>
      </c>
      <c r="P1534" s="2" t="s">
        <v>27</v>
      </c>
      <c r="Q1534" s="2" t="s">
        <v>28</v>
      </c>
      <c r="R1534" s="2" t="s">
        <v>52</v>
      </c>
      <c r="S1534" s="2" t="s">
        <v>75</v>
      </c>
      <c r="T1534" s="2"/>
      <c r="U1534" s="2" t="str">
        <f t="shared" si="73"/>
        <v>Not Required</v>
      </c>
      <c r="V1534" s="2" t="s">
        <v>4106</v>
      </c>
    </row>
    <row r="1535" spans="1:22" hidden="1" x14ac:dyDescent="0.3">
      <c r="A1535" s="2" t="s">
        <v>4107</v>
      </c>
      <c r="B1535" s="12">
        <f t="shared" si="72"/>
        <v>46238.580918437503</v>
      </c>
      <c r="C1535" s="13">
        <v>46238.580918437503</v>
      </c>
      <c r="D1535" s="2" t="s">
        <v>3025</v>
      </c>
      <c r="E1535" s="2" t="str">
        <f t="shared" si="71"/>
        <v>Email Available</v>
      </c>
      <c r="F1535" s="2" t="s">
        <v>3026</v>
      </c>
      <c r="G1535" s="2" t="s">
        <v>195</v>
      </c>
      <c r="H1535" s="2" t="s">
        <v>196</v>
      </c>
      <c r="I1535" s="2" t="s">
        <v>197</v>
      </c>
      <c r="J1535" s="2">
        <v>1</v>
      </c>
      <c r="K1535" s="2">
        <v>13.49</v>
      </c>
      <c r="L1535" s="2"/>
      <c r="M1535" s="2">
        <v>0</v>
      </c>
      <c r="N1535" s="2">
        <v>4.99</v>
      </c>
      <c r="O1535" s="2">
        <v>18.48</v>
      </c>
      <c r="P1535" s="2" t="s">
        <v>40</v>
      </c>
      <c r="Q1535" s="2" t="s">
        <v>28</v>
      </c>
      <c r="R1535" s="2" t="s">
        <v>52</v>
      </c>
      <c r="S1535" s="2" t="s">
        <v>337</v>
      </c>
      <c r="T1535" s="2"/>
      <c r="U1535" s="2" t="str">
        <f t="shared" si="73"/>
        <v>Not Required</v>
      </c>
      <c r="V1535" s="2" t="s">
        <v>801</v>
      </c>
    </row>
    <row r="1536" spans="1:22" hidden="1" x14ac:dyDescent="0.3">
      <c r="A1536" s="2" t="s">
        <v>4108</v>
      </c>
      <c r="B1536" s="12">
        <f t="shared" si="72"/>
        <v>46120</v>
      </c>
      <c r="C1536" s="13" t="s">
        <v>142</v>
      </c>
      <c r="D1536" s="2" t="s">
        <v>4109</v>
      </c>
      <c r="E1536" s="2" t="str">
        <f t="shared" si="71"/>
        <v>Email Available</v>
      </c>
      <c r="F1536" s="2" t="s">
        <v>4110</v>
      </c>
      <c r="G1536" s="2" t="s">
        <v>36</v>
      </c>
      <c r="H1536" s="2" t="s">
        <v>37</v>
      </c>
      <c r="I1536" s="2" t="s">
        <v>38</v>
      </c>
      <c r="J1536" s="2">
        <v>1</v>
      </c>
      <c r="K1536" s="2">
        <v>21.99</v>
      </c>
      <c r="L1536" s="2" t="s">
        <v>121</v>
      </c>
      <c r="M1536" s="2">
        <v>5.5</v>
      </c>
      <c r="N1536" s="2">
        <v>7.99</v>
      </c>
      <c r="O1536" s="2">
        <v>24.48</v>
      </c>
      <c r="P1536" s="2" t="s">
        <v>68</v>
      </c>
      <c r="Q1536" s="2" t="s">
        <v>28</v>
      </c>
      <c r="R1536" s="2" t="s">
        <v>29</v>
      </c>
      <c r="S1536" s="2" t="s">
        <v>75</v>
      </c>
      <c r="T1536" s="2"/>
      <c r="U1536" s="2" t="str">
        <f t="shared" si="73"/>
        <v>Not Required</v>
      </c>
      <c r="V1536" s="2" t="s">
        <v>4111</v>
      </c>
    </row>
    <row r="1537" spans="1:22" hidden="1" x14ac:dyDescent="0.3">
      <c r="A1537" s="2" t="s">
        <v>4114</v>
      </c>
      <c r="B1537" s="12">
        <f t="shared" si="72"/>
        <v>46238</v>
      </c>
      <c r="C1537" s="13" t="s">
        <v>1037</v>
      </c>
      <c r="D1537" s="2" t="s">
        <v>849</v>
      </c>
      <c r="E1537" s="2" t="str">
        <f t="shared" si="71"/>
        <v>Email Available</v>
      </c>
      <c r="F1537" s="2" t="s">
        <v>850</v>
      </c>
      <c r="G1537" s="2" t="s">
        <v>157</v>
      </c>
      <c r="H1537" s="2" t="s">
        <v>37</v>
      </c>
      <c r="I1537" s="2" t="s">
        <v>158</v>
      </c>
      <c r="J1537" s="2">
        <v>1</v>
      </c>
      <c r="K1537" s="2">
        <v>29.99</v>
      </c>
      <c r="L1537" s="2" t="s">
        <v>208</v>
      </c>
      <c r="M1537" s="2">
        <v>4.5</v>
      </c>
      <c r="N1537" s="2">
        <v>7.99</v>
      </c>
      <c r="O1537" s="2">
        <v>33.479999999999997</v>
      </c>
      <c r="P1537" s="2" t="s">
        <v>27</v>
      </c>
      <c r="Q1537" s="2" t="s">
        <v>114</v>
      </c>
      <c r="R1537" s="2" t="s">
        <v>52</v>
      </c>
      <c r="S1537" s="2" t="s">
        <v>228</v>
      </c>
      <c r="T1537" s="2"/>
      <c r="U1537" s="2" t="str">
        <f t="shared" si="73"/>
        <v>Not Required</v>
      </c>
      <c r="V1537" s="2" t="s">
        <v>4115</v>
      </c>
    </row>
    <row r="1538" spans="1:22" hidden="1" x14ac:dyDescent="0.3">
      <c r="A1538" s="2" t="s">
        <v>4116</v>
      </c>
      <c r="B1538" s="12">
        <f t="shared" si="72"/>
        <v>46238.585851851851</v>
      </c>
      <c r="C1538" s="13">
        <v>46238.585851851851</v>
      </c>
      <c r="D1538" s="2" t="s">
        <v>412</v>
      </c>
      <c r="E1538" s="2" t="str">
        <f t="shared" si="71"/>
        <v>Email Available</v>
      </c>
      <c r="F1538" s="2" t="s">
        <v>413</v>
      </c>
      <c r="G1538" s="2" t="s">
        <v>315</v>
      </c>
      <c r="H1538" s="2" t="s">
        <v>37</v>
      </c>
      <c r="I1538" s="2" t="s">
        <v>316</v>
      </c>
      <c r="J1538" s="2">
        <v>1</v>
      </c>
      <c r="K1538" s="2">
        <v>8.99</v>
      </c>
      <c r="L1538" s="2" t="s">
        <v>67</v>
      </c>
      <c r="M1538" s="2">
        <v>0.9</v>
      </c>
      <c r="N1538" s="2">
        <v>5.99</v>
      </c>
      <c r="O1538" s="2">
        <v>14.08</v>
      </c>
      <c r="P1538" s="2" t="s">
        <v>40</v>
      </c>
      <c r="Q1538" s="2" t="s">
        <v>28</v>
      </c>
      <c r="R1538" s="2" t="s">
        <v>52</v>
      </c>
      <c r="S1538" s="2" t="s">
        <v>30</v>
      </c>
      <c r="T1538" s="2" t="s">
        <v>75</v>
      </c>
      <c r="U1538" s="2" t="str">
        <f t="shared" si="73"/>
        <v>Valid</v>
      </c>
      <c r="V1538" s="2" t="s">
        <v>4117</v>
      </c>
    </row>
    <row r="1539" spans="1:22" hidden="1" x14ac:dyDescent="0.3">
      <c r="A1539" s="2" t="s">
        <v>4118</v>
      </c>
      <c r="B1539" s="12">
        <f t="shared" si="72"/>
        <v>46238.579835972218</v>
      </c>
      <c r="C1539" s="13">
        <v>46238.579835972218</v>
      </c>
      <c r="D1539" s="2" t="s">
        <v>4119</v>
      </c>
      <c r="E1539" s="2" t="str">
        <f t="shared" ref="E1539:E1602" si="74">IF(TRIM(F1539)="","Missing Email","Email Available")</f>
        <v>Email Available</v>
      </c>
      <c r="F1539" s="2" t="s">
        <v>615</v>
      </c>
      <c r="G1539" s="2" t="s">
        <v>272</v>
      </c>
      <c r="H1539" s="2" t="s">
        <v>23</v>
      </c>
      <c r="I1539" s="2" t="s">
        <v>273</v>
      </c>
      <c r="J1539" s="2">
        <v>1</v>
      </c>
      <c r="K1539" s="2">
        <v>18.989999999999998</v>
      </c>
      <c r="L1539" s="2"/>
      <c r="M1539" s="2">
        <v>0</v>
      </c>
      <c r="N1539" s="2">
        <v>4.99</v>
      </c>
      <c r="O1539" s="2">
        <v>23.98</v>
      </c>
      <c r="P1539" s="2" t="s">
        <v>68</v>
      </c>
      <c r="Q1539" s="2" t="s">
        <v>90</v>
      </c>
      <c r="R1539" s="2" t="s">
        <v>99</v>
      </c>
      <c r="S1539" s="2" t="s">
        <v>43</v>
      </c>
      <c r="T1539" s="2"/>
      <c r="U1539" s="2" t="str">
        <f t="shared" si="73"/>
        <v>Not Required</v>
      </c>
      <c r="V1539" s="2" t="s">
        <v>4120</v>
      </c>
    </row>
    <row r="1540" spans="1:22" hidden="1" x14ac:dyDescent="0.3">
      <c r="A1540" s="2" t="s">
        <v>4121</v>
      </c>
      <c r="B1540" s="12">
        <f t="shared" si="72"/>
        <v>46238.584243194447</v>
      </c>
      <c r="C1540" s="13">
        <v>46238.584243194447</v>
      </c>
      <c r="D1540" s="2" t="s">
        <v>1475</v>
      </c>
      <c r="E1540" s="2" t="str">
        <f t="shared" si="74"/>
        <v>Email Available</v>
      </c>
      <c r="F1540" s="2" t="s">
        <v>1298</v>
      </c>
      <c r="G1540" s="2" t="s">
        <v>133</v>
      </c>
      <c r="H1540" s="2" t="s">
        <v>106</v>
      </c>
      <c r="I1540" s="2" t="s">
        <v>134</v>
      </c>
      <c r="J1540" s="2">
        <v>2</v>
      </c>
      <c r="K1540" s="2">
        <v>16.989999999999998</v>
      </c>
      <c r="L1540" s="2"/>
      <c r="M1540" s="2">
        <v>0</v>
      </c>
      <c r="N1540" s="2">
        <v>7.99</v>
      </c>
      <c r="O1540" s="2">
        <v>41.97</v>
      </c>
      <c r="P1540" s="2" t="s">
        <v>51</v>
      </c>
      <c r="Q1540" s="2" t="s">
        <v>28</v>
      </c>
      <c r="R1540" s="2" t="s">
        <v>52</v>
      </c>
      <c r="S1540" s="2" t="s">
        <v>30</v>
      </c>
      <c r="T1540" s="2" t="s">
        <v>91</v>
      </c>
      <c r="U1540" s="2" t="str">
        <f t="shared" si="73"/>
        <v>Valid</v>
      </c>
      <c r="V1540" s="2" t="s">
        <v>4122</v>
      </c>
    </row>
    <row r="1541" spans="1:22" hidden="1" x14ac:dyDescent="0.3">
      <c r="A1541" s="2" t="s">
        <v>4123</v>
      </c>
      <c r="B1541" s="12">
        <f t="shared" si="72"/>
        <v>46238.587809930563</v>
      </c>
      <c r="C1541" s="13">
        <v>46238.587809930563</v>
      </c>
      <c r="D1541" s="2" t="s">
        <v>3034</v>
      </c>
      <c r="E1541" s="2" t="str">
        <f t="shared" si="74"/>
        <v>Email Available</v>
      </c>
      <c r="F1541" s="2" t="s">
        <v>3035</v>
      </c>
      <c r="G1541" s="2" t="s">
        <v>272</v>
      </c>
      <c r="H1541" s="2" t="s">
        <v>23</v>
      </c>
      <c r="I1541" s="2" t="s">
        <v>273</v>
      </c>
      <c r="J1541" s="2">
        <v>1</v>
      </c>
      <c r="K1541" s="2">
        <v>18.989999999999998</v>
      </c>
      <c r="L1541" s="2"/>
      <c r="M1541" s="2">
        <v>0</v>
      </c>
      <c r="N1541" s="2">
        <v>4.99</v>
      </c>
      <c r="O1541" s="2">
        <v>23.98</v>
      </c>
      <c r="P1541" s="2" t="s">
        <v>40</v>
      </c>
      <c r="Q1541" s="2" t="s">
        <v>28</v>
      </c>
      <c r="R1541" s="2" t="s">
        <v>99</v>
      </c>
      <c r="S1541" s="2" t="s">
        <v>30</v>
      </c>
      <c r="T1541" s="2" t="s">
        <v>766</v>
      </c>
      <c r="U1541" s="2" t="str">
        <f t="shared" si="73"/>
        <v>Valid</v>
      </c>
      <c r="V1541" s="2" t="s">
        <v>4124</v>
      </c>
    </row>
    <row r="1542" spans="1:22" hidden="1" x14ac:dyDescent="0.3">
      <c r="A1542" s="2" t="s">
        <v>4125</v>
      </c>
      <c r="B1542" s="12">
        <f t="shared" si="72"/>
        <v>46238</v>
      </c>
      <c r="C1542" s="13" t="s">
        <v>148</v>
      </c>
      <c r="D1542" s="2" t="s">
        <v>1113</v>
      </c>
      <c r="E1542" s="2" t="str">
        <f t="shared" si="74"/>
        <v>Email Available</v>
      </c>
      <c r="F1542" s="2" t="s">
        <v>1114</v>
      </c>
      <c r="G1542" s="2" t="s">
        <v>112</v>
      </c>
      <c r="H1542" s="2" t="s">
        <v>81</v>
      </c>
      <c r="I1542" s="2" t="s">
        <v>113</v>
      </c>
      <c r="J1542" s="2">
        <v>1</v>
      </c>
      <c r="K1542" s="2">
        <v>22.99</v>
      </c>
      <c r="L1542" s="2" t="s">
        <v>121</v>
      </c>
      <c r="M1542" s="2">
        <v>5.75</v>
      </c>
      <c r="N1542" s="2">
        <v>7.99</v>
      </c>
      <c r="O1542" s="2">
        <v>25.23</v>
      </c>
      <c r="P1542" s="2" t="s">
        <v>74</v>
      </c>
      <c r="Q1542" s="2" t="s">
        <v>41</v>
      </c>
      <c r="R1542" s="2" t="s">
        <v>52</v>
      </c>
      <c r="S1542" s="2" t="s">
        <v>30</v>
      </c>
      <c r="T1542" s="2" t="s">
        <v>347</v>
      </c>
      <c r="U1542" s="2" t="str">
        <f t="shared" si="73"/>
        <v>Valid</v>
      </c>
      <c r="V1542" s="2" t="s">
        <v>4126</v>
      </c>
    </row>
    <row r="1543" spans="1:22" hidden="1" x14ac:dyDescent="0.3">
      <c r="A1543" s="2" t="s">
        <v>4127</v>
      </c>
      <c r="B1543" s="12">
        <f t="shared" si="72"/>
        <v>46238.587488668978</v>
      </c>
      <c r="C1543" s="13">
        <v>46238.587488668978</v>
      </c>
      <c r="D1543" s="2" t="s">
        <v>4128</v>
      </c>
      <c r="E1543" s="2" t="str">
        <f t="shared" si="74"/>
        <v>Email Available</v>
      </c>
      <c r="F1543" s="2" t="s">
        <v>4129</v>
      </c>
      <c r="G1543" s="2" t="s">
        <v>80</v>
      </c>
      <c r="H1543" s="2" t="s">
        <v>81</v>
      </c>
      <c r="I1543" s="2" t="s">
        <v>82</v>
      </c>
      <c r="J1543" s="2">
        <v>1</v>
      </c>
      <c r="K1543" s="2">
        <v>89.99</v>
      </c>
      <c r="L1543" s="2"/>
      <c r="M1543" s="2">
        <v>0</v>
      </c>
      <c r="N1543" s="2">
        <v>0</v>
      </c>
      <c r="O1543" s="2">
        <v>89.99</v>
      </c>
      <c r="P1543" s="2" t="s">
        <v>27</v>
      </c>
      <c r="Q1543" s="2" t="s">
        <v>28</v>
      </c>
      <c r="R1543" s="2" t="s">
        <v>99</v>
      </c>
      <c r="S1543" s="2" t="s">
        <v>30</v>
      </c>
      <c r="T1543" s="2" t="s">
        <v>1412</v>
      </c>
      <c r="U1543" s="2" t="str">
        <f t="shared" si="73"/>
        <v>Valid</v>
      </c>
      <c r="V1543" s="2" t="s">
        <v>4130</v>
      </c>
    </row>
    <row r="1544" spans="1:22" hidden="1" x14ac:dyDescent="0.3">
      <c r="A1544" s="2" t="s">
        <v>4131</v>
      </c>
      <c r="B1544" s="12">
        <f t="shared" si="72"/>
        <v>46238.588280162039</v>
      </c>
      <c r="C1544" s="13">
        <v>46238.588280162039</v>
      </c>
      <c r="D1544" s="2" t="s">
        <v>438</v>
      </c>
      <c r="E1544" s="2" t="str">
        <f t="shared" si="74"/>
        <v>Email Available</v>
      </c>
      <c r="F1544" s="2" t="s">
        <v>439</v>
      </c>
      <c r="G1544" s="2" t="s">
        <v>4132</v>
      </c>
      <c r="H1544" s="2" t="s">
        <v>37</v>
      </c>
      <c r="I1544" s="2" t="s">
        <v>38</v>
      </c>
      <c r="J1544" s="2">
        <v>1</v>
      </c>
      <c r="K1544" s="2">
        <v>21.99</v>
      </c>
      <c r="L1544" s="2" t="s">
        <v>67</v>
      </c>
      <c r="M1544" s="2">
        <v>2.2000000000000002</v>
      </c>
      <c r="N1544" s="2">
        <v>4.99</v>
      </c>
      <c r="O1544" s="2">
        <v>24.78</v>
      </c>
      <c r="P1544" s="2" t="s">
        <v>51</v>
      </c>
      <c r="Q1544" s="2" t="s">
        <v>90</v>
      </c>
      <c r="R1544" s="2" t="s">
        <v>52</v>
      </c>
      <c r="S1544" s="2" t="s">
        <v>108</v>
      </c>
      <c r="T1544" s="2"/>
      <c r="U1544" s="2" t="str">
        <f t="shared" si="73"/>
        <v>Not Required</v>
      </c>
      <c r="V1544" s="2" t="s">
        <v>4133</v>
      </c>
    </row>
    <row r="1545" spans="1:22" hidden="1" x14ac:dyDescent="0.3">
      <c r="A1545" s="2" t="s">
        <v>4134</v>
      </c>
      <c r="B1545" s="12">
        <f t="shared" si="72"/>
        <v>46238.588654699073</v>
      </c>
      <c r="C1545" s="13">
        <v>46238.588654699073</v>
      </c>
      <c r="D1545" s="2" t="s">
        <v>384</v>
      </c>
      <c r="E1545" s="2" t="str">
        <f t="shared" si="74"/>
        <v>Email Available</v>
      </c>
      <c r="F1545" s="2" t="s">
        <v>385</v>
      </c>
      <c r="G1545" s="2" t="s">
        <v>171</v>
      </c>
      <c r="H1545" s="2" t="s">
        <v>106</v>
      </c>
      <c r="I1545" s="2" t="s">
        <v>172</v>
      </c>
      <c r="J1545" s="2">
        <v>2</v>
      </c>
      <c r="K1545" s="2">
        <v>32.99</v>
      </c>
      <c r="L1545" s="2" t="s">
        <v>208</v>
      </c>
      <c r="M1545" s="2">
        <v>9.9</v>
      </c>
      <c r="N1545" s="2">
        <v>5.99</v>
      </c>
      <c r="O1545" s="2">
        <v>62.07</v>
      </c>
      <c r="P1545" s="2" t="s">
        <v>74</v>
      </c>
      <c r="Q1545" s="2" t="s">
        <v>114</v>
      </c>
      <c r="R1545" s="2" t="s">
        <v>52</v>
      </c>
      <c r="S1545" s="2" t="s">
        <v>75</v>
      </c>
      <c r="T1545" s="2"/>
      <c r="U1545" s="2" t="str">
        <f t="shared" si="73"/>
        <v>Not Required</v>
      </c>
      <c r="V1545" s="2" t="s">
        <v>4135</v>
      </c>
    </row>
    <row r="1546" spans="1:22" hidden="1" x14ac:dyDescent="0.3">
      <c r="A1546" s="2" t="s">
        <v>4136</v>
      </c>
      <c r="B1546" s="12">
        <f t="shared" si="72"/>
        <v>46238.587157233793</v>
      </c>
      <c r="C1546" s="13">
        <v>46238.587157233793</v>
      </c>
      <c r="D1546" s="2" t="s">
        <v>2422</v>
      </c>
      <c r="E1546" s="2" t="str">
        <f t="shared" si="74"/>
        <v>Email Available</v>
      </c>
      <c r="F1546" s="2" t="s">
        <v>2423</v>
      </c>
      <c r="G1546" s="2" t="s">
        <v>65</v>
      </c>
      <c r="H1546" s="2" t="s">
        <v>49</v>
      </c>
      <c r="I1546" s="2" t="s">
        <v>453</v>
      </c>
      <c r="J1546" s="2">
        <v>1</v>
      </c>
      <c r="K1546" s="2">
        <v>14.99</v>
      </c>
      <c r="L1546" s="2"/>
      <c r="M1546" s="2">
        <v>0</v>
      </c>
      <c r="N1546" s="2">
        <v>7.99</v>
      </c>
      <c r="O1546" s="2">
        <v>22.98</v>
      </c>
      <c r="P1546" s="2" t="s">
        <v>27</v>
      </c>
      <c r="Q1546" s="2" t="s">
        <v>28</v>
      </c>
      <c r="R1546" s="2" t="s">
        <v>99</v>
      </c>
      <c r="S1546" s="2" t="s">
        <v>228</v>
      </c>
      <c r="T1546" s="2"/>
      <c r="U1546" s="2" t="str">
        <f t="shared" si="73"/>
        <v>Not Required</v>
      </c>
      <c r="V1546" s="2" t="s">
        <v>4137</v>
      </c>
    </row>
    <row r="1547" spans="1:22" hidden="1" x14ac:dyDescent="0.3">
      <c r="A1547" s="2" t="s">
        <v>4138</v>
      </c>
      <c r="B1547" s="12">
        <f t="shared" si="72"/>
        <v>46238.581967002312</v>
      </c>
      <c r="C1547" s="13">
        <v>46238.581967002312</v>
      </c>
      <c r="D1547" s="2" t="s">
        <v>1294</v>
      </c>
      <c r="E1547" s="2" t="str">
        <f t="shared" si="74"/>
        <v>Email Available</v>
      </c>
      <c r="F1547" s="2" t="s">
        <v>1275</v>
      </c>
      <c r="G1547" s="2" t="s">
        <v>133</v>
      </c>
      <c r="H1547" s="2" t="s">
        <v>106</v>
      </c>
      <c r="I1547" s="2" t="s">
        <v>134</v>
      </c>
      <c r="J1547" s="2">
        <v>1</v>
      </c>
      <c r="K1547" s="2">
        <v>16.989999999999998</v>
      </c>
      <c r="L1547" s="2"/>
      <c r="M1547" s="2">
        <v>0</v>
      </c>
      <c r="N1547" s="2">
        <v>4.99</v>
      </c>
      <c r="O1547" s="2">
        <v>21.98</v>
      </c>
      <c r="P1547" s="2" t="s">
        <v>68</v>
      </c>
      <c r="Q1547" s="2" t="s">
        <v>28</v>
      </c>
      <c r="R1547" s="2" t="s">
        <v>52</v>
      </c>
      <c r="S1547" s="2" t="s">
        <v>108</v>
      </c>
      <c r="T1547" s="2"/>
      <c r="U1547" s="2" t="str">
        <f t="shared" si="73"/>
        <v>Not Required</v>
      </c>
      <c r="V1547" s="2" t="s">
        <v>4139</v>
      </c>
    </row>
    <row r="1548" spans="1:22" hidden="1" x14ac:dyDescent="0.3">
      <c r="A1548" s="2" t="s">
        <v>4140</v>
      </c>
      <c r="B1548" s="12">
        <f t="shared" si="72"/>
        <v>46238.580449791669</v>
      </c>
      <c r="C1548" s="13">
        <v>46238.580449791669</v>
      </c>
      <c r="D1548" s="2" t="s">
        <v>3818</v>
      </c>
      <c r="E1548" s="2" t="str">
        <f t="shared" si="74"/>
        <v>Email Available</v>
      </c>
      <c r="F1548" s="2" t="s">
        <v>3819</v>
      </c>
      <c r="G1548" s="2" t="s">
        <v>151</v>
      </c>
      <c r="H1548" s="2" t="s">
        <v>49</v>
      </c>
      <c r="I1548" s="2" t="s">
        <v>152</v>
      </c>
      <c r="J1548" s="2">
        <v>1</v>
      </c>
      <c r="K1548" s="2">
        <v>34.99</v>
      </c>
      <c r="L1548" s="2" t="s">
        <v>121</v>
      </c>
      <c r="M1548" s="2" t="s">
        <v>4141</v>
      </c>
      <c r="N1548" s="2">
        <v>7.99</v>
      </c>
      <c r="O1548" s="2">
        <v>34.229999999999997</v>
      </c>
      <c r="P1548" s="2" t="s">
        <v>68</v>
      </c>
      <c r="Q1548" s="2" t="s">
        <v>28</v>
      </c>
      <c r="R1548" s="2" t="s">
        <v>29</v>
      </c>
      <c r="S1548" s="2" t="s">
        <v>75</v>
      </c>
      <c r="T1548" s="2"/>
      <c r="U1548" s="2" t="str">
        <f t="shared" si="73"/>
        <v>Not Required</v>
      </c>
      <c r="V1548" s="2" t="s">
        <v>4142</v>
      </c>
    </row>
    <row r="1549" spans="1:22" hidden="1" x14ac:dyDescent="0.3">
      <c r="A1549" s="2" t="s">
        <v>4143</v>
      </c>
      <c r="B1549" s="12">
        <f t="shared" si="72"/>
        <v>46238.581467303236</v>
      </c>
      <c r="C1549" s="13">
        <v>46238.581467303236</v>
      </c>
      <c r="D1549" s="2" t="s">
        <v>137</v>
      </c>
      <c r="E1549" s="2" t="str">
        <f t="shared" si="74"/>
        <v>Email Available</v>
      </c>
      <c r="F1549" s="2" t="s">
        <v>138</v>
      </c>
      <c r="G1549" s="2" t="s">
        <v>284</v>
      </c>
      <c r="H1549" s="2" t="s">
        <v>23</v>
      </c>
      <c r="I1549" s="2" t="s">
        <v>285</v>
      </c>
      <c r="J1549" s="2">
        <v>1</v>
      </c>
      <c r="K1549" s="2">
        <v>24.99</v>
      </c>
      <c r="L1549" s="2"/>
      <c r="M1549" s="2">
        <v>0</v>
      </c>
      <c r="N1549" s="2">
        <v>7.99</v>
      </c>
      <c r="O1549" s="2">
        <v>32.979999999999997</v>
      </c>
      <c r="P1549" s="2" t="s">
        <v>40</v>
      </c>
      <c r="Q1549" s="2" t="s">
        <v>114</v>
      </c>
      <c r="R1549" s="2" t="s">
        <v>52</v>
      </c>
      <c r="S1549" s="2" t="s">
        <v>30</v>
      </c>
      <c r="T1549" s="2" t="s">
        <v>69</v>
      </c>
      <c r="U1549" s="2" t="str">
        <f t="shared" si="73"/>
        <v>Valid</v>
      </c>
      <c r="V1549" s="2" t="s">
        <v>4144</v>
      </c>
    </row>
    <row r="1550" spans="1:22" hidden="1" x14ac:dyDescent="0.3">
      <c r="A1550" s="2" t="s">
        <v>4145</v>
      </c>
      <c r="B1550" s="12">
        <f t="shared" si="72"/>
        <v>46238.588142233799</v>
      </c>
      <c r="C1550" s="13">
        <v>46238.588142233799</v>
      </c>
      <c r="D1550" s="2" t="s">
        <v>313</v>
      </c>
      <c r="E1550" s="2" t="str">
        <f t="shared" si="74"/>
        <v>Email Available</v>
      </c>
      <c r="F1550" s="2" t="s">
        <v>314</v>
      </c>
      <c r="G1550" s="2" t="s">
        <v>157</v>
      </c>
      <c r="H1550" s="2" t="s">
        <v>37</v>
      </c>
      <c r="I1550" s="2" t="s">
        <v>158</v>
      </c>
      <c r="J1550" s="2">
        <v>2</v>
      </c>
      <c r="K1550" s="2">
        <v>29.99</v>
      </c>
      <c r="L1550" s="2" t="s">
        <v>39</v>
      </c>
      <c r="M1550" s="2">
        <v>0</v>
      </c>
      <c r="N1550" s="2">
        <v>0</v>
      </c>
      <c r="O1550" s="2">
        <v>59.98</v>
      </c>
      <c r="P1550" s="2" t="s">
        <v>68</v>
      </c>
      <c r="Q1550" s="2" t="s">
        <v>28</v>
      </c>
      <c r="R1550" s="2" t="s">
        <v>52</v>
      </c>
      <c r="S1550" s="2" t="s">
        <v>108</v>
      </c>
      <c r="T1550" s="2"/>
      <c r="U1550" s="2" t="str">
        <f t="shared" si="73"/>
        <v>Not Required</v>
      </c>
      <c r="V1550" s="2" t="s">
        <v>4146</v>
      </c>
    </row>
    <row r="1551" spans="1:22" hidden="1" x14ac:dyDescent="0.3">
      <c r="A1551" s="2" t="s">
        <v>4147</v>
      </c>
      <c r="B1551" s="12">
        <f t="shared" si="72"/>
        <v>46238.579210208343</v>
      </c>
      <c r="C1551" s="13">
        <v>46238.579210208343</v>
      </c>
      <c r="D1551" s="2" t="s">
        <v>4148</v>
      </c>
      <c r="E1551" s="2" t="str">
        <f t="shared" si="74"/>
        <v>Email Available</v>
      </c>
      <c r="F1551" s="2" t="s">
        <v>1965</v>
      </c>
      <c r="G1551" s="2" t="s">
        <v>4132</v>
      </c>
      <c r="H1551" s="2" t="s">
        <v>37</v>
      </c>
      <c r="I1551" s="2" t="s">
        <v>38</v>
      </c>
      <c r="J1551" s="2">
        <v>1</v>
      </c>
      <c r="K1551" s="2">
        <v>21.99</v>
      </c>
      <c r="L1551" s="2"/>
      <c r="M1551" s="2">
        <v>0</v>
      </c>
      <c r="N1551" s="2">
        <v>4.99</v>
      </c>
      <c r="O1551" s="2">
        <v>26.98</v>
      </c>
      <c r="P1551" s="2" t="s">
        <v>27</v>
      </c>
      <c r="Q1551" s="2" t="s">
        <v>41</v>
      </c>
      <c r="R1551" s="2" t="s">
        <v>42</v>
      </c>
      <c r="S1551" s="2" t="s">
        <v>337</v>
      </c>
      <c r="T1551" s="2"/>
      <c r="U1551" s="2" t="str">
        <f t="shared" si="73"/>
        <v>Not Required</v>
      </c>
      <c r="V1551" s="2" t="s">
        <v>4149</v>
      </c>
    </row>
    <row r="1552" spans="1:22" hidden="1" x14ac:dyDescent="0.3">
      <c r="A1552" s="2" t="s">
        <v>4150</v>
      </c>
      <c r="B1552" s="12">
        <f t="shared" si="72"/>
        <v>46238</v>
      </c>
      <c r="C1552" s="13" t="s">
        <v>148</v>
      </c>
      <c r="D1552" s="2" t="s">
        <v>3927</v>
      </c>
      <c r="E1552" s="2" t="str">
        <f t="shared" si="74"/>
        <v>Email Available</v>
      </c>
      <c r="F1552" s="2" t="s">
        <v>3928</v>
      </c>
      <c r="G1552" s="2" t="s">
        <v>2070</v>
      </c>
      <c r="H1552" s="2" t="s">
        <v>49</v>
      </c>
      <c r="I1552" s="2" t="s">
        <v>66</v>
      </c>
      <c r="J1552" s="2">
        <v>2</v>
      </c>
      <c r="K1552" s="2">
        <v>14.99</v>
      </c>
      <c r="L1552" s="2"/>
      <c r="M1552" s="2">
        <v>0</v>
      </c>
      <c r="N1552" s="2">
        <v>4.99</v>
      </c>
      <c r="O1552" s="2">
        <v>34.97</v>
      </c>
      <c r="P1552" s="2" t="s">
        <v>27</v>
      </c>
      <c r="Q1552" s="2" t="s">
        <v>28</v>
      </c>
      <c r="R1552" s="2" t="s">
        <v>42</v>
      </c>
      <c r="S1552" s="2" t="s">
        <v>30</v>
      </c>
      <c r="T1552" s="2" t="s">
        <v>91</v>
      </c>
      <c r="U1552" s="2" t="str">
        <f t="shared" si="73"/>
        <v>Valid</v>
      </c>
      <c r="V1552" s="2" t="s">
        <v>1345</v>
      </c>
    </row>
    <row r="1553" spans="1:22" hidden="1" x14ac:dyDescent="0.3">
      <c r="A1553" s="2" t="s">
        <v>4153</v>
      </c>
      <c r="B1553" s="12">
        <f t="shared" si="72"/>
        <v>46238.580624178241</v>
      </c>
      <c r="C1553" s="13">
        <v>46238.580624178241</v>
      </c>
      <c r="D1553" s="2" t="s">
        <v>2748</v>
      </c>
      <c r="E1553" s="2" t="str">
        <f t="shared" si="74"/>
        <v>Email Available</v>
      </c>
      <c r="F1553" s="2" t="s">
        <v>2101</v>
      </c>
      <c r="G1553" s="2" t="s">
        <v>58</v>
      </c>
      <c r="H1553" s="2" t="s">
        <v>23</v>
      </c>
      <c r="I1553" s="2" t="s">
        <v>59</v>
      </c>
      <c r="J1553" s="2">
        <v>1</v>
      </c>
      <c r="K1553" s="2">
        <v>9.99</v>
      </c>
      <c r="L1553" s="2" t="s">
        <v>121</v>
      </c>
      <c r="M1553" s="2">
        <v>2.5</v>
      </c>
      <c r="N1553" s="2">
        <v>4.99</v>
      </c>
      <c r="O1553" s="2">
        <v>12.48</v>
      </c>
      <c r="P1553" s="2" t="s">
        <v>74</v>
      </c>
      <c r="Q1553" s="2" t="s">
        <v>90</v>
      </c>
      <c r="R1553" s="2" t="s">
        <v>52</v>
      </c>
      <c r="S1553" s="2" t="s">
        <v>228</v>
      </c>
      <c r="T1553" s="2"/>
      <c r="U1553" s="2" t="str">
        <f t="shared" si="73"/>
        <v>Not Required</v>
      </c>
      <c r="V1553" s="2" t="s">
        <v>4154</v>
      </c>
    </row>
    <row r="1554" spans="1:22" hidden="1" x14ac:dyDescent="0.3">
      <c r="A1554" s="2" t="s">
        <v>4155</v>
      </c>
      <c r="B1554" s="12">
        <f t="shared" si="72"/>
        <v>46238.582507372688</v>
      </c>
      <c r="C1554" s="13">
        <v>46238.582507372688</v>
      </c>
      <c r="D1554" s="2" t="s">
        <v>1368</v>
      </c>
      <c r="E1554" s="2" t="str">
        <f t="shared" si="74"/>
        <v>Email Available</v>
      </c>
      <c r="F1554" s="2" t="s">
        <v>1369</v>
      </c>
      <c r="G1554" s="2" t="s">
        <v>80</v>
      </c>
      <c r="H1554" s="2" t="s">
        <v>81</v>
      </c>
      <c r="I1554" s="2" t="s">
        <v>82</v>
      </c>
      <c r="J1554" s="2">
        <v>1</v>
      </c>
      <c r="K1554" s="2">
        <v>89.99</v>
      </c>
      <c r="L1554" s="2"/>
      <c r="M1554" s="2">
        <v>0</v>
      </c>
      <c r="N1554" s="2">
        <v>0</v>
      </c>
      <c r="O1554" s="2">
        <v>89.99</v>
      </c>
      <c r="P1554" s="2" t="s">
        <v>74</v>
      </c>
      <c r="Q1554" s="2" t="s">
        <v>28</v>
      </c>
      <c r="R1554" s="2" t="s">
        <v>42</v>
      </c>
      <c r="S1554" s="2" t="s">
        <v>43</v>
      </c>
      <c r="T1554" s="2"/>
      <c r="U1554" s="2" t="str">
        <f t="shared" si="73"/>
        <v>Not Required</v>
      </c>
      <c r="V1554" s="2" t="s">
        <v>2019</v>
      </c>
    </row>
    <row r="1555" spans="1:22" hidden="1" x14ac:dyDescent="0.3">
      <c r="A1555" s="2" t="s">
        <v>4156</v>
      </c>
      <c r="B1555" s="12">
        <f t="shared" si="72"/>
        <v>46238.584031932871</v>
      </c>
      <c r="C1555" s="13">
        <v>46238.584031932871</v>
      </c>
      <c r="D1555" s="2" t="s">
        <v>3463</v>
      </c>
      <c r="E1555" s="2" t="str">
        <f t="shared" si="74"/>
        <v>Email Available</v>
      </c>
      <c r="F1555" s="2" t="s">
        <v>3464</v>
      </c>
      <c r="G1555" s="2" t="s">
        <v>36</v>
      </c>
      <c r="H1555" s="2" t="s">
        <v>37</v>
      </c>
      <c r="I1555" s="2" t="s">
        <v>38</v>
      </c>
      <c r="J1555" s="2">
        <v>3</v>
      </c>
      <c r="K1555" s="2">
        <v>21.99</v>
      </c>
      <c r="L1555" s="2"/>
      <c r="M1555" s="2">
        <v>0</v>
      </c>
      <c r="N1555" s="2">
        <v>4.99</v>
      </c>
      <c r="O1555" s="2">
        <v>70.959999999999994</v>
      </c>
      <c r="P1555" s="2" t="s">
        <v>68</v>
      </c>
      <c r="Q1555" s="2" t="s">
        <v>28</v>
      </c>
      <c r="R1555" s="2" t="s">
        <v>52</v>
      </c>
      <c r="S1555" s="2" t="s">
        <v>43</v>
      </c>
      <c r="T1555" s="2"/>
      <c r="U1555" s="2" t="str">
        <f t="shared" si="73"/>
        <v>Not Required</v>
      </c>
      <c r="V1555" s="2" t="s">
        <v>4157</v>
      </c>
    </row>
    <row r="1556" spans="1:22" hidden="1" x14ac:dyDescent="0.3">
      <c r="A1556" s="2" t="s">
        <v>4158</v>
      </c>
      <c r="B1556" s="12">
        <f t="shared" si="72"/>
        <v>46238.586849050916</v>
      </c>
      <c r="C1556" s="13">
        <v>46238.586849050916</v>
      </c>
      <c r="D1556" s="2" t="s">
        <v>1751</v>
      </c>
      <c r="E1556" s="2" t="str">
        <f t="shared" si="74"/>
        <v>Email Available</v>
      </c>
      <c r="F1556" s="2" t="s">
        <v>1752</v>
      </c>
      <c r="G1556" s="2" t="s">
        <v>284</v>
      </c>
      <c r="H1556" s="2" t="s">
        <v>23</v>
      </c>
      <c r="I1556" s="2" t="s">
        <v>285</v>
      </c>
      <c r="J1556" s="2">
        <v>1</v>
      </c>
      <c r="K1556" s="2">
        <v>24.99</v>
      </c>
      <c r="L1556" s="2"/>
      <c r="M1556" s="2">
        <v>0</v>
      </c>
      <c r="N1556" s="2">
        <v>5.99</v>
      </c>
      <c r="O1556" s="2">
        <v>30.98</v>
      </c>
      <c r="P1556" s="2" t="s">
        <v>74</v>
      </c>
      <c r="Q1556" s="2" t="s">
        <v>28</v>
      </c>
      <c r="R1556" s="2" t="s">
        <v>52</v>
      </c>
      <c r="S1556" s="2" t="s">
        <v>75</v>
      </c>
      <c r="T1556" s="2"/>
      <c r="U1556" s="2" t="str">
        <f t="shared" si="73"/>
        <v>Not Required</v>
      </c>
      <c r="V1556" s="2" t="s">
        <v>4159</v>
      </c>
    </row>
    <row r="1557" spans="1:22" hidden="1" x14ac:dyDescent="0.3">
      <c r="A1557" s="2" t="s">
        <v>4160</v>
      </c>
      <c r="B1557" s="12">
        <f t="shared" si="72"/>
        <v>46238.580801782409</v>
      </c>
      <c r="C1557" s="13">
        <v>46238.580801782409</v>
      </c>
      <c r="D1557" s="2" t="s">
        <v>200</v>
      </c>
      <c r="E1557" s="2" t="str">
        <f t="shared" si="74"/>
        <v>Email Available</v>
      </c>
      <c r="F1557" s="2" t="s">
        <v>201</v>
      </c>
      <c r="G1557" s="2" t="s">
        <v>195</v>
      </c>
      <c r="H1557" s="2" t="s">
        <v>196</v>
      </c>
      <c r="I1557" s="2" t="s">
        <v>197</v>
      </c>
      <c r="J1557" s="2">
        <v>1</v>
      </c>
      <c r="K1557" s="2">
        <v>13.49</v>
      </c>
      <c r="L1557" s="2" t="s">
        <v>208</v>
      </c>
      <c r="M1557" s="2" t="s">
        <v>4161</v>
      </c>
      <c r="N1557" s="2">
        <v>5.99</v>
      </c>
      <c r="O1557" s="2">
        <v>17.46</v>
      </c>
      <c r="P1557" s="2" t="s">
        <v>74</v>
      </c>
      <c r="Q1557" s="2" t="s">
        <v>41</v>
      </c>
      <c r="R1557" s="2" t="s">
        <v>99</v>
      </c>
      <c r="S1557" s="2" t="s">
        <v>30</v>
      </c>
      <c r="T1557" s="2" t="s">
        <v>347</v>
      </c>
      <c r="U1557" s="2" t="str">
        <f t="shared" si="73"/>
        <v>Valid</v>
      </c>
      <c r="V1557" s="2" t="s">
        <v>1923</v>
      </c>
    </row>
    <row r="1558" spans="1:22" hidden="1" x14ac:dyDescent="0.3">
      <c r="A1558" s="2" t="s">
        <v>4162</v>
      </c>
      <c r="B1558" s="12">
        <f t="shared" si="72"/>
        <v>46238.585431666666</v>
      </c>
      <c r="C1558" s="13">
        <v>46238.585431666666</v>
      </c>
      <c r="D1558" s="2" t="s">
        <v>165</v>
      </c>
      <c r="E1558" s="2" t="str">
        <f t="shared" si="74"/>
        <v>Email Available</v>
      </c>
      <c r="F1558" s="2" t="s">
        <v>166</v>
      </c>
      <c r="G1558" s="2" t="s">
        <v>80</v>
      </c>
      <c r="H1558" s="2" t="s">
        <v>81</v>
      </c>
      <c r="I1558" s="2" t="s">
        <v>82</v>
      </c>
      <c r="J1558" s="2">
        <v>2</v>
      </c>
      <c r="K1558" s="2">
        <v>89.99</v>
      </c>
      <c r="L1558" s="2"/>
      <c r="M1558" s="2">
        <v>0</v>
      </c>
      <c r="N1558" s="2">
        <v>0</v>
      </c>
      <c r="O1558" s="2">
        <v>179.98</v>
      </c>
      <c r="P1558" s="2" t="s">
        <v>40</v>
      </c>
      <c r="Q1558" s="2" t="s">
        <v>90</v>
      </c>
      <c r="R1558" s="2" t="s">
        <v>52</v>
      </c>
      <c r="S1558" s="2" t="s">
        <v>30</v>
      </c>
      <c r="T1558" s="2" t="s">
        <v>766</v>
      </c>
      <c r="U1558" s="2" t="str">
        <f t="shared" si="73"/>
        <v>Valid</v>
      </c>
      <c r="V1558" s="2" t="s">
        <v>4163</v>
      </c>
    </row>
    <row r="1559" spans="1:22" hidden="1" x14ac:dyDescent="0.3">
      <c r="A1559" s="2" t="s">
        <v>4164</v>
      </c>
      <c r="B1559" s="12">
        <f t="shared" si="72"/>
        <v>46238.588294247682</v>
      </c>
      <c r="C1559" s="13">
        <v>46238.588294247682</v>
      </c>
      <c r="D1559" s="2" t="s">
        <v>492</v>
      </c>
      <c r="E1559" s="2" t="str">
        <f t="shared" si="74"/>
        <v>Email Available</v>
      </c>
      <c r="F1559" s="2" t="s">
        <v>493</v>
      </c>
      <c r="G1559" s="2" t="s">
        <v>151</v>
      </c>
      <c r="H1559" s="2" t="s">
        <v>49</v>
      </c>
      <c r="I1559" s="2" t="s">
        <v>152</v>
      </c>
      <c r="J1559" s="2">
        <v>1</v>
      </c>
      <c r="K1559" s="2">
        <v>34.99</v>
      </c>
      <c r="L1559" s="2" t="s">
        <v>67</v>
      </c>
      <c r="M1559" s="2">
        <v>3.5</v>
      </c>
      <c r="N1559" s="2">
        <v>4.99</v>
      </c>
      <c r="O1559" s="2">
        <v>36.479999999999997</v>
      </c>
      <c r="P1559" s="2" t="s">
        <v>74</v>
      </c>
      <c r="Q1559" s="2" t="s">
        <v>41</v>
      </c>
      <c r="R1559" s="2" t="s">
        <v>29</v>
      </c>
      <c r="S1559" s="2" t="s">
        <v>75</v>
      </c>
      <c r="T1559" s="2"/>
      <c r="U1559" s="2" t="str">
        <f t="shared" si="73"/>
        <v>Not Required</v>
      </c>
      <c r="V1559" s="2" t="s">
        <v>1855</v>
      </c>
    </row>
    <row r="1560" spans="1:22" hidden="1" x14ac:dyDescent="0.3">
      <c r="A1560" s="2" t="s">
        <v>4165</v>
      </c>
      <c r="B1560" s="12">
        <f t="shared" si="72"/>
        <v>46238.583145405093</v>
      </c>
      <c r="C1560" s="13">
        <v>46238.583145405093</v>
      </c>
      <c r="D1560" s="2" t="s">
        <v>4166</v>
      </c>
      <c r="E1560" s="2" t="str">
        <f t="shared" si="74"/>
        <v>Email Available</v>
      </c>
      <c r="F1560" s="2" t="s">
        <v>4167</v>
      </c>
      <c r="G1560" s="2" t="s">
        <v>272</v>
      </c>
      <c r="H1560" s="2" t="s">
        <v>23</v>
      </c>
      <c r="I1560" s="2" t="s">
        <v>273</v>
      </c>
      <c r="J1560" s="2">
        <v>1</v>
      </c>
      <c r="K1560" s="2">
        <v>18.989999999999998</v>
      </c>
      <c r="L1560" s="2" t="s">
        <v>67</v>
      </c>
      <c r="M1560" s="2">
        <v>1.9</v>
      </c>
      <c r="N1560" s="2">
        <v>7.99</v>
      </c>
      <c r="O1560" s="2">
        <v>25.08</v>
      </c>
      <c r="P1560" s="2" t="s">
        <v>68</v>
      </c>
      <c r="Q1560" s="2" t="s">
        <v>90</v>
      </c>
      <c r="R1560" s="2" t="s">
        <v>29</v>
      </c>
      <c r="S1560" s="2" t="s">
        <v>30</v>
      </c>
      <c r="T1560" s="2" t="s">
        <v>145</v>
      </c>
      <c r="U1560" s="2" t="str">
        <f t="shared" si="73"/>
        <v>Valid</v>
      </c>
      <c r="V1560" s="2" t="s">
        <v>4168</v>
      </c>
    </row>
    <row r="1561" spans="1:22" hidden="1" x14ac:dyDescent="0.3">
      <c r="A1561" s="2" t="s">
        <v>4169</v>
      </c>
      <c r="B1561" s="12">
        <f t="shared" si="72"/>
        <v>46238.580104386572</v>
      </c>
      <c r="C1561" s="13">
        <v>46238.580104386572</v>
      </c>
      <c r="D1561" s="2" t="s">
        <v>4170</v>
      </c>
      <c r="E1561" s="2" t="str">
        <f t="shared" si="74"/>
        <v>Email Available</v>
      </c>
      <c r="F1561" s="2" t="s">
        <v>4171</v>
      </c>
      <c r="G1561" s="2" t="s">
        <v>284</v>
      </c>
      <c r="H1561" s="2" t="s">
        <v>23</v>
      </c>
      <c r="I1561" s="2" t="s">
        <v>285</v>
      </c>
      <c r="J1561" s="2">
        <v>1</v>
      </c>
      <c r="K1561" s="2">
        <v>24.99</v>
      </c>
      <c r="L1561" s="2" t="s">
        <v>67</v>
      </c>
      <c r="M1561" s="2">
        <v>2.5</v>
      </c>
      <c r="N1561" s="2">
        <v>4.99</v>
      </c>
      <c r="O1561" s="2">
        <v>27.48</v>
      </c>
      <c r="P1561" s="2" t="s">
        <v>51</v>
      </c>
      <c r="Q1561" s="2" t="s">
        <v>28</v>
      </c>
      <c r="R1561" s="2" t="s">
        <v>52</v>
      </c>
      <c r="S1561" s="2" t="s">
        <v>30</v>
      </c>
      <c r="T1561" s="2" t="s">
        <v>115</v>
      </c>
      <c r="U1561" s="2" t="str">
        <f t="shared" si="73"/>
        <v>Valid</v>
      </c>
      <c r="V1561" s="2" t="s">
        <v>4172</v>
      </c>
    </row>
    <row r="1562" spans="1:22" hidden="1" x14ac:dyDescent="0.3">
      <c r="A1562" s="2" t="s">
        <v>4173</v>
      </c>
      <c r="B1562" s="12">
        <f t="shared" si="72"/>
        <v>46238.587876770827</v>
      </c>
      <c r="C1562" s="13">
        <v>46238.587876770827</v>
      </c>
      <c r="D1562" s="2" t="s">
        <v>549</v>
      </c>
      <c r="E1562" s="2" t="str">
        <f t="shared" si="74"/>
        <v>Email Available</v>
      </c>
      <c r="F1562" s="2" t="s">
        <v>550</v>
      </c>
      <c r="G1562" s="2" t="s">
        <v>48</v>
      </c>
      <c r="H1562" s="2" t="s">
        <v>49</v>
      </c>
      <c r="I1562" s="2" t="s">
        <v>50</v>
      </c>
      <c r="J1562" s="2">
        <v>1</v>
      </c>
      <c r="K1562" s="2">
        <v>39.99</v>
      </c>
      <c r="L1562" s="2" t="s">
        <v>67</v>
      </c>
      <c r="M1562" s="2">
        <v>4</v>
      </c>
      <c r="N1562" s="2">
        <v>4.99</v>
      </c>
      <c r="O1562" s="2">
        <v>40.98</v>
      </c>
      <c r="P1562" s="2" t="s">
        <v>40</v>
      </c>
      <c r="Q1562" s="2" t="s">
        <v>28</v>
      </c>
      <c r="R1562" s="2" t="s">
        <v>52</v>
      </c>
      <c r="S1562" s="2" t="s">
        <v>108</v>
      </c>
      <c r="T1562" s="2"/>
      <c r="U1562" s="2" t="str">
        <f t="shared" si="73"/>
        <v>Not Required</v>
      </c>
      <c r="V1562" s="2" t="s">
        <v>4174</v>
      </c>
    </row>
    <row r="1563" spans="1:22" hidden="1" x14ac:dyDescent="0.3">
      <c r="A1563" s="2" t="s">
        <v>4175</v>
      </c>
      <c r="B1563" s="12">
        <f t="shared" si="72"/>
        <v>46238.582144270833</v>
      </c>
      <c r="C1563" s="13">
        <v>46238.582144270833</v>
      </c>
      <c r="D1563" s="2" t="s">
        <v>4176</v>
      </c>
      <c r="E1563" s="2" t="str">
        <f t="shared" si="74"/>
        <v>Email Available</v>
      </c>
      <c r="F1563" s="2" t="s">
        <v>4177</v>
      </c>
      <c r="G1563" s="2" t="s">
        <v>120</v>
      </c>
      <c r="H1563" s="2" t="s">
        <v>23</v>
      </c>
      <c r="I1563" s="2" t="s">
        <v>24</v>
      </c>
      <c r="J1563" s="2">
        <v>1</v>
      </c>
      <c r="K1563" s="2">
        <v>12.99</v>
      </c>
      <c r="L1563" s="2"/>
      <c r="M1563" s="2">
        <v>0</v>
      </c>
      <c r="N1563" s="2">
        <v>7.99</v>
      </c>
      <c r="O1563" s="2">
        <v>20.98</v>
      </c>
      <c r="P1563" s="2" t="s">
        <v>68</v>
      </c>
      <c r="Q1563" s="2" t="s">
        <v>28</v>
      </c>
      <c r="R1563" s="2" t="s">
        <v>52</v>
      </c>
      <c r="S1563" s="2" t="s">
        <v>30</v>
      </c>
      <c r="T1563" s="2" t="s">
        <v>53</v>
      </c>
      <c r="U1563" s="2" t="str">
        <f t="shared" si="73"/>
        <v>Valid</v>
      </c>
      <c r="V1563" s="2" t="s">
        <v>4178</v>
      </c>
    </row>
    <row r="1564" spans="1:22" hidden="1" x14ac:dyDescent="0.3">
      <c r="A1564" s="2" t="s">
        <v>4179</v>
      </c>
      <c r="B1564" s="12">
        <f t="shared" si="72"/>
        <v>46120</v>
      </c>
      <c r="C1564" s="13" t="s">
        <v>142</v>
      </c>
      <c r="D1564" s="2" t="s">
        <v>4008</v>
      </c>
      <c r="E1564" s="2" t="str">
        <f t="shared" si="74"/>
        <v>Email Available</v>
      </c>
      <c r="F1564" s="2" t="s">
        <v>4180</v>
      </c>
      <c r="G1564" s="2" t="s">
        <v>368</v>
      </c>
      <c r="H1564" s="2" t="s">
        <v>88</v>
      </c>
      <c r="I1564" s="2" t="s">
        <v>369</v>
      </c>
      <c r="J1564" s="2">
        <v>1</v>
      </c>
      <c r="K1564" s="2">
        <v>54.99</v>
      </c>
      <c r="L1564" s="2"/>
      <c r="M1564" s="2">
        <v>0</v>
      </c>
      <c r="N1564" s="2">
        <v>5.99</v>
      </c>
      <c r="O1564" s="2">
        <v>60.98</v>
      </c>
      <c r="P1564" s="2" t="s">
        <v>74</v>
      </c>
      <c r="Q1564" s="2" t="s">
        <v>41</v>
      </c>
      <c r="R1564" s="2" t="s">
        <v>52</v>
      </c>
      <c r="S1564" s="2" t="s">
        <v>30</v>
      </c>
      <c r="T1564" s="2" t="s">
        <v>145</v>
      </c>
      <c r="U1564" s="2" t="str">
        <f t="shared" si="73"/>
        <v>Valid</v>
      </c>
      <c r="V1564" s="2" t="s">
        <v>4181</v>
      </c>
    </row>
    <row r="1565" spans="1:22" hidden="1" x14ac:dyDescent="0.3">
      <c r="A1565" s="2" t="s">
        <v>4182</v>
      </c>
      <c r="B1565" s="12">
        <f t="shared" si="72"/>
        <v>46238</v>
      </c>
      <c r="C1565" s="13" t="s">
        <v>1209</v>
      </c>
      <c r="D1565" s="2" t="s">
        <v>1033</v>
      </c>
      <c r="E1565" s="2" t="str">
        <f t="shared" si="74"/>
        <v>Email Available</v>
      </c>
      <c r="F1565" s="2" t="s">
        <v>1034</v>
      </c>
      <c r="G1565" s="2" t="s">
        <v>48</v>
      </c>
      <c r="H1565" s="2" t="s">
        <v>49</v>
      </c>
      <c r="I1565" s="2" t="s">
        <v>50</v>
      </c>
      <c r="J1565" s="2">
        <v>1</v>
      </c>
      <c r="K1565" s="2" t="s">
        <v>1513</v>
      </c>
      <c r="L1565" s="2"/>
      <c r="M1565" s="2">
        <v>0</v>
      </c>
      <c r="N1565" s="2">
        <v>7.99</v>
      </c>
      <c r="O1565" s="2">
        <v>47.98</v>
      </c>
      <c r="P1565" s="2" t="s">
        <v>51</v>
      </c>
      <c r="Q1565" s="2" t="s">
        <v>90</v>
      </c>
      <c r="R1565" s="2" t="s">
        <v>42</v>
      </c>
      <c r="S1565" s="2" t="s">
        <v>30</v>
      </c>
      <c r="T1565" s="2" t="s">
        <v>31</v>
      </c>
      <c r="U1565" s="2" t="str">
        <f t="shared" si="73"/>
        <v>Valid</v>
      </c>
      <c r="V1565" s="2" t="s">
        <v>4183</v>
      </c>
    </row>
    <row r="1566" spans="1:22" hidden="1" x14ac:dyDescent="0.3">
      <c r="A1566" s="2" t="s">
        <v>4184</v>
      </c>
      <c r="B1566" s="12">
        <f t="shared" si="72"/>
        <v>46238.58357239583</v>
      </c>
      <c r="C1566" s="13">
        <v>46238.58357239583</v>
      </c>
      <c r="D1566" s="2" t="s">
        <v>2118</v>
      </c>
      <c r="E1566" s="2" t="str">
        <f t="shared" si="74"/>
        <v>Email Available</v>
      </c>
      <c r="F1566" s="2" t="s">
        <v>2119</v>
      </c>
      <c r="G1566" s="2" t="s">
        <v>266</v>
      </c>
      <c r="H1566" s="2" t="s">
        <v>37</v>
      </c>
      <c r="I1566" s="2" t="s">
        <v>267</v>
      </c>
      <c r="J1566" s="2">
        <v>1</v>
      </c>
      <c r="K1566" s="2">
        <v>15.49</v>
      </c>
      <c r="L1566" s="2" t="s">
        <v>2196</v>
      </c>
      <c r="M1566" s="2">
        <v>3.1</v>
      </c>
      <c r="N1566" s="2">
        <v>5.99</v>
      </c>
      <c r="O1566" s="2">
        <v>18.38</v>
      </c>
      <c r="P1566" s="2" t="s">
        <v>51</v>
      </c>
      <c r="Q1566" s="2" t="s">
        <v>41</v>
      </c>
      <c r="R1566" s="2" t="s">
        <v>99</v>
      </c>
      <c r="S1566" s="2" t="s">
        <v>30</v>
      </c>
      <c r="T1566" s="2" t="s">
        <v>347</v>
      </c>
      <c r="U1566" s="2" t="str">
        <f t="shared" si="73"/>
        <v>Valid</v>
      </c>
      <c r="V1566" s="2" t="s">
        <v>4185</v>
      </c>
    </row>
    <row r="1567" spans="1:22" x14ac:dyDescent="0.3">
      <c r="A1567" s="2" t="s">
        <v>4186</v>
      </c>
      <c r="B1567" s="12">
        <f t="shared" si="72"/>
        <v>46238.579107824073</v>
      </c>
      <c r="C1567" s="13">
        <v>46238.579107824073</v>
      </c>
      <c r="D1567" s="2" t="s">
        <v>1220</v>
      </c>
      <c r="E1567" s="2" t="str">
        <f t="shared" si="74"/>
        <v>Missing Email</v>
      </c>
      <c r="F1567" s="2"/>
      <c r="G1567" s="2" t="s">
        <v>171</v>
      </c>
      <c r="H1567" s="2" t="s">
        <v>106</v>
      </c>
      <c r="I1567" s="2" t="s">
        <v>172</v>
      </c>
      <c r="J1567" s="2">
        <v>2</v>
      </c>
      <c r="K1567" s="2" t="s">
        <v>173</v>
      </c>
      <c r="L1567" s="2"/>
      <c r="M1567" s="2">
        <v>0</v>
      </c>
      <c r="N1567" s="2">
        <v>4.99</v>
      </c>
      <c r="O1567" s="2">
        <v>70.97</v>
      </c>
      <c r="P1567" s="2" t="s">
        <v>68</v>
      </c>
      <c r="Q1567" s="2" t="s">
        <v>41</v>
      </c>
      <c r="R1567" s="2" t="s">
        <v>52</v>
      </c>
      <c r="S1567" s="2" t="s">
        <v>75</v>
      </c>
      <c r="T1567" s="2"/>
      <c r="U1567" s="2" t="str">
        <f t="shared" si="73"/>
        <v>Not Required</v>
      </c>
      <c r="V1567" s="2" t="s">
        <v>4187</v>
      </c>
    </row>
    <row r="1568" spans="1:22" hidden="1" x14ac:dyDescent="0.3">
      <c r="A1568" s="2" t="s">
        <v>4188</v>
      </c>
      <c r="B1568" s="12">
        <f t="shared" si="72"/>
        <v>46120</v>
      </c>
      <c r="C1568" s="13" t="s">
        <v>142</v>
      </c>
      <c r="D1568" s="2" t="s">
        <v>4189</v>
      </c>
      <c r="E1568" s="2" t="str">
        <f t="shared" si="74"/>
        <v>Email Available</v>
      </c>
      <c r="F1568" s="2" t="s">
        <v>830</v>
      </c>
      <c r="G1568" s="2" t="s">
        <v>87</v>
      </c>
      <c r="H1568" s="2" t="s">
        <v>88</v>
      </c>
      <c r="I1568" s="2" t="s">
        <v>89</v>
      </c>
      <c r="J1568" s="2">
        <v>1</v>
      </c>
      <c r="K1568" s="2">
        <v>54.99</v>
      </c>
      <c r="L1568" s="2" t="s">
        <v>25</v>
      </c>
      <c r="M1568" s="2">
        <v>11</v>
      </c>
      <c r="N1568" s="2">
        <v>7.99</v>
      </c>
      <c r="O1568" s="2">
        <v>51.98</v>
      </c>
      <c r="P1568" s="2" t="s">
        <v>74</v>
      </c>
      <c r="Q1568" s="2" t="s">
        <v>28</v>
      </c>
      <c r="R1568" s="2" t="s">
        <v>52</v>
      </c>
      <c r="S1568" s="2" t="s">
        <v>30</v>
      </c>
      <c r="T1568" s="2" t="s">
        <v>145</v>
      </c>
      <c r="U1568" s="2" t="str">
        <f t="shared" si="73"/>
        <v>Valid</v>
      </c>
      <c r="V1568" s="2" t="s">
        <v>3091</v>
      </c>
    </row>
    <row r="1569" spans="1:22" hidden="1" x14ac:dyDescent="0.3">
      <c r="A1569" s="2" t="s">
        <v>4190</v>
      </c>
      <c r="B1569" s="12">
        <f t="shared" si="72"/>
        <v>46238.587122569443</v>
      </c>
      <c r="C1569" s="13">
        <v>46238.587122569443</v>
      </c>
      <c r="D1569" s="2" t="s">
        <v>4191</v>
      </c>
      <c r="E1569" s="2" t="str">
        <f t="shared" si="74"/>
        <v>Email Available</v>
      </c>
      <c r="F1569" s="2" t="s">
        <v>497</v>
      </c>
      <c r="G1569" s="2" t="s">
        <v>315</v>
      </c>
      <c r="H1569" s="2" t="s">
        <v>37</v>
      </c>
      <c r="I1569" s="2" t="s">
        <v>316</v>
      </c>
      <c r="J1569" s="2">
        <v>1</v>
      </c>
      <c r="K1569" s="2">
        <v>8.99</v>
      </c>
      <c r="L1569" s="2" t="s">
        <v>25</v>
      </c>
      <c r="M1569" s="2" t="s">
        <v>3658</v>
      </c>
      <c r="N1569" s="2">
        <v>4.99</v>
      </c>
      <c r="O1569" s="2">
        <v>12.18</v>
      </c>
      <c r="P1569" s="2" t="s">
        <v>40</v>
      </c>
      <c r="Q1569" s="2" t="s">
        <v>41</v>
      </c>
      <c r="R1569" s="2" t="s">
        <v>52</v>
      </c>
      <c r="S1569" s="2" t="s">
        <v>30</v>
      </c>
      <c r="T1569" s="2" t="s">
        <v>347</v>
      </c>
      <c r="U1569" s="2" t="str">
        <f t="shared" si="73"/>
        <v>Valid</v>
      </c>
      <c r="V1569" s="2" t="s">
        <v>4192</v>
      </c>
    </row>
    <row r="1570" spans="1:22" hidden="1" x14ac:dyDescent="0.3">
      <c r="A1570" s="2" t="s">
        <v>4193</v>
      </c>
      <c r="B1570" s="12">
        <f t="shared" si="72"/>
        <v>46238.58711828704</v>
      </c>
      <c r="C1570" s="13">
        <v>46238.58711828704</v>
      </c>
      <c r="D1570" s="2" t="s">
        <v>733</v>
      </c>
      <c r="E1570" s="2" t="str">
        <f t="shared" si="74"/>
        <v>Email Available</v>
      </c>
      <c r="F1570" s="2" t="s">
        <v>734</v>
      </c>
      <c r="G1570" s="2" t="s">
        <v>157</v>
      </c>
      <c r="H1570" s="2" t="s">
        <v>37</v>
      </c>
      <c r="I1570" s="2" t="s">
        <v>158</v>
      </c>
      <c r="J1570" s="2">
        <v>1</v>
      </c>
      <c r="K1570" s="2">
        <v>29.99</v>
      </c>
      <c r="L1570" s="2" t="s">
        <v>121</v>
      </c>
      <c r="M1570" s="2">
        <v>7.5</v>
      </c>
      <c r="N1570" s="2">
        <v>5.99</v>
      </c>
      <c r="O1570" s="2">
        <v>28.48</v>
      </c>
      <c r="P1570" s="2" t="s">
        <v>51</v>
      </c>
      <c r="Q1570" s="2" t="s">
        <v>114</v>
      </c>
      <c r="R1570" s="2" t="s">
        <v>52</v>
      </c>
      <c r="S1570" s="2" t="s">
        <v>108</v>
      </c>
      <c r="T1570" s="2"/>
      <c r="U1570" s="2" t="str">
        <f t="shared" si="73"/>
        <v>Not Required</v>
      </c>
      <c r="V1570" s="2" t="s">
        <v>4194</v>
      </c>
    </row>
    <row r="1571" spans="1:22" hidden="1" x14ac:dyDescent="0.3">
      <c r="A1571" s="2" t="s">
        <v>4195</v>
      </c>
      <c r="B1571" s="12">
        <f t="shared" si="72"/>
        <v>46238.581755486113</v>
      </c>
      <c r="C1571" s="13">
        <v>46238.581755486113</v>
      </c>
      <c r="D1571" s="2" t="s">
        <v>896</v>
      </c>
      <c r="E1571" s="2" t="str">
        <f t="shared" si="74"/>
        <v>Email Available</v>
      </c>
      <c r="F1571" s="2" t="s">
        <v>897</v>
      </c>
      <c r="G1571" s="2" t="s">
        <v>4196</v>
      </c>
      <c r="H1571" s="2" t="s">
        <v>23</v>
      </c>
      <c r="I1571" s="2" t="s">
        <v>285</v>
      </c>
      <c r="J1571" s="2">
        <v>1</v>
      </c>
      <c r="K1571" s="2">
        <v>24.99</v>
      </c>
      <c r="L1571" s="2"/>
      <c r="M1571" s="2">
        <v>0</v>
      </c>
      <c r="N1571" s="2">
        <v>4.99</v>
      </c>
      <c r="O1571" s="2">
        <v>29.98</v>
      </c>
      <c r="P1571" s="2" t="s">
        <v>51</v>
      </c>
      <c r="Q1571" s="2" t="s">
        <v>114</v>
      </c>
      <c r="R1571" s="2" t="s">
        <v>29</v>
      </c>
      <c r="S1571" s="2" t="s">
        <v>337</v>
      </c>
      <c r="T1571" s="2"/>
      <c r="U1571" s="2" t="str">
        <f t="shared" si="73"/>
        <v>Not Required</v>
      </c>
      <c r="V1571" s="2" t="s">
        <v>4197</v>
      </c>
    </row>
    <row r="1572" spans="1:22" hidden="1" x14ac:dyDescent="0.3">
      <c r="A1572" s="2" t="s">
        <v>4198</v>
      </c>
      <c r="B1572" s="12">
        <f t="shared" si="72"/>
        <v>46238.586668877317</v>
      </c>
      <c r="C1572" s="13">
        <v>46238.586668877317</v>
      </c>
      <c r="D1572" s="2" t="s">
        <v>313</v>
      </c>
      <c r="E1572" s="2" t="str">
        <f t="shared" si="74"/>
        <v>Email Available</v>
      </c>
      <c r="F1572" s="2" t="s">
        <v>314</v>
      </c>
      <c r="G1572" s="2" t="s">
        <v>206</v>
      </c>
      <c r="H1572" s="2" t="s">
        <v>196</v>
      </c>
      <c r="I1572" s="2" t="s">
        <v>207</v>
      </c>
      <c r="J1572" s="2">
        <v>2</v>
      </c>
      <c r="K1572" s="2">
        <v>24.99</v>
      </c>
      <c r="L1572" s="2"/>
      <c r="M1572" s="2">
        <v>0</v>
      </c>
      <c r="N1572" s="2">
        <v>5.99</v>
      </c>
      <c r="O1572" s="2">
        <v>55.97</v>
      </c>
      <c r="P1572" s="2" t="s">
        <v>74</v>
      </c>
      <c r="Q1572" s="2" t="s">
        <v>41</v>
      </c>
      <c r="R1572" s="2" t="s">
        <v>52</v>
      </c>
      <c r="S1572" s="2" t="s">
        <v>108</v>
      </c>
      <c r="T1572" s="2"/>
      <c r="U1572" s="2" t="str">
        <f t="shared" si="73"/>
        <v>Not Required</v>
      </c>
      <c r="V1572" s="2" t="s">
        <v>4199</v>
      </c>
    </row>
    <row r="1573" spans="1:22" hidden="1" x14ac:dyDescent="0.3">
      <c r="A1573" s="2" t="s">
        <v>4200</v>
      </c>
      <c r="B1573" s="12">
        <f t="shared" si="72"/>
        <v>46238.586111469907</v>
      </c>
      <c r="C1573" s="13">
        <v>46238.586111469907</v>
      </c>
      <c r="D1573" s="2" t="s">
        <v>1325</v>
      </c>
      <c r="E1573" s="2" t="str">
        <f t="shared" si="74"/>
        <v>Email Available</v>
      </c>
      <c r="F1573" s="2" t="s">
        <v>1326</v>
      </c>
      <c r="G1573" s="2" t="s">
        <v>284</v>
      </c>
      <c r="H1573" s="2" t="s">
        <v>23</v>
      </c>
      <c r="I1573" s="2" t="s">
        <v>285</v>
      </c>
      <c r="J1573" s="2">
        <v>1</v>
      </c>
      <c r="K1573" s="2">
        <v>24.99</v>
      </c>
      <c r="L1573" s="2"/>
      <c r="M1573" s="2">
        <v>0</v>
      </c>
      <c r="N1573" s="2">
        <v>7.99</v>
      </c>
      <c r="O1573" s="2">
        <v>32.979999999999997</v>
      </c>
      <c r="P1573" s="2" t="s">
        <v>40</v>
      </c>
      <c r="Q1573" s="2" t="s">
        <v>41</v>
      </c>
      <c r="R1573" s="2" t="s">
        <v>52</v>
      </c>
      <c r="S1573" s="2" t="s">
        <v>30</v>
      </c>
      <c r="T1573" s="2" t="s">
        <v>1135</v>
      </c>
      <c r="U1573" s="2" t="str">
        <f t="shared" si="73"/>
        <v>Valid</v>
      </c>
      <c r="V1573" s="2" t="s">
        <v>4201</v>
      </c>
    </row>
    <row r="1574" spans="1:22" hidden="1" x14ac:dyDescent="0.3">
      <c r="A1574" s="2" t="s">
        <v>4202</v>
      </c>
      <c r="B1574" s="12">
        <f t="shared" si="72"/>
        <v>46238</v>
      </c>
      <c r="C1574" s="13" t="s">
        <v>148</v>
      </c>
      <c r="D1574" s="2" t="s">
        <v>2908</v>
      </c>
      <c r="E1574" s="2" t="str">
        <f t="shared" si="74"/>
        <v>Email Available</v>
      </c>
      <c r="F1574" s="2" t="s">
        <v>2909</v>
      </c>
      <c r="G1574" s="2" t="s">
        <v>272</v>
      </c>
      <c r="H1574" s="2" t="s">
        <v>23</v>
      </c>
      <c r="I1574" s="2" t="s">
        <v>273</v>
      </c>
      <c r="J1574" s="2">
        <v>2</v>
      </c>
      <c r="K1574" s="2">
        <v>18.989999999999998</v>
      </c>
      <c r="L1574" s="2"/>
      <c r="M1574" s="2">
        <v>0</v>
      </c>
      <c r="N1574" s="2">
        <v>7.99</v>
      </c>
      <c r="O1574" s="2">
        <v>45.97</v>
      </c>
      <c r="P1574" s="2" t="s">
        <v>68</v>
      </c>
      <c r="Q1574" s="2" t="s">
        <v>41</v>
      </c>
      <c r="R1574" s="2" t="s">
        <v>42</v>
      </c>
      <c r="S1574" s="2" t="s">
        <v>30</v>
      </c>
      <c r="T1574" s="2" t="s">
        <v>53</v>
      </c>
      <c r="U1574" s="2" t="str">
        <f t="shared" si="73"/>
        <v>Valid</v>
      </c>
      <c r="V1574" s="2" t="s">
        <v>4203</v>
      </c>
    </row>
    <row r="1575" spans="1:22" hidden="1" x14ac:dyDescent="0.3">
      <c r="A1575" s="2" t="s">
        <v>4204</v>
      </c>
      <c r="B1575" s="12">
        <f t="shared" si="72"/>
        <v>46238.579983090283</v>
      </c>
      <c r="C1575" s="13">
        <v>46238.579983090283</v>
      </c>
      <c r="D1575" s="2" t="s">
        <v>1520</v>
      </c>
      <c r="E1575" s="2" t="str">
        <f t="shared" si="74"/>
        <v>Email Available</v>
      </c>
      <c r="F1575" s="2" t="s">
        <v>1521</v>
      </c>
      <c r="G1575" s="2" t="s">
        <v>48</v>
      </c>
      <c r="H1575" s="2" t="s">
        <v>49</v>
      </c>
      <c r="I1575" s="2" t="s">
        <v>50</v>
      </c>
      <c r="J1575" s="2">
        <v>1</v>
      </c>
      <c r="K1575" s="2">
        <v>39.99</v>
      </c>
      <c r="L1575" s="2" t="s">
        <v>25</v>
      </c>
      <c r="M1575" s="2">
        <v>8</v>
      </c>
      <c r="N1575" s="2">
        <v>4.99</v>
      </c>
      <c r="O1575" s="2">
        <v>36.979999999999997</v>
      </c>
      <c r="P1575" s="2" t="s">
        <v>27</v>
      </c>
      <c r="Q1575" s="2" t="s">
        <v>28</v>
      </c>
      <c r="R1575" s="2" t="s">
        <v>52</v>
      </c>
      <c r="S1575" s="2" t="s">
        <v>30</v>
      </c>
      <c r="T1575" s="2" t="s">
        <v>53</v>
      </c>
      <c r="U1575" s="2" t="str">
        <f t="shared" si="73"/>
        <v>Valid</v>
      </c>
      <c r="V1575" s="2" t="s">
        <v>4205</v>
      </c>
    </row>
    <row r="1576" spans="1:22" hidden="1" x14ac:dyDescent="0.3">
      <c r="A1576" s="2" t="s">
        <v>4206</v>
      </c>
      <c r="B1576" s="12">
        <f t="shared" si="72"/>
        <v>46120</v>
      </c>
      <c r="C1576" s="13" t="s">
        <v>142</v>
      </c>
      <c r="D1576" s="2" t="s">
        <v>327</v>
      </c>
      <c r="E1576" s="2" t="str">
        <f t="shared" si="74"/>
        <v>Email Available</v>
      </c>
      <c r="F1576" s="2" t="s">
        <v>328</v>
      </c>
      <c r="G1576" s="2" t="s">
        <v>226</v>
      </c>
      <c r="H1576" s="2" t="s">
        <v>23</v>
      </c>
      <c r="I1576" s="2" t="s">
        <v>227</v>
      </c>
      <c r="J1576" s="2">
        <v>1</v>
      </c>
      <c r="K1576" s="2">
        <v>17.989999999999998</v>
      </c>
      <c r="L1576" s="2" t="s">
        <v>1704</v>
      </c>
      <c r="M1576" s="2">
        <v>1.8</v>
      </c>
      <c r="N1576" s="2">
        <v>4.99</v>
      </c>
      <c r="O1576" s="2">
        <v>21.18</v>
      </c>
      <c r="P1576" s="2" t="s">
        <v>27</v>
      </c>
      <c r="Q1576" s="2" t="s">
        <v>28</v>
      </c>
      <c r="R1576" s="2" t="s">
        <v>52</v>
      </c>
      <c r="S1576" s="2" t="s">
        <v>228</v>
      </c>
      <c r="T1576" s="2"/>
      <c r="U1576" s="2" t="str">
        <f t="shared" si="73"/>
        <v>Not Required</v>
      </c>
      <c r="V1576" s="2" t="s">
        <v>4207</v>
      </c>
    </row>
    <row r="1577" spans="1:22" hidden="1" x14ac:dyDescent="0.3">
      <c r="A1577" s="2" t="s">
        <v>4208</v>
      </c>
      <c r="B1577" s="12">
        <f t="shared" si="72"/>
        <v>46120</v>
      </c>
      <c r="C1577" s="13" t="s">
        <v>142</v>
      </c>
      <c r="D1577" s="2" t="s">
        <v>4209</v>
      </c>
      <c r="E1577" s="2" t="str">
        <f t="shared" si="74"/>
        <v>Email Available</v>
      </c>
      <c r="F1577" s="2" t="s">
        <v>4210</v>
      </c>
      <c r="G1577" s="2" t="s">
        <v>187</v>
      </c>
      <c r="H1577" s="2" t="s">
        <v>37</v>
      </c>
      <c r="I1577" s="2" t="s">
        <v>188</v>
      </c>
      <c r="J1577" s="2">
        <v>2</v>
      </c>
      <c r="K1577" s="2">
        <v>11.99</v>
      </c>
      <c r="L1577" s="2" t="s">
        <v>39</v>
      </c>
      <c r="M1577" s="2">
        <v>0</v>
      </c>
      <c r="N1577" s="2">
        <v>0</v>
      </c>
      <c r="O1577" s="2">
        <v>23.98</v>
      </c>
      <c r="P1577" s="2" t="s">
        <v>68</v>
      </c>
      <c r="Q1577" s="2" t="s">
        <v>90</v>
      </c>
      <c r="R1577" s="2" t="s">
        <v>52</v>
      </c>
      <c r="S1577" s="2" t="s">
        <v>337</v>
      </c>
      <c r="T1577" s="2"/>
      <c r="U1577" s="2" t="str">
        <f t="shared" si="73"/>
        <v>Not Required</v>
      </c>
      <c r="V1577" s="2" t="s">
        <v>4211</v>
      </c>
    </row>
    <row r="1578" spans="1:22" hidden="1" x14ac:dyDescent="0.3">
      <c r="A1578" s="2" t="s">
        <v>4212</v>
      </c>
      <c r="B1578" s="12">
        <f t="shared" si="72"/>
        <v>46238.584837812501</v>
      </c>
      <c r="C1578" s="13">
        <v>46238.584837812501</v>
      </c>
      <c r="D1578" s="2" t="s">
        <v>448</v>
      </c>
      <c r="E1578" s="2" t="str">
        <f t="shared" si="74"/>
        <v>Email Available</v>
      </c>
      <c r="F1578" s="2" t="s">
        <v>449</v>
      </c>
      <c r="G1578" s="2" t="s">
        <v>48</v>
      </c>
      <c r="H1578" s="2" t="s">
        <v>49</v>
      </c>
      <c r="I1578" s="2" t="s">
        <v>50</v>
      </c>
      <c r="J1578" s="2">
        <v>1</v>
      </c>
      <c r="K1578" s="2">
        <v>39.99</v>
      </c>
      <c r="L1578" s="2" t="s">
        <v>208</v>
      </c>
      <c r="M1578" s="2">
        <v>6</v>
      </c>
      <c r="N1578" s="2">
        <v>5.99</v>
      </c>
      <c r="O1578" s="2">
        <v>39.979999999999997</v>
      </c>
      <c r="P1578" s="2" t="s">
        <v>74</v>
      </c>
      <c r="Q1578" s="2" t="s">
        <v>41</v>
      </c>
      <c r="R1578" s="2" t="s">
        <v>99</v>
      </c>
      <c r="S1578" s="2" t="s">
        <v>30</v>
      </c>
      <c r="T1578" s="2" t="s">
        <v>69</v>
      </c>
      <c r="U1578" s="2" t="str">
        <f t="shared" si="73"/>
        <v>Valid</v>
      </c>
      <c r="V1578" s="2" t="s">
        <v>4213</v>
      </c>
    </row>
    <row r="1579" spans="1:22" hidden="1" x14ac:dyDescent="0.3">
      <c r="A1579" s="2" t="s">
        <v>4214</v>
      </c>
      <c r="B1579" s="12">
        <f t="shared" si="72"/>
        <v>46238.57901346065</v>
      </c>
      <c r="C1579" s="13">
        <v>46238.57901346065</v>
      </c>
      <c r="D1579" s="2" t="s">
        <v>1089</v>
      </c>
      <c r="E1579" s="2" t="str">
        <f t="shared" si="74"/>
        <v>Email Available</v>
      </c>
      <c r="F1579" s="2" t="s">
        <v>595</v>
      </c>
      <c r="G1579" s="2" t="s">
        <v>315</v>
      </c>
      <c r="H1579" s="2" t="s">
        <v>37</v>
      </c>
      <c r="I1579" s="2" t="s">
        <v>316</v>
      </c>
      <c r="J1579" s="2">
        <v>1</v>
      </c>
      <c r="K1579" s="2" t="s">
        <v>2267</v>
      </c>
      <c r="L1579" s="2"/>
      <c r="M1579" s="2">
        <v>0</v>
      </c>
      <c r="N1579" s="2">
        <v>5.99</v>
      </c>
      <c r="O1579" s="2">
        <v>14.98</v>
      </c>
      <c r="P1579" s="2" t="s">
        <v>68</v>
      </c>
      <c r="Q1579" s="2" t="s">
        <v>114</v>
      </c>
      <c r="R1579" s="2" t="s">
        <v>52</v>
      </c>
      <c r="S1579" s="2" t="s">
        <v>30</v>
      </c>
      <c r="T1579" s="2" t="s">
        <v>31</v>
      </c>
      <c r="U1579" s="2" t="str">
        <f t="shared" si="73"/>
        <v>Valid</v>
      </c>
      <c r="V1579" s="2" t="s">
        <v>4215</v>
      </c>
    </row>
    <row r="1580" spans="1:22" hidden="1" x14ac:dyDescent="0.3">
      <c r="A1580" s="2" t="s">
        <v>4216</v>
      </c>
      <c r="B1580" s="12">
        <f t="shared" si="72"/>
        <v>46238.580844201388</v>
      </c>
      <c r="C1580" s="13">
        <v>46238.580844201388</v>
      </c>
      <c r="D1580" s="2" t="s">
        <v>1353</v>
      </c>
      <c r="E1580" s="2" t="str">
        <f t="shared" si="74"/>
        <v>Email Available</v>
      </c>
      <c r="F1580" s="2" t="s">
        <v>724</v>
      </c>
      <c r="G1580" s="2" t="s">
        <v>272</v>
      </c>
      <c r="H1580" s="2" t="s">
        <v>23</v>
      </c>
      <c r="I1580" s="2" t="s">
        <v>273</v>
      </c>
      <c r="J1580" s="2">
        <v>1</v>
      </c>
      <c r="K1580" s="2">
        <v>18.989999999999998</v>
      </c>
      <c r="L1580" s="2"/>
      <c r="M1580" s="2">
        <v>0</v>
      </c>
      <c r="N1580" s="2">
        <v>7.99</v>
      </c>
      <c r="O1580" s="2">
        <v>26.98</v>
      </c>
      <c r="P1580" s="2" t="s">
        <v>27</v>
      </c>
      <c r="Q1580" s="2" t="s">
        <v>28</v>
      </c>
      <c r="R1580" s="2" t="s">
        <v>29</v>
      </c>
      <c r="S1580" s="2" t="s">
        <v>30</v>
      </c>
      <c r="T1580" s="2" t="s">
        <v>60</v>
      </c>
      <c r="U1580" s="2" t="str">
        <f t="shared" si="73"/>
        <v>Valid</v>
      </c>
      <c r="V1580" s="2" t="s">
        <v>4217</v>
      </c>
    </row>
    <row r="1581" spans="1:22" hidden="1" x14ac:dyDescent="0.3">
      <c r="A1581" s="2" t="s">
        <v>4218</v>
      </c>
      <c r="B1581" s="12">
        <f t="shared" si="72"/>
        <v>46238.581582812498</v>
      </c>
      <c r="C1581" s="13">
        <v>46238.581582812498</v>
      </c>
      <c r="D1581" s="2" t="s">
        <v>1907</v>
      </c>
      <c r="E1581" s="2" t="str">
        <f t="shared" si="74"/>
        <v>Email Available</v>
      </c>
      <c r="F1581" s="2" t="s">
        <v>1908</v>
      </c>
      <c r="G1581" s="2" t="s">
        <v>65</v>
      </c>
      <c r="H1581" s="2" t="s">
        <v>49</v>
      </c>
      <c r="I1581" s="2" t="s">
        <v>66</v>
      </c>
      <c r="J1581" s="2">
        <v>3</v>
      </c>
      <c r="K1581" s="2">
        <v>14.99</v>
      </c>
      <c r="L1581" s="2" t="s">
        <v>25</v>
      </c>
      <c r="M1581" s="2">
        <v>8.99</v>
      </c>
      <c r="N1581" s="2">
        <v>4.99</v>
      </c>
      <c r="O1581" s="2">
        <v>40.97</v>
      </c>
      <c r="P1581" s="2" t="s">
        <v>40</v>
      </c>
      <c r="Q1581" s="2" t="s">
        <v>90</v>
      </c>
      <c r="R1581" s="2" t="s">
        <v>52</v>
      </c>
      <c r="S1581" s="2" t="s">
        <v>228</v>
      </c>
      <c r="T1581" s="2"/>
      <c r="U1581" s="2" t="str">
        <f t="shared" si="73"/>
        <v>Not Required</v>
      </c>
      <c r="V1581" s="2" t="s">
        <v>4219</v>
      </c>
    </row>
    <row r="1582" spans="1:22" hidden="1" x14ac:dyDescent="0.3">
      <c r="A1582" s="2" t="s">
        <v>4220</v>
      </c>
      <c r="B1582" s="12">
        <f t="shared" si="72"/>
        <v>46238.582318738423</v>
      </c>
      <c r="C1582" s="13">
        <v>46238.582318738423</v>
      </c>
      <c r="D1582" s="2" t="s">
        <v>2578</v>
      </c>
      <c r="E1582" s="2" t="str">
        <f t="shared" si="74"/>
        <v>Email Available</v>
      </c>
      <c r="F1582" s="2" t="s">
        <v>2579</v>
      </c>
      <c r="G1582" s="2" t="s">
        <v>36</v>
      </c>
      <c r="H1582" s="2" t="s">
        <v>37</v>
      </c>
      <c r="I1582" s="2" t="s">
        <v>38</v>
      </c>
      <c r="J1582" s="2">
        <v>1</v>
      </c>
      <c r="K1582" s="2">
        <v>21.99</v>
      </c>
      <c r="L1582" s="2" t="s">
        <v>121</v>
      </c>
      <c r="M1582" s="2">
        <v>5.5</v>
      </c>
      <c r="N1582" s="2">
        <v>5.99</v>
      </c>
      <c r="O1582" s="2">
        <v>22.48</v>
      </c>
      <c r="P1582" s="2" t="s">
        <v>51</v>
      </c>
      <c r="Q1582" s="2" t="s">
        <v>41</v>
      </c>
      <c r="R1582" s="2" t="s">
        <v>42</v>
      </c>
      <c r="S1582" s="2" t="s">
        <v>43</v>
      </c>
      <c r="T1582" s="2"/>
      <c r="U1582" s="2" t="str">
        <f t="shared" si="73"/>
        <v>Not Required</v>
      </c>
      <c r="V1582" s="2" t="s">
        <v>4221</v>
      </c>
    </row>
    <row r="1583" spans="1:22" hidden="1" x14ac:dyDescent="0.3">
      <c r="A1583" s="2" t="s">
        <v>4222</v>
      </c>
      <c r="B1583" s="12">
        <f t="shared" si="72"/>
        <v>46238.583272476862</v>
      </c>
      <c r="C1583" s="13">
        <v>46238.583272476862</v>
      </c>
      <c r="D1583" s="2" t="s">
        <v>2294</v>
      </c>
      <c r="E1583" s="2" t="str">
        <f t="shared" si="74"/>
        <v>Email Available</v>
      </c>
      <c r="F1583" s="2" t="s">
        <v>2295</v>
      </c>
      <c r="G1583" s="2" t="s">
        <v>195</v>
      </c>
      <c r="H1583" s="2" t="s">
        <v>196</v>
      </c>
      <c r="I1583" s="2" t="s">
        <v>197</v>
      </c>
      <c r="J1583" s="2">
        <v>1</v>
      </c>
      <c r="K1583" s="2">
        <v>13.49</v>
      </c>
      <c r="L1583" s="2" t="s">
        <v>25</v>
      </c>
      <c r="M1583" s="2">
        <v>2.7</v>
      </c>
      <c r="N1583" s="2">
        <v>4.99</v>
      </c>
      <c r="O1583" s="2">
        <v>15.78</v>
      </c>
      <c r="P1583" s="2" t="s">
        <v>51</v>
      </c>
      <c r="Q1583" s="2" t="s">
        <v>28</v>
      </c>
      <c r="R1583" s="2" t="s">
        <v>42</v>
      </c>
      <c r="S1583" s="2" t="s">
        <v>30</v>
      </c>
      <c r="T1583" s="2" t="s">
        <v>145</v>
      </c>
      <c r="U1583" s="2" t="str">
        <f t="shared" si="73"/>
        <v>Valid</v>
      </c>
      <c r="V1583" s="2" t="s">
        <v>4223</v>
      </c>
    </row>
    <row r="1584" spans="1:22" hidden="1" x14ac:dyDescent="0.3">
      <c r="A1584" s="2" t="s">
        <v>4224</v>
      </c>
      <c r="B1584" s="12">
        <f t="shared" si="72"/>
        <v>46238.587571469907</v>
      </c>
      <c r="C1584" s="13">
        <v>46238.587571469907</v>
      </c>
      <c r="D1584" s="2" t="s">
        <v>614</v>
      </c>
      <c r="E1584" s="2" t="str">
        <f t="shared" si="74"/>
        <v>Email Available</v>
      </c>
      <c r="F1584" s="2" t="s">
        <v>615</v>
      </c>
      <c r="G1584" s="2" t="s">
        <v>133</v>
      </c>
      <c r="H1584" s="2" t="s">
        <v>106</v>
      </c>
      <c r="I1584" s="2" t="s">
        <v>134</v>
      </c>
      <c r="J1584" s="2">
        <v>3</v>
      </c>
      <c r="K1584" s="2">
        <v>16.989999999999998</v>
      </c>
      <c r="L1584" s="2" t="s">
        <v>97</v>
      </c>
      <c r="M1584" s="2">
        <v>10.19</v>
      </c>
      <c r="N1584" s="2">
        <v>5.99</v>
      </c>
      <c r="O1584" s="2">
        <v>46.77</v>
      </c>
      <c r="P1584" s="2" t="s">
        <v>27</v>
      </c>
      <c r="Q1584" s="2" t="s">
        <v>114</v>
      </c>
      <c r="R1584" s="2" t="s">
        <v>29</v>
      </c>
      <c r="S1584" s="2" t="s">
        <v>43</v>
      </c>
      <c r="T1584" s="2"/>
      <c r="U1584" s="2" t="str">
        <f t="shared" si="73"/>
        <v>Not Required</v>
      </c>
      <c r="V1584" s="2" t="s">
        <v>4225</v>
      </c>
    </row>
    <row r="1585" spans="1:22" hidden="1" x14ac:dyDescent="0.3">
      <c r="A1585" s="2" t="s">
        <v>4226</v>
      </c>
      <c r="B1585" s="12">
        <f t="shared" si="72"/>
        <v>46120</v>
      </c>
      <c r="C1585" s="13" t="s">
        <v>142</v>
      </c>
      <c r="D1585" s="2" t="s">
        <v>218</v>
      </c>
      <c r="E1585" s="2" t="str">
        <f t="shared" si="74"/>
        <v>Email Available</v>
      </c>
      <c r="F1585" s="2" t="s">
        <v>219</v>
      </c>
      <c r="G1585" s="2" t="s">
        <v>171</v>
      </c>
      <c r="H1585" s="2" t="s">
        <v>106</v>
      </c>
      <c r="I1585" s="2" t="s">
        <v>172</v>
      </c>
      <c r="J1585" s="2">
        <v>1</v>
      </c>
      <c r="K1585" s="2" t="s">
        <v>173</v>
      </c>
      <c r="L1585" s="2"/>
      <c r="M1585" s="2">
        <v>0</v>
      </c>
      <c r="N1585" s="2">
        <v>5.99</v>
      </c>
      <c r="O1585" s="2">
        <v>38.979999999999997</v>
      </c>
      <c r="P1585" s="2" t="s">
        <v>40</v>
      </c>
      <c r="Q1585" s="2" t="s">
        <v>90</v>
      </c>
      <c r="R1585" s="2" t="s">
        <v>52</v>
      </c>
      <c r="S1585" s="2" t="s">
        <v>30</v>
      </c>
      <c r="T1585" s="2" t="s">
        <v>454</v>
      </c>
      <c r="U1585" s="2" t="str">
        <f t="shared" si="73"/>
        <v>Valid</v>
      </c>
      <c r="V1585" s="2" t="s">
        <v>4227</v>
      </c>
    </row>
    <row r="1586" spans="1:22" hidden="1" x14ac:dyDescent="0.3">
      <c r="A1586" s="2" t="s">
        <v>4228</v>
      </c>
      <c r="B1586" s="12">
        <f t="shared" si="72"/>
        <v>46238.585648368047</v>
      </c>
      <c r="C1586" s="13">
        <v>46238.585648368047</v>
      </c>
      <c r="D1586" s="2" t="s">
        <v>1166</v>
      </c>
      <c r="E1586" s="2" t="str">
        <f t="shared" si="74"/>
        <v>Email Available</v>
      </c>
      <c r="F1586" s="2" t="s">
        <v>1167</v>
      </c>
      <c r="G1586" s="2" t="s">
        <v>120</v>
      </c>
      <c r="H1586" s="2" t="s">
        <v>23</v>
      </c>
      <c r="I1586" s="2" t="s">
        <v>24</v>
      </c>
      <c r="J1586" s="2">
        <v>1</v>
      </c>
      <c r="K1586" s="2" t="s">
        <v>1163</v>
      </c>
      <c r="L1586" s="2"/>
      <c r="M1586" s="2">
        <v>0</v>
      </c>
      <c r="N1586" s="2">
        <v>4.99</v>
      </c>
      <c r="O1586" s="2">
        <v>17.98</v>
      </c>
      <c r="P1586" s="2" t="s">
        <v>74</v>
      </c>
      <c r="Q1586" s="2" t="s">
        <v>28</v>
      </c>
      <c r="R1586" s="2" t="s">
        <v>42</v>
      </c>
      <c r="S1586" s="2" t="s">
        <v>30</v>
      </c>
      <c r="T1586" s="2" t="s">
        <v>53</v>
      </c>
      <c r="U1586" s="2" t="str">
        <f t="shared" si="73"/>
        <v>Valid</v>
      </c>
      <c r="V1586" s="2" t="s">
        <v>4229</v>
      </c>
    </row>
    <row r="1587" spans="1:22" x14ac:dyDescent="0.3">
      <c r="A1587" s="2" t="s">
        <v>4230</v>
      </c>
      <c r="B1587" s="12">
        <f t="shared" si="72"/>
        <v>46238.587219421293</v>
      </c>
      <c r="C1587" s="13">
        <v>46238.587219421293</v>
      </c>
      <c r="D1587" s="2" t="s">
        <v>3346</v>
      </c>
      <c r="E1587" s="2" t="str">
        <f t="shared" si="74"/>
        <v>Missing Email</v>
      </c>
      <c r="F1587" s="2"/>
      <c r="G1587" s="2" t="s">
        <v>368</v>
      </c>
      <c r="H1587" s="2" t="s">
        <v>88</v>
      </c>
      <c r="I1587" s="2" t="s">
        <v>369</v>
      </c>
      <c r="J1587" s="2">
        <v>1</v>
      </c>
      <c r="K1587" s="2">
        <v>54.99</v>
      </c>
      <c r="L1587" s="2" t="s">
        <v>25</v>
      </c>
      <c r="M1587" s="2">
        <v>11</v>
      </c>
      <c r="N1587" s="2">
        <v>5.99</v>
      </c>
      <c r="O1587" s="2">
        <v>49.98</v>
      </c>
      <c r="P1587" s="2" t="s">
        <v>68</v>
      </c>
      <c r="Q1587" s="2" t="s">
        <v>90</v>
      </c>
      <c r="R1587" s="2" t="s">
        <v>52</v>
      </c>
      <c r="S1587" s="2" t="s">
        <v>30</v>
      </c>
      <c r="T1587" s="2" t="s">
        <v>91</v>
      </c>
      <c r="U1587" s="2" t="str">
        <f t="shared" si="73"/>
        <v>Valid</v>
      </c>
      <c r="V1587" s="2" t="s">
        <v>4231</v>
      </c>
    </row>
    <row r="1588" spans="1:22" hidden="1" x14ac:dyDescent="0.3">
      <c r="A1588" s="2" t="s">
        <v>4232</v>
      </c>
      <c r="B1588" s="12">
        <f t="shared" si="72"/>
        <v>46238.587068761582</v>
      </c>
      <c r="C1588" s="13">
        <v>46238.587068761582</v>
      </c>
      <c r="D1588" s="2" t="s">
        <v>218</v>
      </c>
      <c r="E1588" s="2" t="str">
        <f t="shared" si="74"/>
        <v>Email Available</v>
      </c>
      <c r="F1588" s="2" t="s">
        <v>219</v>
      </c>
      <c r="G1588" s="2" t="s">
        <v>315</v>
      </c>
      <c r="H1588" s="2" t="s">
        <v>37</v>
      </c>
      <c r="I1588" s="2" t="s">
        <v>316</v>
      </c>
      <c r="J1588" s="2">
        <v>2</v>
      </c>
      <c r="K1588" s="2" t="s">
        <v>2267</v>
      </c>
      <c r="L1588" s="2" t="s">
        <v>121</v>
      </c>
      <c r="M1588" s="2">
        <v>4.5</v>
      </c>
      <c r="N1588" s="2">
        <v>5.99</v>
      </c>
      <c r="O1588" s="2">
        <v>19.47</v>
      </c>
      <c r="P1588" s="2" t="s">
        <v>27</v>
      </c>
      <c r="Q1588" s="2" t="s">
        <v>28</v>
      </c>
      <c r="R1588" s="2" t="s">
        <v>52</v>
      </c>
      <c r="S1588" s="2" t="s">
        <v>30</v>
      </c>
      <c r="T1588" s="2" t="s">
        <v>115</v>
      </c>
      <c r="U1588" s="2" t="str">
        <f t="shared" si="73"/>
        <v>Valid</v>
      </c>
      <c r="V1588" s="2" t="s">
        <v>4233</v>
      </c>
    </row>
    <row r="1589" spans="1:22" hidden="1" x14ac:dyDescent="0.3">
      <c r="A1589" s="2" t="s">
        <v>4234</v>
      </c>
      <c r="B1589" s="12">
        <f t="shared" si="72"/>
        <v>46120</v>
      </c>
      <c r="C1589" s="13" t="s">
        <v>142</v>
      </c>
      <c r="D1589" s="2" t="s">
        <v>1227</v>
      </c>
      <c r="E1589" s="2" t="str">
        <f t="shared" si="74"/>
        <v>Email Available</v>
      </c>
      <c r="F1589" s="2" t="s">
        <v>1228</v>
      </c>
      <c r="G1589" s="2" t="s">
        <v>127</v>
      </c>
      <c r="H1589" s="2" t="s">
        <v>81</v>
      </c>
      <c r="I1589" s="2" t="s">
        <v>128</v>
      </c>
      <c r="J1589" s="2">
        <v>1</v>
      </c>
      <c r="K1589" s="2">
        <v>13.99</v>
      </c>
      <c r="L1589" s="2"/>
      <c r="M1589" s="2">
        <v>0</v>
      </c>
      <c r="N1589" s="2">
        <v>5.99</v>
      </c>
      <c r="O1589" s="2">
        <v>19.98</v>
      </c>
      <c r="P1589" s="2" t="s">
        <v>68</v>
      </c>
      <c r="Q1589" s="2" t="s">
        <v>90</v>
      </c>
      <c r="R1589" s="2" t="s">
        <v>52</v>
      </c>
      <c r="S1589" s="2" t="s">
        <v>30</v>
      </c>
      <c r="T1589" s="2" t="s">
        <v>31</v>
      </c>
      <c r="U1589" s="2" t="str">
        <f t="shared" si="73"/>
        <v>Valid</v>
      </c>
      <c r="V1589" s="2" t="s">
        <v>4235</v>
      </c>
    </row>
    <row r="1590" spans="1:22" hidden="1" x14ac:dyDescent="0.3">
      <c r="A1590" s="2" t="s">
        <v>4236</v>
      </c>
      <c r="B1590" s="12">
        <f t="shared" si="72"/>
        <v>46238.578866157397</v>
      </c>
      <c r="C1590" s="13">
        <v>46238.578866157397</v>
      </c>
      <c r="D1590" s="2" t="s">
        <v>2657</v>
      </c>
      <c r="E1590" s="2" t="str">
        <f t="shared" si="74"/>
        <v>Email Available</v>
      </c>
      <c r="F1590" s="2" t="s">
        <v>2658</v>
      </c>
      <c r="G1590" s="2" t="s">
        <v>241</v>
      </c>
      <c r="H1590" s="2" t="s">
        <v>242</v>
      </c>
      <c r="I1590" s="2" t="s">
        <v>243</v>
      </c>
      <c r="J1590" s="2">
        <v>1</v>
      </c>
      <c r="K1590" s="2">
        <v>27.99</v>
      </c>
      <c r="L1590" s="2" t="s">
        <v>208</v>
      </c>
      <c r="M1590" s="2" t="s">
        <v>3460</v>
      </c>
      <c r="N1590" s="2">
        <v>4.99</v>
      </c>
      <c r="O1590" s="2">
        <v>28.78</v>
      </c>
      <c r="P1590" s="2" t="s">
        <v>74</v>
      </c>
      <c r="Q1590" s="2" t="s">
        <v>28</v>
      </c>
      <c r="R1590" s="2" t="s">
        <v>29</v>
      </c>
      <c r="S1590" s="2" t="s">
        <v>30</v>
      </c>
      <c r="T1590" s="2" t="s">
        <v>69</v>
      </c>
      <c r="U1590" s="2" t="str">
        <f t="shared" si="73"/>
        <v>Valid</v>
      </c>
      <c r="V1590" s="2" t="s">
        <v>4237</v>
      </c>
    </row>
    <row r="1591" spans="1:22" hidden="1" x14ac:dyDescent="0.3">
      <c r="A1591" s="2" t="s">
        <v>4238</v>
      </c>
      <c r="B1591" s="12">
        <f t="shared" si="72"/>
        <v>46238.589143090278</v>
      </c>
      <c r="C1591" s="13">
        <v>46238.589143090278</v>
      </c>
      <c r="D1591" s="2" t="s">
        <v>877</v>
      </c>
      <c r="E1591" s="2" t="str">
        <f t="shared" si="74"/>
        <v>Email Available</v>
      </c>
      <c r="F1591" s="2" t="s">
        <v>878</v>
      </c>
      <c r="G1591" s="2" t="s">
        <v>48</v>
      </c>
      <c r="H1591" s="2" t="s">
        <v>49</v>
      </c>
      <c r="I1591" s="2" t="s">
        <v>50</v>
      </c>
      <c r="J1591" s="2">
        <v>1</v>
      </c>
      <c r="K1591" s="2">
        <v>39.99</v>
      </c>
      <c r="L1591" s="2"/>
      <c r="M1591" s="2">
        <v>0</v>
      </c>
      <c r="N1591" s="2">
        <v>5.99</v>
      </c>
      <c r="O1591" s="2">
        <v>45.98</v>
      </c>
      <c r="P1591" s="2" t="s">
        <v>74</v>
      </c>
      <c r="Q1591" s="2" t="s">
        <v>41</v>
      </c>
      <c r="R1591" s="2" t="s">
        <v>52</v>
      </c>
      <c r="S1591" s="2" t="s">
        <v>75</v>
      </c>
      <c r="T1591" s="2"/>
      <c r="U1591" s="2" t="str">
        <f t="shared" si="73"/>
        <v>Not Required</v>
      </c>
      <c r="V1591" s="2" t="s">
        <v>4239</v>
      </c>
    </row>
    <row r="1592" spans="1:22" hidden="1" x14ac:dyDescent="0.3">
      <c r="A1592" s="2" t="s">
        <v>4240</v>
      </c>
      <c r="B1592" s="12">
        <f t="shared" si="72"/>
        <v>46238.586943981492</v>
      </c>
      <c r="C1592" s="13">
        <v>46238.586943981492</v>
      </c>
      <c r="D1592" s="2" t="s">
        <v>2122</v>
      </c>
      <c r="E1592" s="2" t="str">
        <f t="shared" si="74"/>
        <v>Email Available</v>
      </c>
      <c r="F1592" s="2" t="s">
        <v>2123</v>
      </c>
      <c r="G1592" s="2" t="s">
        <v>48</v>
      </c>
      <c r="H1592" s="2" t="s">
        <v>49</v>
      </c>
      <c r="I1592" s="2" t="s">
        <v>50</v>
      </c>
      <c r="J1592" s="2">
        <v>1</v>
      </c>
      <c r="K1592" s="2" t="s">
        <v>1513</v>
      </c>
      <c r="L1592" s="2" t="s">
        <v>39</v>
      </c>
      <c r="M1592" s="2" t="s">
        <v>189</v>
      </c>
      <c r="N1592" s="2">
        <v>0</v>
      </c>
      <c r="O1592" s="2">
        <v>39.99</v>
      </c>
      <c r="P1592" s="2" t="s">
        <v>74</v>
      </c>
      <c r="Q1592" s="2" t="s">
        <v>114</v>
      </c>
      <c r="R1592" s="2" t="s">
        <v>52</v>
      </c>
      <c r="S1592" s="2" t="s">
        <v>228</v>
      </c>
      <c r="T1592" s="2"/>
      <c r="U1592" s="2" t="str">
        <f t="shared" si="73"/>
        <v>Not Required</v>
      </c>
      <c r="V1592" s="2" t="s">
        <v>4241</v>
      </c>
    </row>
    <row r="1593" spans="1:22" hidden="1" x14ac:dyDescent="0.3">
      <c r="A1593" s="2" t="s">
        <v>4242</v>
      </c>
      <c r="B1593" s="12">
        <f t="shared" si="72"/>
        <v>46238.585546608803</v>
      </c>
      <c r="C1593" s="13">
        <v>46238.585546608803</v>
      </c>
      <c r="D1593" s="2" t="s">
        <v>3148</v>
      </c>
      <c r="E1593" s="2" t="str">
        <f t="shared" si="74"/>
        <v>Email Available</v>
      </c>
      <c r="F1593" s="2" t="s">
        <v>265</v>
      </c>
      <c r="G1593" s="2" t="s">
        <v>127</v>
      </c>
      <c r="H1593" s="2" t="s">
        <v>81</v>
      </c>
      <c r="I1593" s="2" t="s">
        <v>128</v>
      </c>
      <c r="J1593" s="2">
        <v>1</v>
      </c>
      <c r="K1593" s="2">
        <v>13.99</v>
      </c>
      <c r="L1593" s="2" t="s">
        <v>121</v>
      </c>
      <c r="M1593" s="2">
        <v>3.5</v>
      </c>
      <c r="N1593" s="2">
        <v>4.99</v>
      </c>
      <c r="O1593" s="2">
        <v>15.48</v>
      </c>
      <c r="P1593" s="2" t="s">
        <v>74</v>
      </c>
      <c r="Q1593" s="2" t="s">
        <v>28</v>
      </c>
      <c r="R1593" s="2" t="s">
        <v>29</v>
      </c>
      <c r="S1593" s="2" t="s">
        <v>30</v>
      </c>
      <c r="T1593" s="2" t="s">
        <v>91</v>
      </c>
      <c r="U1593" s="2" t="str">
        <f t="shared" si="73"/>
        <v>Valid</v>
      </c>
      <c r="V1593" s="2" t="s">
        <v>4243</v>
      </c>
    </row>
    <row r="1594" spans="1:22" hidden="1" x14ac:dyDescent="0.3">
      <c r="A1594" s="2" t="s">
        <v>4244</v>
      </c>
      <c r="B1594" s="12">
        <f t="shared" si="72"/>
        <v>46238.58345431713</v>
      </c>
      <c r="C1594" s="13">
        <v>46238.58345431713</v>
      </c>
      <c r="D1594" s="2" t="s">
        <v>1045</v>
      </c>
      <c r="E1594" s="2" t="str">
        <f t="shared" si="74"/>
        <v>Email Available</v>
      </c>
      <c r="F1594" s="2" t="s">
        <v>1046</v>
      </c>
      <c r="G1594" s="2" t="s">
        <v>87</v>
      </c>
      <c r="H1594" s="2" t="s">
        <v>88</v>
      </c>
      <c r="I1594" s="2" t="s">
        <v>89</v>
      </c>
      <c r="J1594" s="2">
        <v>1</v>
      </c>
      <c r="K1594" s="2">
        <v>54.99</v>
      </c>
      <c r="L1594" s="2"/>
      <c r="M1594" s="2">
        <v>0</v>
      </c>
      <c r="N1594" s="2">
        <v>5.99</v>
      </c>
      <c r="O1594" s="2">
        <v>60.98</v>
      </c>
      <c r="P1594" s="2" t="s">
        <v>68</v>
      </c>
      <c r="Q1594" s="2" t="s">
        <v>28</v>
      </c>
      <c r="R1594" s="2" t="s">
        <v>52</v>
      </c>
      <c r="S1594" s="2" t="s">
        <v>30</v>
      </c>
      <c r="T1594" s="2" t="s">
        <v>115</v>
      </c>
      <c r="U1594" s="2" t="str">
        <f t="shared" si="73"/>
        <v>Valid</v>
      </c>
      <c r="V1594" s="2" t="s">
        <v>4245</v>
      </c>
    </row>
    <row r="1595" spans="1:22" hidden="1" x14ac:dyDescent="0.3">
      <c r="A1595" s="2" t="s">
        <v>4248</v>
      </c>
      <c r="B1595" s="12">
        <f t="shared" ref="B1595:B1658" si="75">IF(ISNUMBER(C1595),C1595,DATEVALUE(SUBSTITUTE(TRIM(C1595),CHAR(160)," ")))</f>
        <v>46238.585821342589</v>
      </c>
      <c r="C1595" s="13">
        <v>46238.585821342589</v>
      </c>
      <c r="D1595" s="2" t="s">
        <v>1172</v>
      </c>
      <c r="E1595" s="2" t="str">
        <f t="shared" si="74"/>
        <v>Email Available</v>
      </c>
      <c r="F1595" s="2" t="s">
        <v>1173</v>
      </c>
      <c r="G1595" s="2" t="s">
        <v>36</v>
      </c>
      <c r="H1595" s="2" t="s">
        <v>37</v>
      </c>
      <c r="I1595" s="2" t="s">
        <v>38</v>
      </c>
      <c r="J1595" s="2">
        <v>1</v>
      </c>
      <c r="K1595" s="2">
        <v>21.99</v>
      </c>
      <c r="L1595" s="2" t="s">
        <v>208</v>
      </c>
      <c r="M1595" s="2">
        <v>3.3</v>
      </c>
      <c r="N1595" s="2">
        <v>5.99</v>
      </c>
      <c r="O1595" s="2" t="s">
        <v>4249</v>
      </c>
      <c r="P1595" s="2" t="s">
        <v>68</v>
      </c>
      <c r="Q1595" s="2" t="s">
        <v>28</v>
      </c>
      <c r="R1595" s="2" t="s">
        <v>42</v>
      </c>
      <c r="S1595" s="2" t="s">
        <v>43</v>
      </c>
      <c r="T1595" s="2"/>
      <c r="U1595" s="2" t="str">
        <f t="shared" ref="U1595:U1658" si="76">IF(AND(S1595="United States",T1595=""),"Missing state",IF(T1595="","Not Required","Valid"))</f>
        <v>Not Required</v>
      </c>
      <c r="V1595" s="2" t="s">
        <v>4250</v>
      </c>
    </row>
    <row r="1596" spans="1:22" hidden="1" x14ac:dyDescent="0.3">
      <c r="A1596" s="2" t="s">
        <v>4251</v>
      </c>
      <c r="B1596" s="12">
        <f t="shared" si="75"/>
        <v>46238.579535254627</v>
      </c>
      <c r="C1596" s="13">
        <v>46238.579535254627</v>
      </c>
      <c r="D1596" s="2" t="s">
        <v>4252</v>
      </c>
      <c r="E1596" s="2" t="str">
        <f t="shared" si="74"/>
        <v>Email Available</v>
      </c>
      <c r="F1596" s="2" t="s">
        <v>3452</v>
      </c>
      <c r="G1596" s="2" t="s">
        <v>241</v>
      </c>
      <c r="H1596" s="2" t="s">
        <v>242</v>
      </c>
      <c r="I1596" s="2" t="s">
        <v>243</v>
      </c>
      <c r="J1596" s="2">
        <v>2</v>
      </c>
      <c r="K1596" s="2">
        <v>27.99</v>
      </c>
      <c r="L1596" s="2" t="s">
        <v>208</v>
      </c>
      <c r="M1596" s="2">
        <v>8.4</v>
      </c>
      <c r="N1596" s="2">
        <v>4.99</v>
      </c>
      <c r="O1596" s="2">
        <v>52.57</v>
      </c>
      <c r="P1596" s="2" t="s">
        <v>51</v>
      </c>
      <c r="Q1596" s="2" t="s">
        <v>114</v>
      </c>
      <c r="R1596" s="2" t="s">
        <v>52</v>
      </c>
      <c r="S1596" s="2" t="s">
        <v>30</v>
      </c>
      <c r="T1596" s="2" t="s">
        <v>69</v>
      </c>
      <c r="U1596" s="2" t="str">
        <f t="shared" si="76"/>
        <v>Valid</v>
      </c>
      <c r="V1596" s="2" t="s">
        <v>4253</v>
      </c>
    </row>
    <row r="1597" spans="1:22" hidden="1" x14ac:dyDescent="0.3">
      <c r="A1597" s="2" t="s">
        <v>4254</v>
      </c>
      <c r="B1597" s="12">
        <f t="shared" si="75"/>
        <v>46238.579164826391</v>
      </c>
      <c r="C1597" s="13">
        <v>46238.579164826391</v>
      </c>
      <c r="D1597" s="2" t="s">
        <v>1475</v>
      </c>
      <c r="E1597" s="2" t="str">
        <f t="shared" si="74"/>
        <v>Email Available</v>
      </c>
      <c r="F1597" s="2" t="s">
        <v>1298</v>
      </c>
      <c r="G1597" s="2" t="s">
        <v>36</v>
      </c>
      <c r="H1597" s="2" t="s">
        <v>37</v>
      </c>
      <c r="I1597" s="2" t="s">
        <v>38</v>
      </c>
      <c r="J1597" s="2">
        <v>1</v>
      </c>
      <c r="K1597" s="2">
        <v>21.99</v>
      </c>
      <c r="L1597" s="2" t="s">
        <v>67</v>
      </c>
      <c r="M1597" s="2">
        <v>2.2000000000000002</v>
      </c>
      <c r="N1597" s="2">
        <v>7.99</v>
      </c>
      <c r="O1597" s="2">
        <v>27.78</v>
      </c>
      <c r="P1597" s="2" t="s">
        <v>27</v>
      </c>
      <c r="Q1597" s="2" t="s">
        <v>28</v>
      </c>
      <c r="R1597" s="2" t="s">
        <v>52</v>
      </c>
      <c r="S1597" s="2" t="s">
        <v>30</v>
      </c>
      <c r="T1597" s="2" t="s">
        <v>499</v>
      </c>
      <c r="U1597" s="2" t="str">
        <f t="shared" si="76"/>
        <v>Valid</v>
      </c>
      <c r="V1597" s="2" t="s">
        <v>4255</v>
      </c>
    </row>
    <row r="1598" spans="1:22" hidden="1" x14ac:dyDescent="0.3">
      <c r="A1598" s="2" t="s">
        <v>4256</v>
      </c>
      <c r="B1598" s="12">
        <f t="shared" si="75"/>
        <v>46238.583263067128</v>
      </c>
      <c r="C1598" s="13">
        <v>46238.583263067128</v>
      </c>
      <c r="D1598" s="2" t="s">
        <v>345</v>
      </c>
      <c r="E1598" s="2" t="str">
        <f t="shared" si="74"/>
        <v>Email Available</v>
      </c>
      <c r="F1598" s="2" t="s">
        <v>452</v>
      </c>
      <c r="G1598" s="2" t="s">
        <v>105</v>
      </c>
      <c r="H1598" s="2" t="s">
        <v>106</v>
      </c>
      <c r="I1598" s="2" t="s">
        <v>107</v>
      </c>
      <c r="J1598" s="2">
        <v>1</v>
      </c>
      <c r="K1598" s="2">
        <v>19.989999999999998</v>
      </c>
      <c r="L1598" s="2"/>
      <c r="M1598" s="2">
        <v>0</v>
      </c>
      <c r="N1598" s="2">
        <v>4.99</v>
      </c>
      <c r="O1598" s="2">
        <v>24.98</v>
      </c>
      <c r="P1598" s="2" t="s">
        <v>74</v>
      </c>
      <c r="Q1598" s="2" t="s">
        <v>114</v>
      </c>
      <c r="R1598" s="2" t="s">
        <v>52</v>
      </c>
      <c r="S1598" s="2" t="s">
        <v>30</v>
      </c>
      <c r="T1598" s="2" t="s">
        <v>53</v>
      </c>
      <c r="U1598" s="2" t="str">
        <f t="shared" si="76"/>
        <v>Valid</v>
      </c>
      <c r="V1598" s="2" t="s">
        <v>4257</v>
      </c>
    </row>
    <row r="1599" spans="1:22" hidden="1" x14ac:dyDescent="0.3">
      <c r="A1599" s="2" t="s">
        <v>4258</v>
      </c>
      <c r="B1599" s="12">
        <f t="shared" si="75"/>
        <v>46120</v>
      </c>
      <c r="C1599" s="13" t="s">
        <v>142</v>
      </c>
      <c r="D1599" s="2" t="s">
        <v>3346</v>
      </c>
      <c r="E1599" s="2" t="str">
        <f t="shared" si="74"/>
        <v>Email Available</v>
      </c>
      <c r="F1599" s="2" t="s">
        <v>745</v>
      </c>
      <c r="G1599" s="2" t="s">
        <v>206</v>
      </c>
      <c r="H1599" s="2" t="s">
        <v>196</v>
      </c>
      <c r="I1599" s="2" t="s">
        <v>207</v>
      </c>
      <c r="J1599" s="2">
        <v>1</v>
      </c>
      <c r="K1599" s="2" t="s">
        <v>1229</v>
      </c>
      <c r="L1599" s="2" t="s">
        <v>121</v>
      </c>
      <c r="M1599" s="2">
        <v>6.25</v>
      </c>
      <c r="N1599" s="2">
        <v>5.99</v>
      </c>
      <c r="O1599" s="2">
        <v>24.73</v>
      </c>
      <c r="P1599" s="2" t="s">
        <v>27</v>
      </c>
      <c r="Q1599" s="2" t="s">
        <v>28</v>
      </c>
      <c r="R1599" s="2" t="s">
        <v>52</v>
      </c>
      <c r="S1599" s="2" t="s">
        <v>30</v>
      </c>
      <c r="T1599" s="2" t="s">
        <v>145</v>
      </c>
      <c r="U1599" s="2" t="str">
        <f t="shared" si="76"/>
        <v>Valid</v>
      </c>
      <c r="V1599" s="2" t="s">
        <v>4259</v>
      </c>
    </row>
    <row r="1600" spans="1:22" hidden="1" x14ac:dyDescent="0.3">
      <c r="A1600" s="2" t="s">
        <v>4260</v>
      </c>
      <c r="B1600" s="12">
        <f t="shared" si="75"/>
        <v>46238.583467627323</v>
      </c>
      <c r="C1600" s="13">
        <v>46238.583467627323</v>
      </c>
      <c r="D1600" s="2" t="s">
        <v>200</v>
      </c>
      <c r="E1600" s="2" t="str">
        <f t="shared" si="74"/>
        <v>Email Available</v>
      </c>
      <c r="F1600" s="2" t="s">
        <v>201</v>
      </c>
      <c r="G1600" s="2" t="s">
        <v>226</v>
      </c>
      <c r="H1600" s="2" t="s">
        <v>23</v>
      </c>
      <c r="I1600" s="2" t="s">
        <v>227</v>
      </c>
      <c r="J1600" s="2">
        <v>2</v>
      </c>
      <c r="K1600" s="2">
        <v>17.989999999999998</v>
      </c>
      <c r="L1600" s="2" t="s">
        <v>121</v>
      </c>
      <c r="M1600" s="2">
        <v>8.99</v>
      </c>
      <c r="N1600" s="2">
        <v>5.99</v>
      </c>
      <c r="O1600" s="2">
        <v>32.979999999999997</v>
      </c>
      <c r="P1600" s="2" t="s">
        <v>74</v>
      </c>
      <c r="Q1600" s="2" t="s">
        <v>28</v>
      </c>
      <c r="R1600" s="2" t="s">
        <v>52</v>
      </c>
      <c r="S1600" s="2" t="s">
        <v>30</v>
      </c>
      <c r="T1600" s="2" t="s">
        <v>966</v>
      </c>
      <c r="U1600" s="2" t="str">
        <f t="shared" si="76"/>
        <v>Valid</v>
      </c>
      <c r="V1600" s="2" t="s">
        <v>4261</v>
      </c>
    </row>
    <row r="1601" spans="1:22" hidden="1" x14ac:dyDescent="0.3">
      <c r="A1601" s="2" t="s">
        <v>4262</v>
      </c>
      <c r="B1601" s="12">
        <f t="shared" si="75"/>
        <v>46120</v>
      </c>
      <c r="C1601" s="13" t="s">
        <v>142</v>
      </c>
      <c r="D1601" s="2" t="s">
        <v>4263</v>
      </c>
      <c r="E1601" s="2" t="str">
        <f t="shared" si="74"/>
        <v>Email Available</v>
      </c>
      <c r="F1601" s="2" t="s">
        <v>298</v>
      </c>
      <c r="G1601" s="2" t="s">
        <v>368</v>
      </c>
      <c r="H1601" s="2" t="s">
        <v>88</v>
      </c>
      <c r="I1601" s="2" t="s">
        <v>369</v>
      </c>
      <c r="J1601" s="2">
        <v>1</v>
      </c>
      <c r="K1601" s="2">
        <v>54.99</v>
      </c>
      <c r="L1601" s="2" t="s">
        <v>208</v>
      </c>
      <c r="M1601" s="2">
        <v>8.25</v>
      </c>
      <c r="N1601" s="2">
        <v>4.99</v>
      </c>
      <c r="O1601" s="2">
        <v>51.73</v>
      </c>
      <c r="P1601" s="2" t="s">
        <v>68</v>
      </c>
      <c r="Q1601" s="2" t="s">
        <v>41</v>
      </c>
      <c r="R1601" s="2" t="s">
        <v>99</v>
      </c>
      <c r="S1601" s="2" t="s">
        <v>228</v>
      </c>
      <c r="T1601" s="2"/>
      <c r="U1601" s="2" t="str">
        <f t="shared" si="76"/>
        <v>Not Required</v>
      </c>
      <c r="V1601" s="2" t="s">
        <v>4264</v>
      </c>
    </row>
    <row r="1602" spans="1:22" x14ac:dyDescent="0.3">
      <c r="A1602" s="2" t="s">
        <v>4265</v>
      </c>
      <c r="B1602" s="12">
        <f t="shared" si="75"/>
        <v>46120</v>
      </c>
      <c r="C1602" s="13" t="s">
        <v>142</v>
      </c>
      <c r="D1602" s="2" t="s">
        <v>335</v>
      </c>
      <c r="E1602" s="2" t="str">
        <f t="shared" si="74"/>
        <v>Missing Email</v>
      </c>
      <c r="F1602" s="2"/>
      <c r="G1602" s="2" t="s">
        <v>65</v>
      </c>
      <c r="H1602" s="2" t="s">
        <v>49</v>
      </c>
      <c r="I1602" s="2" t="s">
        <v>66</v>
      </c>
      <c r="J1602" s="2">
        <v>1</v>
      </c>
      <c r="K1602" s="2">
        <v>14.99</v>
      </c>
      <c r="L1602" s="2" t="s">
        <v>121</v>
      </c>
      <c r="M1602" s="2">
        <v>3.75</v>
      </c>
      <c r="N1602" s="2">
        <v>5.99</v>
      </c>
      <c r="O1602" s="2">
        <v>17.23</v>
      </c>
      <c r="P1602" s="2" t="s">
        <v>27</v>
      </c>
      <c r="Q1602" s="2" t="s">
        <v>114</v>
      </c>
      <c r="R1602" s="2" t="s">
        <v>52</v>
      </c>
      <c r="S1602" s="2" t="s">
        <v>337</v>
      </c>
      <c r="T1602" s="2"/>
      <c r="U1602" s="2" t="str">
        <f t="shared" si="76"/>
        <v>Not Required</v>
      </c>
      <c r="V1602" s="2" t="s">
        <v>4266</v>
      </c>
    </row>
    <row r="1603" spans="1:22" hidden="1" x14ac:dyDescent="0.3">
      <c r="A1603" s="2" t="s">
        <v>4267</v>
      </c>
      <c r="B1603" s="12">
        <f t="shared" si="75"/>
        <v>46238.588210347218</v>
      </c>
      <c r="C1603" s="13">
        <v>46238.588210347218</v>
      </c>
      <c r="D1603" s="2" t="s">
        <v>2330</v>
      </c>
      <c r="E1603" s="2" t="str">
        <f t="shared" ref="E1603:E1666" si="77">IF(TRIM(F1603)="","Missing Email","Email Available")</f>
        <v>Email Available</v>
      </c>
      <c r="F1603" s="2" t="s">
        <v>2331</v>
      </c>
      <c r="G1603" s="2" t="s">
        <v>187</v>
      </c>
      <c r="H1603" s="2" t="s">
        <v>37</v>
      </c>
      <c r="I1603" s="2" t="s">
        <v>188</v>
      </c>
      <c r="J1603" s="2">
        <v>1</v>
      </c>
      <c r="K1603" s="2">
        <v>11.99</v>
      </c>
      <c r="L1603" s="2" t="s">
        <v>67</v>
      </c>
      <c r="M1603" s="2">
        <v>1.2</v>
      </c>
      <c r="N1603" s="2">
        <v>5.99</v>
      </c>
      <c r="O1603" s="2">
        <v>16.78</v>
      </c>
      <c r="P1603" s="2" t="s">
        <v>51</v>
      </c>
      <c r="Q1603" s="2" t="s">
        <v>114</v>
      </c>
      <c r="R1603" s="2" t="s">
        <v>29</v>
      </c>
      <c r="S1603" s="2" t="s">
        <v>30</v>
      </c>
      <c r="T1603" s="2" t="s">
        <v>91</v>
      </c>
      <c r="U1603" s="2" t="str">
        <f t="shared" si="76"/>
        <v>Valid</v>
      </c>
      <c r="V1603" s="2" t="s">
        <v>4268</v>
      </c>
    </row>
    <row r="1604" spans="1:22" hidden="1" x14ac:dyDescent="0.3">
      <c r="A1604" s="2" t="s">
        <v>4269</v>
      </c>
      <c r="B1604" s="12">
        <f t="shared" si="75"/>
        <v>46238.584222858794</v>
      </c>
      <c r="C1604" s="13">
        <v>46238.584222858794</v>
      </c>
      <c r="D1604" s="2" t="s">
        <v>3767</v>
      </c>
      <c r="E1604" s="2" t="str">
        <f t="shared" si="77"/>
        <v>Email Available</v>
      </c>
      <c r="F1604" s="2" t="s">
        <v>3768</v>
      </c>
      <c r="G1604" s="2" t="s">
        <v>151</v>
      </c>
      <c r="H1604" s="2" t="s">
        <v>49</v>
      </c>
      <c r="I1604" s="2" t="s">
        <v>152</v>
      </c>
      <c r="J1604" s="2">
        <v>1</v>
      </c>
      <c r="K1604" s="2">
        <v>34.99</v>
      </c>
      <c r="L1604" s="2" t="s">
        <v>67</v>
      </c>
      <c r="M1604" s="2">
        <v>3.5</v>
      </c>
      <c r="N1604" s="2">
        <v>7.99</v>
      </c>
      <c r="O1604" s="2">
        <v>39.479999999999997</v>
      </c>
      <c r="P1604" s="2" t="s">
        <v>74</v>
      </c>
      <c r="Q1604" s="2" t="s">
        <v>114</v>
      </c>
      <c r="R1604" s="2" t="s">
        <v>29</v>
      </c>
      <c r="S1604" s="2" t="s">
        <v>43</v>
      </c>
      <c r="T1604" s="2"/>
      <c r="U1604" s="2" t="str">
        <f t="shared" si="76"/>
        <v>Not Required</v>
      </c>
      <c r="V1604" s="2" t="s">
        <v>4270</v>
      </c>
    </row>
    <row r="1605" spans="1:22" hidden="1" x14ac:dyDescent="0.3">
      <c r="A1605" s="2" t="s">
        <v>4271</v>
      </c>
      <c r="B1605" s="12">
        <f t="shared" si="75"/>
        <v>46238.57910166667</v>
      </c>
      <c r="C1605" s="13">
        <v>46238.57910166667</v>
      </c>
      <c r="D1605" s="2" t="s">
        <v>2856</v>
      </c>
      <c r="E1605" s="2" t="str">
        <f t="shared" si="77"/>
        <v>Email Available</v>
      </c>
      <c r="F1605" s="2" t="s">
        <v>2857</v>
      </c>
      <c r="G1605" s="2" t="s">
        <v>58</v>
      </c>
      <c r="H1605" s="2" t="s">
        <v>23</v>
      </c>
      <c r="I1605" s="2" t="s">
        <v>59</v>
      </c>
      <c r="J1605" s="2">
        <v>1</v>
      </c>
      <c r="K1605" s="2">
        <v>9.99</v>
      </c>
      <c r="L1605" s="2" t="s">
        <v>39</v>
      </c>
      <c r="M1605" s="2" t="s">
        <v>189</v>
      </c>
      <c r="N1605" s="2">
        <v>0</v>
      </c>
      <c r="O1605" s="2">
        <v>9.99</v>
      </c>
      <c r="P1605" s="2" t="s">
        <v>74</v>
      </c>
      <c r="Q1605" s="2" t="s">
        <v>114</v>
      </c>
      <c r="R1605" s="2" t="s">
        <v>52</v>
      </c>
      <c r="S1605" s="2" t="s">
        <v>75</v>
      </c>
      <c r="T1605" s="2"/>
      <c r="U1605" s="2" t="str">
        <f t="shared" si="76"/>
        <v>Not Required</v>
      </c>
      <c r="V1605" s="2" t="s">
        <v>4272</v>
      </c>
    </row>
    <row r="1606" spans="1:22" x14ac:dyDescent="0.3">
      <c r="A1606" s="2" t="s">
        <v>4273</v>
      </c>
      <c r="B1606" s="12">
        <f t="shared" si="75"/>
        <v>46238</v>
      </c>
      <c r="C1606" s="13" t="s">
        <v>1245</v>
      </c>
      <c r="D1606" s="2" t="s">
        <v>94</v>
      </c>
      <c r="E1606" s="2" t="str">
        <f t="shared" si="77"/>
        <v>Missing Email</v>
      </c>
      <c r="F1606" s="2"/>
      <c r="G1606" s="2" t="s">
        <v>266</v>
      </c>
      <c r="H1606" s="2" t="s">
        <v>37</v>
      </c>
      <c r="I1606" s="2" t="s">
        <v>267</v>
      </c>
      <c r="J1606" s="2">
        <v>1</v>
      </c>
      <c r="K1606" s="2">
        <v>15.49</v>
      </c>
      <c r="L1606" s="2"/>
      <c r="M1606" s="2">
        <v>0</v>
      </c>
      <c r="N1606" s="2">
        <v>4.99</v>
      </c>
      <c r="O1606" s="2">
        <v>20.48</v>
      </c>
      <c r="P1606" s="2" t="s">
        <v>51</v>
      </c>
      <c r="Q1606" s="2" t="s">
        <v>28</v>
      </c>
      <c r="R1606" s="2" t="s">
        <v>52</v>
      </c>
      <c r="S1606" s="2" t="s">
        <v>43</v>
      </c>
      <c r="T1606" s="2"/>
      <c r="U1606" s="2" t="str">
        <f t="shared" si="76"/>
        <v>Not Required</v>
      </c>
      <c r="V1606" s="2" t="s">
        <v>4274</v>
      </c>
    </row>
    <row r="1607" spans="1:22" x14ac:dyDescent="0.3">
      <c r="A1607" s="2" t="s">
        <v>4275</v>
      </c>
      <c r="B1607" s="12">
        <f t="shared" si="75"/>
        <v>46238.583504456023</v>
      </c>
      <c r="C1607" s="13">
        <v>46238.583504456023</v>
      </c>
      <c r="D1607" s="2" t="s">
        <v>335</v>
      </c>
      <c r="E1607" s="2" t="str">
        <f t="shared" si="77"/>
        <v>Missing Email</v>
      </c>
      <c r="F1607" s="2"/>
      <c r="G1607" s="2" t="s">
        <v>127</v>
      </c>
      <c r="H1607" s="2" t="s">
        <v>81</v>
      </c>
      <c r="I1607" s="2" t="s">
        <v>128</v>
      </c>
      <c r="J1607" s="2">
        <v>2</v>
      </c>
      <c r="K1607" s="2">
        <v>13.99</v>
      </c>
      <c r="L1607" s="2" t="s">
        <v>121</v>
      </c>
      <c r="M1607" s="2">
        <v>7</v>
      </c>
      <c r="N1607" s="2">
        <v>5.99</v>
      </c>
      <c r="O1607" s="2">
        <v>26.97</v>
      </c>
      <c r="P1607" s="2" t="s">
        <v>68</v>
      </c>
      <c r="Q1607" s="2" t="s">
        <v>28</v>
      </c>
      <c r="R1607" s="2" t="s">
        <v>52</v>
      </c>
      <c r="S1607" s="2" t="s">
        <v>337</v>
      </c>
      <c r="T1607" s="2"/>
      <c r="U1607" s="2" t="str">
        <f t="shared" si="76"/>
        <v>Not Required</v>
      </c>
      <c r="V1607" s="2" t="s">
        <v>4276</v>
      </c>
    </row>
    <row r="1608" spans="1:22" hidden="1" x14ac:dyDescent="0.3">
      <c r="A1608" s="2" t="s">
        <v>4277</v>
      </c>
      <c r="B1608" s="12">
        <f t="shared" si="75"/>
        <v>46238.583938935182</v>
      </c>
      <c r="C1608" s="13">
        <v>46238.583938935182</v>
      </c>
      <c r="D1608" s="2" t="s">
        <v>3021</v>
      </c>
      <c r="E1608" s="2" t="str">
        <f t="shared" si="77"/>
        <v>Email Available</v>
      </c>
      <c r="F1608" s="2" t="s">
        <v>3022</v>
      </c>
      <c r="G1608" s="2" t="s">
        <v>80</v>
      </c>
      <c r="H1608" s="2" t="s">
        <v>81</v>
      </c>
      <c r="I1608" s="2" t="s">
        <v>82</v>
      </c>
      <c r="J1608" s="2">
        <v>1</v>
      </c>
      <c r="K1608" s="2">
        <v>89.99</v>
      </c>
      <c r="L1608" s="2"/>
      <c r="M1608" s="2">
        <v>0</v>
      </c>
      <c r="N1608" s="2">
        <v>0</v>
      </c>
      <c r="O1608" s="2">
        <v>89.99</v>
      </c>
      <c r="P1608" s="2" t="s">
        <v>27</v>
      </c>
      <c r="Q1608" s="2" t="s">
        <v>28</v>
      </c>
      <c r="R1608" s="2" t="s">
        <v>52</v>
      </c>
      <c r="S1608" s="2" t="s">
        <v>108</v>
      </c>
      <c r="T1608" s="2"/>
      <c r="U1608" s="2" t="str">
        <f t="shared" si="76"/>
        <v>Not Required</v>
      </c>
      <c r="V1608" s="2" t="s">
        <v>2452</v>
      </c>
    </row>
    <row r="1609" spans="1:22" hidden="1" x14ac:dyDescent="0.3">
      <c r="A1609" s="2" t="s">
        <v>4278</v>
      </c>
      <c r="B1609" s="12">
        <f t="shared" si="75"/>
        <v>46238.579385752317</v>
      </c>
      <c r="C1609" s="13">
        <v>46238.579385752317</v>
      </c>
      <c r="D1609" s="2" t="s">
        <v>4279</v>
      </c>
      <c r="E1609" s="2" t="str">
        <f t="shared" si="77"/>
        <v>Email Available</v>
      </c>
      <c r="F1609" s="2" t="s">
        <v>4280</v>
      </c>
      <c r="G1609" s="2" t="s">
        <v>65</v>
      </c>
      <c r="H1609" s="2" t="s">
        <v>49</v>
      </c>
      <c r="I1609" s="2" t="s">
        <v>453</v>
      </c>
      <c r="J1609" s="2">
        <v>2</v>
      </c>
      <c r="K1609" s="2">
        <v>14.99</v>
      </c>
      <c r="L1609" s="2" t="s">
        <v>398</v>
      </c>
      <c r="M1609" s="2">
        <v>7.5</v>
      </c>
      <c r="N1609" s="2">
        <v>4.99</v>
      </c>
      <c r="O1609" s="2">
        <v>27.47</v>
      </c>
      <c r="P1609" s="2" t="s">
        <v>40</v>
      </c>
      <c r="Q1609" s="2" t="s">
        <v>90</v>
      </c>
      <c r="R1609" s="2" t="s">
        <v>52</v>
      </c>
      <c r="S1609" s="2" t="s">
        <v>30</v>
      </c>
      <c r="T1609" s="2" t="s">
        <v>766</v>
      </c>
      <c r="U1609" s="2" t="str">
        <f t="shared" si="76"/>
        <v>Valid</v>
      </c>
      <c r="V1609" s="2" t="s">
        <v>1461</v>
      </c>
    </row>
    <row r="1610" spans="1:22" hidden="1" x14ac:dyDescent="0.3">
      <c r="A1610" s="2" t="s">
        <v>4281</v>
      </c>
      <c r="B1610" s="12">
        <f t="shared" si="75"/>
        <v>46238.583228055562</v>
      </c>
      <c r="C1610" s="13">
        <v>46238.583228055562</v>
      </c>
      <c r="D1610" s="2" t="s">
        <v>3873</v>
      </c>
      <c r="E1610" s="2" t="str">
        <f t="shared" si="77"/>
        <v>Email Available</v>
      </c>
      <c r="F1610" s="2" t="s">
        <v>3874</v>
      </c>
      <c r="G1610" s="2" t="s">
        <v>206</v>
      </c>
      <c r="H1610" s="2" t="s">
        <v>196</v>
      </c>
      <c r="I1610" s="2" t="s">
        <v>207</v>
      </c>
      <c r="J1610" s="2">
        <v>1</v>
      </c>
      <c r="K1610" s="2">
        <v>24.99</v>
      </c>
      <c r="L1610" s="2"/>
      <c r="M1610" s="2">
        <v>0</v>
      </c>
      <c r="N1610" s="2">
        <v>7.99</v>
      </c>
      <c r="O1610" s="2">
        <v>32.979999999999997</v>
      </c>
      <c r="P1610" s="2" t="s">
        <v>27</v>
      </c>
      <c r="Q1610" s="2" t="s">
        <v>114</v>
      </c>
      <c r="R1610" s="2" t="s">
        <v>29</v>
      </c>
      <c r="S1610" s="2" t="s">
        <v>30</v>
      </c>
      <c r="T1610" s="2" t="s">
        <v>53</v>
      </c>
      <c r="U1610" s="2" t="str">
        <f t="shared" si="76"/>
        <v>Valid</v>
      </c>
      <c r="V1610" s="2" t="s">
        <v>2215</v>
      </c>
    </row>
    <row r="1611" spans="1:22" hidden="1" x14ac:dyDescent="0.3">
      <c r="A1611" s="2" t="s">
        <v>4282</v>
      </c>
      <c r="B1611" s="12">
        <f t="shared" si="75"/>
        <v>46238.586362465277</v>
      </c>
      <c r="C1611" s="13">
        <v>46238.586362465277</v>
      </c>
      <c r="D1611" s="2" t="s">
        <v>1520</v>
      </c>
      <c r="E1611" s="2" t="str">
        <f t="shared" si="77"/>
        <v>Email Available</v>
      </c>
      <c r="F1611" s="2" t="s">
        <v>1521</v>
      </c>
      <c r="G1611" s="2" t="s">
        <v>112</v>
      </c>
      <c r="H1611" s="2" t="s">
        <v>81</v>
      </c>
      <c r="I1611" s="2" t="s">
        <v>113</v>
      </c>
      <c r="J1611" s="2">
        <v>1</v>
      </c>
      <c r="K1611" s="2">
        <v>22.99</v>
      </c>
      <c r="L1611" s="2" t="s">
        <v>25</v>
      </c>
      <c r="M1611" s="2">
        <v>4.5999999999999996</v>
      </c>
      <c r="N1611" s="2">
        <v>7.99</v>
      </c>
      <c r="O1611" s="2">
        <v>26.38</v>
      </c>
      <c r="P1611" s="2" t="s">
        <v>74</v>
      </c>
      <c r="Q1611" s="2" t="s">
        <v>28</v>
      </c>
      <c r="R1611" s="2" t="s">
        <v>52</v>
      </c>
      <c r="S1611" s="2" t="s">
        <v>30</v>
      </c>
      <c r="T1611" s="2" t="s">
        <v>145</v>
      </c>
      <c r="U1611" s="2" t="str">
        <f t="shared" si="76"/>
        <v>Valid</v>
      </c>
      <c r="V1611" s="2" t="s">
        <v>4283</v>
      </c>
    </row>
    <row r="1612" spans="1:22" hidden="1" x14ac:dyDescent="0.3">
      <c r="A1612" s="2" t="s">
        <v>4284</v>
      </c>
      <c r="B1612" s="12">
        <f t="shared" si="75"/>
        <v>46238.586894884262</v>
      </c>
      <c r="C1612" s="13">
        <v>46238.586894884262</v>
      </c>
      <c r="D1612" s="2" t="s">
        <v>845</v>
      </c>
      <c r="E1612" s="2" t="str">
        <f t="shared" si="77"/>
        <v>Email Available</v>
      </c>
      <c r="F1612" s="2" t="s">
        <v>846</v>
      </c>
      <c r="G1612" s="2" t="s">
        <v>80</v>
      </c>
      <c r="H1612" s="2" t="s">
        <v>81</v>
      </c>
      <c r="I1612" s="2" t="s">
        <v>82</v>
      </c>
      <c r="J1612" s="2">
        <v>1</v>
      </c>
      <c r="K1612" s="2">
        <v>89.99</v>
      </c>
      <c r="L1612" s="2" t="s">
        <v>25</v>
      </c>
      <c r="M1612" s="2" t="s">
        <v>1646</v>
      </c>
      <c r="N1612" s="2">
        <v>0</v>
      </c>
      <c r="O1612" s="2">
        <v>71.989999999999995</v>
      </c>
      <c r="P1612" s="2" t="s">
        <v>74</v>
      </c>
      <c r="Q1612" s="2" t="s">
        <v>90</v>
      </c>
      <c r="R1612" s="2" t="s">
        <v>42</v>
      </c>
      <c r="S1612" s="2" t="s">
        <v>30</v>
      </c>
      <c r="T1612" s="2" t="s">
        <v>145</v>
      </c>
      <c r="U1612" s="2" t="str">
        <f t="shared" si="76"/>
        <v>Valid</v>
      </c>
      <c r="V1612" s="2" t="s">
        <v>2455</v>
      </c>
    </row>
    <row r="1613" spans="1:22" hidden="1" x14ac:dyDescent="0.3">
      <c r="A1613" s="2" t="s">
        <v>4285</v>
      </c>
      <c r="B1613" s="12">
        <f t="shared" si="75"/>
        <v>46238</v>
      </c>
      <c r="C1613" s="13" t="s">
        <v>722</v>
      </c>
      <c r="D1613" s="2" t="s">
        <v>1803</v>
      </c>
      <c r="E1613" s="2" t="str">
        <f t="shared" si="77"/>
        <v>Email Available</v>
      </c>
      <c r="F1613" s="2" t="s">
        <v>1804</v>
      </c>
      <c r="G1613" s="2" t="s">
        <v>36</v>
      </c>
      <c r="H1613" s="2" t="s">
        <v>37</v>
      </c>
      <c r="I1613" s="2" t="s">
        <v>38</v>
      </c>
      <c r="J1613" s="2">
        <v>2</v>
      </c>
      <c r="K1613" s="2">
        <v>21.99</v>
      </c>
      <c r="L1613" s="2" t="s">
        <v>67</v>
      </c>
      <c r="M1613" s="2">
        <v>4.4000000000000004</v>
      </c>
      <c r="N1613" s="2">
        <v>5.99</v>
      </c>
      <c r="O1613" s="2">
        <v>45.57</v>
      </c>
      <c r="P1613" s="2" t="s">
        <v>27</v>
      </c>
      <c r="Q1613" s="2" t="s">
        <v>90</v>
      </c>
      <c r="R1613" s="2" t="s">
        <v>52</v>
      </c>
      <c r="S1613" s="2" t="s">
        <v>30</v>
      </c>
      <c r="T1613" s="2" t="s">
        <v>53</v>
      </c>
      <c r="U1613" s="2" t="str">
        <f t="shared" si="76"/>
        <v>Valid</v>
      </c>
      <c r="V1613" s="2" t="s">
        <v>4286</v>
      </c>
    </row>
    <row r="1614" spans="1:22" hidden="1" x14ac:dyDescent="0.3">
      <c r="A1614" s="2" t="s">
        <v>4287</v>
      </c>
      <c r="B1614" s="12">
        <f t="shared" si="75"/>
        <v>46238.57891960648</v>
      </c>
      <c r="C1614" s="13">
        <v>46238.57891960648</v>
      </c>
      <c r="D1614" s="2" t="s">
        <v>193</v>
      </c>
      <c r="E1614" s="2" t="str">
        <f t="shared" si="77"/>
        <v>Email Available</v>
      </c>
      <c r="F1614" s="2" t="s">
        <v>194</v>
      </c>
      <c r="G1614" s="2" t="s">
        <v>226</v>
      </c>
      <c r="H1614" s="2" t="s">
        <v>23</v>
      </c>
      <c r="I1614" s="2" t="s">
        <v>227</v>
      </c>
      <c r="J1614" s="2">
        <v>1</v>
      </c>
      <c r="K1614" s="2">
        <v>17.989999999999998</v>
      </c>
      <c r="L1614" s="2" t="s">
        <v>39</v>
      </c>
      <c r="M1614" s="2">
        <v>0</v>
      </c>
      <c r="N1614" s="2">
        <v>0</v>
      </c>
      <c r="O1614" s="2">
        <v>17.989999999999998</v>
      </c>
      <c r="P1614" s="2" t="s">
        <v>27</v>
      </c>
      <c r="Q1614" s="2" t="s">
        <v>28</v>
      </c>
      <c r="R1614" s="2" t="s">
        <v>42</v>
      </c>
      <c r="S1614" s="2" t="s">
        <v>30</v>
      </c>
      <c r="T1614" s="2" t="s">
        <v>69</v>
      </c>
      <c r="U1614" s="2" t="str">
        <f t="shared" si="76"/>
        <v>Valid</v>
      </c>
      <c r="V1614" s="2" t="s">
        <v>4288</v>
      </c>
    </row>
    <row r="1615" spans="1:22" hidden="1" x14ac:dyDescent="0.3">
      <c r="A1615" s="2" t="s">
        <v>4289</v>
      </c>
      <c r="B1615" s="12">
        <f t="shared" si="75"/>
        <v>46238.584037928238</v>
      </c>
      <c r="C1615" s="13">
        <v>46238.584037928238</v>
      </c>
      <c r="D1615" s="2" t="s">
        <v>4290</v>
      </c>
      <c r="E1615" s="2" t="str">
        <f t="shared" si="77"/>
        <v>Email Available</v>
      </c>
      <c r="F1615" s="2" t="s">
        <v>4291</v>
      </c>
      <c r="G1615" s="2" t="s">
        <v>206</v>
      </c>
      <c r="H1615" s="2" t="s">
        <v>196</v>
      </c>
      <c r="I1615" s="2" t="s">
        <v>207</v>
      </c>
      <c r="J1615" s="2">
        <v>1</v>
      </c>
      <c r="K1615" s="2" t="s">
        <v>1229</v>
      </c>
      <c r="L1615" s="2"/>
      <c r="M1615" s="2">
        <v>0</v>
      </c>
      <c r="N1615" s="2">
        <v>4.99</v>
      </c>
      <c r="O1615" s="2">
        <v>29.98</v>
      </c>
      <c r="P1615" s="2" t="s">
        <v>74</v>
      </c>
      <c r="Q1615" s="2" t="s">
        <v>41</v>
      </c>
      <c r="R1615" s="2" t="s">
        <v>52</v>
      </c>
      <c r="S1615" s="2" t="s">
        <v>75</v>
      </c>
      <c r="T1615" s="2"/>
      <c r="U1615" s="2" t="str">
        <f t="shared" si="76"/>
        <v>Not Required</v>
      </c>
      <c r="V1615" s="2" t="s">
        <v>4292</v>
      </c>
    </row>
    <row r="1616" spans="1:22" hidden="1" x14ac:dyDescent="0.3">
      <c r="A1616" s="2" t="s">
        <v>4293</v>
      </c>
      <c r="B1616" s="12">
        <f t="shared" si="75"/>
        <v>46238.582837060188</v>
      </c>
      <c r="C1616" s="13">
        <v>46238.582837060188</v>
      </c>
      <c r="D1616" s="2" t="s">
        <v>4294</v>
      </c>
      <c r="E1616" s="2" t="str">
        <f t="shared" si="77"/>
        <v>Email Available</v>
      </c>
      <c r="F1616" s="2" t="s">
        <v>4085</v>
      </c>
      <c r="G1616" s="2" t="s">
        <v>171</v>
      </c>
      <c r="H1616" s="2" t="s">
        <v>106</v>
      </c>
      <c r="I1616" s="2" t="s">
        <v>172</v>
      </c>
      <c r="J1616" s="2">
        <v>1</v>
      </c>
      <c r="K1616" s="2" t="s">
        <v>173</v>
      </c>
      <c r="L1616" s="2"/>
      <c r="M1616" s="2">
        <v>0</v>
      </c>
      <c r="N1616" s="2">
        <v>4.99</v>
      </c>
      <c r="O1616" s="2">
        <v>0</v>
      </c>
      <c r="P1616" s="2" t="s">
        <v>40</v>
      </c>
      <c r="Q1616" s="2" t="s">
        <v>90</v>
      </c>
      <c r="R1616" s="2" t="s">
        <v>99</v>
      </c>
      <c r="S1616" s="2" t="s">
        <v>337</v>
      </c>
      <c r="T1616" s="2"/>
      <c r="U1616" s="2" t="str">
        <f t="shared" si="76"/>
        <v>Not Required</v>
      </c>
      <c r="V1616" s="2" t="s">
        <v>4295</v>
      </c>
    </row>
    <row r="1617" spans="1:22" hidden="1" x14ac:dyDescent="0.3">
      <c r="A1617" s="2" t="s">
        <v>4296</v>
      </c>
      <c r="B1617" s="12">
        <f t="shared" si="75"/>
        <v>46238.584089988428</v>
      </c>
      <c r="C1617" s="13">
        <v>46238.584089988428</v>
      </c>
      <c r="D1617" s="2" t="s">
        <v>610</v>
      </c>
      <c r="E1617" s="2" t="str">
        <f t="shared" si="77"/>
        <v>Email Available</v>
      </c>
      <c r="F1617" s="2" t="s">
        <v>611</v>
      </c>
      <c r="G1617" s="2" t="s">
        <v>120</v>
      </c>
      <c r="H1617" s="2" t="s">
        <v>23</v>
      </c>
      <c r="I1617" s="2" t="s">
        <v>24</v>
      </c>
      <c r="J1617" s="2">
        <v>1</v>
      </c>
      <c r="K1617" s="2" t="s">
        <v>1163</v>
      </c>
      <c r="L1617" s="2"/>
      <c r="M1617" s="2">
        <v>0</v>
      </c>
      <c r="N1617" s="2">
        <v>7.99</v>
      </c>
      <c r="O1617" s="2">
        <v>20.98</v>
      </c>
      <c r="P1617" s="2" t="s">
        <v>27</v>
      </c>
      <c r="Q1617" s="2" t="s">
        <v>28</v>
      </c>
      <c r="R1617" s="2" t="s">
        <v>52</v>
      </c>
      <c r="S1617" s="2" t="s">
        <v>43</v>
      </c>
      <c r="T1617" s="2"/>
      <c r="U1617" s="2" t="str">
        <f t="shared" si="76"/>
        <v>Not Required</v>
      </c>
      <c r="V1617" s="2" t="s">
        <v>4297</v>
      </c>
    </row>
    <row r="1618" spans="1:22" hidden="1" x14ac:dyDescent="0.3">
      <c r="A1618" s="2" t="s">
        <v>4298</v>
      </c>
      <c r="B1618" s="12">
        <f t="shared" si="75"/>
        <v>46120</v>
      </c>
      <c r="C1618" s="13" t="s">
        <v>142</v>
      </c>
      <c r="D1618" s="2" t="s">
        <v>331</v>
      </c>
      <c r="E1618" s="2" t="str">
        <f t="shared" si="77"/>
        <v>Email Available</v>
      </c>
      <c r="F1618" s="2" t="s">
        <v>332</v>
      </c>
      <c r="G1618" s="2" t="s">
        <v>87</v>
      </c>
      <c r="H1618" s="2" t="s">
        <v>88</v>
      </c>
      <c r="I1618" s="2" t="s">
        <v>89</v>
      </c>
      <c r="J1618" s="2">
        <v>1</v>
      </c>
      <c r="K1618" s="2">
        <v>54.99</v>
      </c>
      <c r="L1618" s="2" t="s">
        <v>208</v>
      </c>
      <c r="M1618" s="2">
        <v>8.25</v>
      </c>
      <c r="N1618" s="2">
        <v>4.99</v>
      </c>
      <c r="O1618" s="2">
        <v>51.73</v>
      </c>
      <c r="P1618" s="2" t="s">
        <v>68</v>
      </c>
      <c r="Q1618" s="2" t="s">
        <v>114</v>
      </c>
      <c r="R1618" s="2" t="s">
        <v>42</v>
      </c>
      <c r="S1618" s="2" t="s">
        <v>30</v>
      </c>
      <c r="T1618" s="2" t="s">
        <v>69</v>
      </c>
      <c r="U1618" s="2" t="str">
        <f t="shared" si="76"/>
        <v>Valid</v>
      </c>
      <c r="V1618" s="2" t="s">
        <v>4299</v>
      </c>
    </row>
    <row r="1619" spans="1:22" hidden="1" x14ac:dyDescent="0.3">
      <c r="A1619" s="2" t="s">
        <v>4300</v>
      </c>
      <c r="B1619" s="12">
        <f t="shared" si="75"/>
        <v>46238.588941608803</v>
      </c>
      <c r="C1619" s="13">
        <v>46238.588941608803</v>
      </c>
      <c r="D1619" s="2" t="s">
        <v>853</v>
      </c>
      <c r="E1619" s="2" t="str">
        <f t="shared" si="77"/>
        <v>Email Available</v>
      </c>
      <c r="F1619" s="2" t="s">
        <v>854</v>
      </c>
      <c r="G1619" s="2" t="s">
        <v>284</v>
      </c>
      <c r="H1619" s="2" t="s">
        <v>23</v>
      </c>
      <c r="I1619" s="2" t="s">
        <v>285</v>
      </c>
      <c r="J1619" s="2">
        <v>1</v>
      </c>
      <c r="K1619" s="2">
        <v>24.99</v>
      </c>
      <c r="L1619" s="2" t="s">
        <v>208</v>
      </c>
      <c r="M1619" s="2">
        <v>3.75</v>
      </c>
      <c r="N1619" s="2">
        <v>5.99</v>
      </c>
      <c r="O1619" s="2">
        <v>27.23</v>
      </c>
      <c r="P1619" s="2" t="s">
        <v>74</v>
      </c>
      <c r="Q1619" s="2" t="s">
        <v>114</v>
      </c>
      <c r="R1619" s="2" t="s">
        <v>29</v>
      </c>
      <c r="S1619" s="2" t="s">
        <v>30</v>
      </c>
      <c r="T1619" s="2" t="s">
        <v>139</v>
      </c>
      <c r="U1619" s="2" t="str">
        <f t="shared" si="76"/>
        <v>Valid</v>
      </c>
      <c r="V1619" s="2" t="s">
        <v>2592</v>
      </c>
    </row>
    <row r="1620" spans="1:22" hidden="1" x14ac:dyDescent="0.3">
      <c r="A1620" s="2" t="s">
        <v>4301</v>
      </c>
      <c r="B1620" s="12">
        <f t="shared" si="75"/>
        <v>46238.580615775463</v>
      </c>
      <c r="C1620" s="13">
        <v>46238.580615775463</v>
      </c>
      <c r="D1620" s="2" t="s">
        <v>1463</v>
      </c>
      <c r="E1620" s="2" t="str">
        <f t="shared" si="77"/>
        <v>Email Available</v>
      </c>
      <c r="F1620" s="2" t="s">
        <v>1464</v>
      </c>
      <c r="G1620" s="2" t="s">
        <v>58</v>
      </c>
      <c r="H1620" s="2" t="s">
        <v>23</v>
      </c>
      <c r="I1620" s="2" t="s">
        <v>59</v>
      </c>
      <c r="J1620" s="2">
        <v>1</v>
      </c>
      <c r="K1620" s="2">
        <v>9.99</v>
      </c>
      <c r="L1620" s="2" t="s">
        <v>25</v>
      </c>
      <c r="M1620" s="2">
        <v>2</v>
      </c>
      <c r="N1620" s="2">
        <v>4.99</v>
      </c>
      <c r="O1620" s="2">
        <v>12.98</v>
      </c>
      <c r="P1620" s="2" t="s">
        <v>74</v>
      </c>
      <c r="Q1620" s="2" t="s">
        <v>28</v>
      </c>
      <c r="R1620" s="2" t="s">
        <v>42</v>
      </c>
      <c r="S1620" s="2" t="s">
        <v>43</v>
      </c>
      <c r="T1620" s="2"/>
      <c r="U1620" s="2" t="str">
        <f t="shared" si="76"/>
        <v>Not Required</v>
      </c>
      <c r="V1620" s="2" t="s">
        <v>4302</v>
      </c>
    </row>
    <row r="1621" spans="1:22" hidden="1" x14ac:dyDescent="0.3">
      <c r="A1621" s="2" t="s">
        <v>4303</v>
      </c>
      <c r="B1621" s="12">
        <f t="shared" si="75"/>
        <v>46238.582575405089</v>
      </c>
      <c r="C1621" s="13">
        <v>46238.582575405089</v>
      </c>
      <c r="D1621" s="2" t="s">
        <v>149</v>
      </c>
      <c r="E1621" s="2" t="str">
        <f t="shared" si="77"/>
        <v>Email Available</v>
      </c>
      <c r="F1621" s="2" t="s">
        <v>150</v>
      </c>
      <c r="G1621" s="2" t="s">
        <v>58</v>
      </c>
      <c r="H1621" s="2" t="s">
        <v>23</v>
      </c>
      <c r="I1621" s="2" t="s">
        <v>59</v>
      </c>
      <c r="J1621" s="2">
        <v>1</v>
      </c>
      <c r="K1621" s="2">
        <v>9.99</v>
      </c>
      <c r="L1621" s="2" t="s">
        <v>121</v>
      </c>
      <c r="M1621" s="2">
        <v>2.5</v>
      </c>
      <c r="N1621" s="2">
        <v>4.99</v>
      </c>
      <c r="O1621" s="2">
        <v>12.48</v>
      </c>
      <c r="P1621" s="2" t="s">
        <v>27</v>
      </c>
      <c r="Q1621" s="2" t="s">
        <v>41</v>
      </c>
      <c r="R1621" s="2" t="s">
        <v>52</v>
      </c>
      <c r="S1621" s="2" t="s">
        <v>108</v>
      </c>
      <c r="T1621" s="2"/>
      <c r="U1621" s="2" t="str">
        <f t="shared" si="76"/>
        <v>Not Required</v>
      </c>
      <c r="V1621" s="2" t="s">
        <v>4304</v>
      </c>
    </row>
    <row r="1622" spans="1:22" hidden="1" x14ac:dyDescent="0.3">
      <c r="A1622" s="2" t="s">
        <v>4305</v>
      </c>
      <c r="B1622" s="12">
        <f t="shared" si="75"/>
        <v>46238.582415682868</v>
      </c>
      <c r="C1622" s="13">
        <v>46238.582415682868</v>
      </c>
      <c r="D1622" s="2" t="s">
        <v>211</v>
      </c>
      <c r="E1622" s="2" t="str">
        <f t="shared" si="77"/>
        <v>Email Available</v>
      </c>
      <c r="F1622" s="2" t="s">
        <v>212</v>
      </c>
      <c r="G1622" s="2" t="s">
        <v>266</v>
      </c>
      <c r="H1622" s="2" t="s">
        <v>37</v>
      </c>
      <c r="I1622" s="2" t="s">
        <v>267</v>
      </c>
      <c r="J1622" s="2">
        <v>1</v>
      </c>
      <c r="K1622" s="2">
        <v>15.49</v>
      </c>
      <c r="L1622" s="2"/>
      <c r="M1622" s="2">
        <v>0</v>
      </c>
      <c r="N1622" s="2">
        <v>4.99</v>
      </c>
      <c r="O1622" s="2">
        <v>20.48</v>
      </c>
      <c r="P1622" s="2" t="s">
        <v>68</v>
      </c>
      <c r="Q1622" s="2" t="s">
        <v>41</v>
      </c>
      <c r="R1622" s="2" t="s">
        <v>52</v>
      </c>
      <c r="S1622" s="2" t="s">
        <v>108</v>
      </c>
      <c r="T1622" s="2"/>
      <c r="U1622" s="2" t="str">
        <f t="shared" si="76"/>
        <v>Not Required</v>
      </c>
      <c r="V1622" s="2" t="s">
        <v>4306</v>
      </c>
    </row>
    <row r="1623" spans="1:22" hidden="1" x14ac:dyDescent="0.3">
      <c r="A1623" s="2" t="s">
        <v>4307</v>
      </c>
      <c r="B1623" s="12">
        <f t="shared" si="75"/>
        <v>46238.584310092592</v>
      </c>
      <c r="C1623" s="13">
        <v>46238.584310092592</v>
      </c>
      <c r="D1623" s="2" t="s">
        <v>416</v>
      </c>
      <c r="E1623" s="2" t="str">
        <f t="shared" si="77"/>
        <v>Email Available</v>
      </c>
      <c r="F1623" s="2" t="s">
        <v>417</v>
      </c>
      <c r="G1623" s="2" t="s">
        <v>120</v>
      </c>
      <c r="H1623" s="2" t="s">
        <v>23</v>
      </c>
      <c r="I1623" s="2" t="s">
        <v>24</v>
      </c>
      <c r="J1623" s="2">
        <v>1</v>
      </c>
      <c r="K1623" s="2">
        <v>12.99</v>
      </c>
      <c r="L1623" s="2" t="s">
        <v>121</v>
      </c>
      <c r="M1623" s="2">
        <v>3.25</v>
      </c>
      <c r="N1623" s="2">
        <v>5.99</v>
      </c>
      <c r="O1623" s="2">
        <v>15.73</v>
      </c>
      <c r="P1623" s="2" t="s">
        <v>40</v>
      </c>
      <c r="Q1623" s="2" t="s">
        <v>114</v>
      </c>
      <c r="R1623" s="2" t="s">
        <v>42</v>
      </c>
      <c r="S1623" s="2" t="s">
        <v>43</v>
      </c>
      <c r="T1623" s="2"/>
      <c r="U1623" s="2" t="str">
        <f t="shared" si="76"/>
        <v>Not Required</v>
      </c>
      <c r="V1623" s="2" t="s">
        <v>4308</v>
      </c>
    </row>
    <row r="1624" spans="1:22" hidden="1" x14ac:dyDescent="0.3">
      <c r="A1624" s="2" t="s">
        <v>4309</v>
      </c>
      <c r="B1624" s="12">
        <f t="shared" si="75"/>
        <v>46238</v>
      </c>
      <c r="C1624" s="13" t="s">
        <v>148</v>
      </c>
      <c r="D1624" s="2" t="s">
        <v>845</v>
      </c>
      <c r="E1624" s="2" t="str">
        <f t="shared" si="77"/>
        <v>Email Available</v>
      </c>
      <c r="F1624" s="2" t="s">
        <v>846</v>
      </c>
      <c r="G1624" s="2" t="s">
        <v>105</v>
      </c>
      <c r="H1624" s="2" t="s">
        <v>106</v>
      </c>
      <c r="I1624" s="2" t="s">
        <v>107</v>
      </c>
      <c r="J1624" s="2">
        <v>1</v>
      </c>
      <c r="K1624" s="2">
        <v>19.989999999999998</v>
      </c>
      <c r="L1624" s="2" t="s">
        <v>121</v>
      </c>
      <c r="M1624" s="2" t="s">
        <v>931</v>
      </c>
      <c r="N1624" s="2">
        <v>4.99</v>
      </c>
      <c r="O1624" s="2">
        <v>19.98</v>
      </c>
      <c r="P1624" s="2" t="s">
        <v>51</v>
      </c>
      <c r="Q1624" s="2" t="s">
        <v>28</v>
      </c>
      <c r="R1624" s="2" t="s">
        <v>52</v>
      </c>
      <c r="S1624" s="2" t="s">
        <v>30</v>
      </c>
      <c r="T1624" s="2" t="s">
        <v>248</v>
      </c>
      <c r="U1624" s="2" t="str">
        <f t="shared" si="76"/>
        <v>Valid</v>
      </c>
      <c r="V1624" s="2" t="s">
        <v>4310</v>
      </c>
    </row>
    <row r="1625" spans="1:22" hidden="1" x14ac:dyDescent="0.3">
      <c r="A1625" s="2" t="s">
        <v>4311</v>
      </c>
      <c r="B1625" s="12">
        <f t="shared" si="75"/>
        <v>46238.582255555557</v>
      </c>
      <c r="C1625" s="13">
        <v>46238.582255555557</v>
      </c>
      <c r="D1625" s="2" t="s">
        <v>4294</v>
      </c>
      <c r="E1625" s="2" t="str">
        <f t="shared" si="77"/>
        <v>Email Available</v>
      </c>
      <c r="F1625" s="2" t="s">
        <v>4085</v>
      </c>
      <c r="G1625" s="2" t="s">
        <v>3355</v>
      </c>
      <c r="H1625" s="2" t="s">
        <v>37</v>
      </c>
      <c r="I1625" s="2" t="s">
        <v>267</v>
      </c>
      <c r="J1625" s="2">
        <v>1</v>
      </c>
      <c r="K1625" s="2">
        <v>15.49</v>
      </c>
      <c r="L1625" s="2" t="s">
        <v>39</v>
      </c>
      <c r="M1625" s="2" t="s">
        <v>189</v>
      </c>
      <c r="N1625" s="2">
        <v>0</v>
      </c>
      <c r="O1625" s="2">
        <v>0</v>
      </c>
      <c r="P1625" s="2" t="s">
        <v>40</v>
      </c>
      <c r="Q1625" s="2" t="s">
        <v>41</v>
      </c>
      <c r="R1625" s="2" t="s">
        <v>42</v>
      </c>
      <c r="S1625" s="2" t="s">
        <v>30</v>
      </c>
      <c r="T1625" s="2" t="s">
        <v>69</v>
      </c>
      <c r="U1625" s="2" t="str">
        <f t="shared" si="76"/>
        <v>Valid</v>
      </c>
      <c r="V1625" s="2" t="s">
        <v>4312</v>
      </c>
    </row>
    <row r="1626" spans="1:22" hidden="1" x14ac:dyDescent="0.3">
      <c r="A1626" s="2" t="s">
        <v>4313</v>
      </c>
      <c r="B1626" s="12">
        <f>DATE(VALUE(RIGHT(C1626,4)),MATCH(LEFT(C1626,3),{"Jan","Feb","Mar","Apr","May","Jun","Jul","Aug","Sep","Oct","Nov","Dec"},0),VALUE(MID(C1626,5,2)))</f>
        <v>46238</v>
      </c>
      <c r="C1626" s="13" t="s">
        <v>176</v>
      </c>
      <c r="D1626" s="2" t="s">
        <v>1294</v>
      </c>
      <c r="E1626" s="2" t="str">
        <f t="shared" si="77"/>
        <v>Email Available</v>
      </c>
      <c r="F1626" s="2" t="s">
        <v>1275</v>
      </c>
      <c r="G1626" s="2" t="s">
        <v>195</v>
      </c>
      <c r="H1626" s="2" t="s">
        <v>196</v>
      </c>
      <c r="I1626" s="2" t="s">
        <v>197</v>
      </c>
      <c r="J1626" s="2">
        <v>1</v>
      </c>
      <c r="K1626" s="2">
        <v>13.49</v>
      </c>
      <c r="L1626" s="2"/>
      <c r="M1626" s="2">
        <v>0</v>
      </c>
      <c r="N1626" s="2">
        <v>4.99</v>
      </c>
      <c r="O1626" s="2">
        <v>18.48</v>
      </c>
      <c r="P1626" s="2" t="s">
        <v>74</v>
      </c>
      <c r="Q1626" s="2" t="s">
        <v>114</v>
      </c>
      <c r="R1626" s="2" t="s">
        <v>99</v>
      </c>
      <c r="S1626" s="2" t="s">
        <v>108</v>
      </c>
      <c r="T1626" s="2"/>
      <c r="U1626" s="2" t="str">
        <f t="shared" si="76"/>
        <v>Not Required</v>
      </c>
      <c r="V1626" s="2" t="s">
        <v>4314</v>
      </c>
    </row>
    <row r="1627" spans="1:22" hidden="1" x14ac:dyDescent="0.3">
      <c r="A1627" s="2" t="s">
        <v>4315</v>
      </c>
      <c r="B1627" s="12">
        <f t="shared" si="75"/>
        <v>46238.585652974543</v>
      </c>
      <c r="C1627" s="13">
        <v>46238.585652974543</v>
      </c>
      <c r="D1627" s="2" t="s">
        <v>4316</v>
      </c>
      <c r="E1627" s="2" t="str">
        <f t="shared" si="77"/>
        <v>Email Available</v>
      </c>
      <c r="F1627" s="2" t="s">
        <v>170</v>
      </c>
      <c r="G1627" s="2" t="s">
        <v>36</v>
      </c>
      <c r="H1627" s="2" t="s">
        <v>37</v>
      </c>
      <c r="I1627" s="2" t="s">
        <v>38</v>
      </c>
      <c r="J1627" s="2">
        <v>1</v>
      </c>
      <c r="K1627" s="2">
        <v>21.99</v>
      </c>
      <c r="L1627" s="2"/>
      <c r="M1627" s="2">
        <v>0</v>
      </c>
      <c r="N1627" s="2">
        <v>5.99</v>
      </c>
      <c r="O1627" s="2">
        <v>27.98</v>
      </c>
      <c r="P1627" s="2" t="s">
        <v>74</v>
      </c>
      <c r="Q1627" s="2" t="s">
        <v>41</v>
      </c>
      <c r="R1627" s="2" t="s">
        <v>29</v>
      </c>
      <c r="S1627" s="2" t="s">
        <v>108</v>
      </c>
      <c r="T1627" s="2"/>
      <c r="U1627" s="2" t="str">
        <f t="shared" si="76"/>
        <v>Not Required</v>
      </c>
      <c r="V1627" s="2" t="s">
        <v>4317</v>
      </c>
    </row>
    <row r="1628" spans="1:22" hidden="1" x14ac:dyDescent="0.3">
      <c r="A1628" s="2" t="s">
        <v>4318</v>
      </c>
      <c r="B1628" s="12">
        <f t="shared" si="75"/>
        <v>46238</v>
      </c>
      <c r="C1628" s="13" t="s">
        <v>148</v>
      </c>
      <c r="D1628" s="2" t="s">
        <v>948</v>
      </c>
      <c r="E1628" s="2" t="str">
        <f t="shared" si="77"/>
        <v>Email Available</v>
      </c>
      <c r="F1628" s="2" t="s">
        <v>949</v>
      </c>
      <c r="G1628" s="2" t="s">
        <v>226</v>
      </c>
      <c r="H1628" s="2" t="s">
        <v>23</v>
      </c>
      <c r="I1628" s="2" t="s">
        <v>227</v>
      </c>
      <c r="J1628" s="2">
        <v>2</v>
      </c>
      <c r="K1628" s="2">
        <v>17.989999999999998</v>
      </c>
      <c r="L1628" s="2" t="s">
        <v>208</v>
      </c>
      <c r="M1628" s="2">
        <v>5.4</v>
      </c>
      <c r="N1628" s="2">
        <v>7.99</v>
      </c>
      <c r="O1628" s="2">
        <v>38.57</v>
      </c>
      <c r="P1628" s="2" t="s">
        <v>40</v>
      </c>
      <c r="Q1628" s="2" t="s">
        <v>28</v>
      </c>
      <c r="R1628" s="2" t="s">
        <v>52</v>
      </c>
      <c r="S1628" s="2" t="s">
        <v>30</v>
      </c>
      <c r="T1628" s="2" t="s">
        <v>69</v>
      </c>
      <c r="U1628" s="2" t="str">
        <f t="shared" si="76"/>
        <v>Valid</v>
      </c>
      <c r="V1628" s="2" t="s">
        <v>4319</v>
      </c>
    </row>
    <row r="1629" spans="1:22" hidden="1" x14ac:dyDescent="0.3">
      <c r="A1629" s="2" t="s">
        <v>4320</v>
      </c>
      <c r="B1629" s="12">
        <f t="shared" si="75"/>
        <v>46238.583300138889</v>
      </c>
      <c r="C1629" s="13">
        <v>46238.583300138889</v>
      </c>
      <c r="D1629" s="2" t="s">
        <v>4321</v>
      </c>
      <c r="E1629" s="2" t="str">
        <f t="shared" si="77"/>
        <v>Email Available</v>
      </c>
      <c r="F1629" s="2" t="s">
        <v>980</v>
      </c>
      <c r="G1629" s="2" t="s">
        <v>284</v>
      </c>
      <c r="H1629" s="2" t="s">
        <v>23</v>
      </c>
      <c r="I1629" s="2" t="s">
        <v>285</v>
      </c>
      <c r="J1629" s="2">
        <v>1</v>
      </c>
      <c r="K1629" s="2">
        <v>24.99</v>
      </c>
      <c r="L1629" s="2"/>
      <c r="M1629" s="2" t="s">
        <v>189</v>
      </c>
      <c r="N1629" s="2">
        <v>5.99</v>
      </c>
      <c r="O1629" s="2">
        <v>30.98</v>
      </c>
      <c r="P1629" s="2" t="s">
        <v>51</v>
      </c>
      <c r="Q1629" s="2" t="s">
        <v>28</v>
      </c>
      <c r="R1629" s="2" t="s">
        <v>29</v>
      </c>
      <c r="S1629" s="2" t="s">
        <v>75</v>
      </c>
      <c r="T1629" s="2"/>
      <c r="U1629" s="2" t="str">
        <f t="shared" si="76"/>
        <v>Not Required</v>
      </c>
      <c r="V1629" s="2" t="s">
        <v>4322</v>
      </c>
    </row>
    <row r="1630" spans="1:22" hidden="1" x14ac:dyDescent="0.3">
      <c r="A1630" s="2" t="s">
        <v>4325</v>
      </c>
      <c r="B1630" s="12">
        <f t="shared" si="75"/>
        <v>46238.585481539347</v>
      </c>
      <c r="C1630" s="13">
        <v>46238.585481539347</v>
      </c>
      <c r="D1630" s="2" t="s">
        <v>565</v>
      </c>
      <c r="E1630" s="2" t="str">
        <f t="shared" si="77"/>
        <v>Email Available</v>
      </c>
      <c r="F1630" s="2" t="s">
        <v>566</v>
      </c>
      <c r="G1630" s="2" t="s">
        <v>133</v>
      </c>
      <c r="H1630" s="2" t="s">
        <v>106</v>
      </c>
      <c r="I1630" s="2" t="s">
        <v>134</v>
      </c>
      <c r="J1630" s="2">
        <v>1</v>
      </c>
      <c r="K1630" s="2">
        <v>16.989999999999998</v>
      </c>
      <c r="L1630" s="2" t="s">
        <v>121</v>
      </c>
      <c r="M1630" s="2">
        <v>4.25</v>
      </c>
      <c r="N1630" s="2">
        <v>7.99</v>
      </c>
      <c r="O1630" s="2">
        <v>20.73</v>
      </c>
      <c r="P1630" s="2" t="s">
        <v>74</v>
      </c>
      <c r="Q1630" s="2" t="s">
        <v>90</v>
      </c>
      <c r="R1630" s="2" t="s">
        <v>52</v>
      </c>
      <c r="S1630" s="2" t="s">
        <v>43</v>
      </c>
      <c r="T1630" s="2"/>
      <c r="U1630" s="2" t="str">
        <f t="shared" si="76"/>
        <v>Not Required</v>
      </c>
      <c r="V1630" s="2" t="s">
        <v>4326</v>
      </c>
    </row>
    <row r="1631" spans="1:22" hidden="1" x14ac:dyDescent="0.3">
      <c r="A1631" s="2" t="s">
        <v>4327</v>
      </c>
      <c r="B1631" s="12">
        <f t="shared" si="75"/>
        <v>46238.580665717593</v>
      </c>
      <c r="C1631" s="13">
        <v>46238.580665717593</v>
      </c>
      <c r="D1631" s="2" t="s">
        <v>428</v>
      </c>
      <c r="E1631" s="2" t="str">
        <f t="shared" si="77"/>
        <v>Email Available</v>
      </c>
      <c r="F1631" s="2" t="s">
        <v>429</v>
      </c>
      <c r="G1631" s="2" t="s">
        <v>80</v>
      </c>
      <c r="H1631" s="2" t="s">
        <v>81</v>
      </c>
      <c r="I1631" s="2" t="s">
        <v>82</v>
      </c>
      <c r="J1631" s="2">
        <v>1</v>
      </c>
      <c r="K1631" s="2">
        <v>89.99</v>
      </c>
      <c r="L1631" s="2"/>
      <c r="M1631" s="2" t="s">
        <v>189</v>
      </c>
      <c r="N1631" s="2">
        <v>0</v>
      </c>
      <c r="O1631" s="2">
        <v>89.99</v>
      </c>
      <c r="P1631" s="2" t="s">
        <v>74</v>
      </c>
      <c r="Q1631" s="2" t="s">
        <v>28</v>
      </c>
      <c r="R1631" s="2" t="s">
        <v>99</v>
      </c>
      <c r="S1631" s="2" t="s">
        <v>30</v>
      </c>
      <c r="T1631" s="2" t="s">
        <v>347</v>
      </c>
      <c r="U1631" s="2" t="str">
        <f t="shared" si="76"/>
        <v>Valid</v>
      </c>
      <c r="V1631" s="2" t="s">
        <v>4328</v>
      </c>
    </row>
    <row r="1632" spans="1:22" hidden="1" x14ac:dyDescent="0.3">
      <c r="A1632" s="2" t="s">
        <v>4329</v>
      </c>
      <c r="B1632" s="12">
        <f t="shared" si="75"/>
        <v>46238.584993935183</v>
      </c>
      <c r="C1632" s="13">
        <v>46238.584993935183</v>
      </c>
      <c r="D1632" s="2" t="s">
        <v>4330</v>
      </c>
      <c r="E1632" s="2" t="str">
        <f t="shared" si="77"/>
        <v>Email Available</v>
      </c>
      <c r="F1632" s="2" t="s">
        <v>4331</v>
      </c>
      <c r="G1632" s="2" t="s">
        <v>272</v>
      </c>
      <c r="H1632" s="2" t="s">
        <v>23</v>
      </c>
      <c r="I1632" s="2" t="s">
        <v>273</v>
      </c>
      <c r="J1632" s="2">
        <v>1</v>
      </c>
      <c r="K1632" s="2">
        <v>18.989999999999998</v>
      </c>
      <c r="L1632" s="2"/>
      <c r="M1632" s="2">
        <v>0</v>
      </c>
      <c r="N1632" s="2">
        <v>5.99</v>
      </c>
      <c r="O1632" s="2">
        <v>24.98</v>
      </c>
      <c r="P1632" s="2" t="s">
        <v>27</v>
      </c>
      <c r="Q1632" s="2" t="s">
        <v>114</v>
      </c>
      <c r="R1632" s="2" t="s">
        <v>52</v>
      </c>
      <c r="S1632" s="2" t="s">
        <v>30</v>
      </c>
      <c r="T1632" s="2" t="s">
        <v>145</v>
      </c>
      <c r="U1632" s="2" t="str">
        <f t="shared" si="76"/>
        <v>Valid</v>
      </c>
      <c r="V1632" s="2" t="s">
        <v>4332</v>
      </c>
    </row>
    <row r="1633" spans="1:22" hidden="1" x14ac:dyDescent="0.3">
      <c r="A1633" s="2" t="s">
        <v>4333</v>
      </c>
      <c r="B1633" s="12">
        <f t="shared" si="75"/>
        <v>46120</v>
      </c>
      <c r="C1633" s="13" t="s">
        <v>142</v>
      </c>
      <c r="D1633" s="2" t="s">
        <v>292</v>
      </c>
      <c r="E1633" s="2" t="str">
        <f t="shared" si="77"/>
        <v>Email Available</v>
      </c>
      <c r="F1633" s="2" t="s">
        <v>293</v>
      </c>
      <c r="G1633" s="2" t="s">
        <v>58</v>
      </c>
      <c r="H1633" s="2" t="s">
        <v>23</v>
      </c>
      <c r="I1633" s="2" t="s">
        <v>59</v>
      </c>
      <c r="J1633" s="2">
        <v>1</v>
      </c>
      <c r="K1633" s="2">
        <v>9.99</v>
      </c>
      <c r="L1633" s="2" t="s">
        <v>67</v>
      </c>
      <c r="M1633" s="2">
        <v>1</v>
      </c>
      <c r="N1633" s="2">
        <v>7.99</v>
      </c>
      <c r="O1633" s="2">
        <v>16.98</v>
      </c>
      <c r="P1633" s="2" t="s">
        <v>40</v>
      </c>
      <c r="Q1633" s="2" t="s">
        <v>28</v>
      </c>
      <c r="R1633" s="2" t="s">
        <v>52</v>
      </c>
      <c r="S1633" s="2" t="s">
        <v>30</v>
      </c>
      <c r="T1633" s="2" t="s">
        <v>454</v>
      </c>
      <c r="U1633" s="2" t="str">
        <f t="shared" si="76"/>
        <v>Valid</v>
      </c>
      <c r="V1633" s="2" t="s">
        <v>4334</v>
      </c>
    </row>
    <row r="1634" spans="1:22" hidden="1" x14ac:dyDescent="0.3">
      <c r="A1634" s="2" t="s">
        <v>4335</v>
      </c>
      <c r="B1634" s="12">
        <f t="shared" si="75"/>
        <v>46238.583898657409</v>
      </c>
      <c r="C1634" s="13">
        <v>46238.583898657409</v>
      </c>
      <c r="D1634" s="2" t="s">
        <v>177</v>
      </c>
      <c r="E1634" s="2" t="str">
        <f t="shared" si="77"/>
        <v>Email Available</v>
      </c>
      <c r="F1634" s="2" t="s">
        <v>178</v>
      </c>
      <c r="G1634" s="2" t="s">
        <v>65</v>
      </c>
      <c r="H1634" s="2" t="s">
        <v>49</v>
      </c>
      <c r="I1634" s="2" t="s">
        <v>453</v>
      </c>
      <c r="J1634" s="2">
        <v>2</v>
      </c>
      <c r="K1634" s="2">
        <v>14.99</v>
      </c>
      <c r="L1634" s="2" t="s">
        <v>39</v>
      </c>
      <c r="M1634" s="2">
        <v>0</v>
      </c>
      <c r="N1634" s="2">
        <v>0</v>
      </c>
      <c r="O1634" s="2">
        <v>29.98</v>
      </c>
      <c r="P1634" s="2" t="s">
        <v>74</v>
      </c>
      <c r="Q1634" s="2" t="s">
        <v>28</v>
      </c>
      <c r="R1634" s="2" t="s">
        <v>52</v>
      </c>
      <c r="S1634" s="2" t="s">
        <v>30</v>
      </c>
      <c r="T1634" s="2" t="s">
        <v>115</v>
      </c>
      <c r="U1634" s="2" t="str">
        <f t="shared" si="76"/>
        <v>Valid</v>
      </c>
      <c r="V1634" s="2" t="s">
        <v>4336</v>
      </c>
    </row>
    <row r="1635" spans="1:22" hidden="1" x14ac:dyDescent="0.3">
      <c r="A1635" s="2" t="s">
        <v>4337</v>
      </c>
      <c r="B1635" s="12">
        <f t="shared" si="75"/>
        <v>46238.582727430563</v>
      </c>
      <c r="C1635" s="13">
        <v>46238.582727430563</v>
      </c>
      <c r="D1635" s="2" t="s">
        <v>4338</v>
      </c>
      <c r="E1635" s="2" t="str">
        <f t="shared" si="77"/>
        <v>Email Available</v>
      </c>
      <c r="F1635" s="2" t="s">
        <v>4339</v>
      </c>
      <c r="G1635" s="2" t="s">
        <v>58</v>
      </c>
      <c r="H1635" s="2" t="s">
        <v>23</v>
      </c>
      <c r="I1635" s="2" t="s">
        <v>59</v>
      </c>
      <c r="J1635" s="2">
        <v>1</v>
      </c>
      <c r="K1635" s="2">
        <v>9.99</v>
      </c>
      <c r="L1635" s="2"/>
      <c r="M1635" s="2">
        <v>0</v>
      </c>
      <c r="N1635" s="2">
        <v>5.99</v>
      </c>
      <c r="O1635" s="2">
        <v>15.98</v>
      </c>
      <c r="P1635" s="2" t="s">
        <v>40</v>
      </c>
      <c r="Q1635" s="2" t="s">
        <v>90</v>
      </c>
      <c r="R1635" s="2" t="s">
        <v>52</v>
      </c>
      <c r="S1635" s="2" t="s">
        <v>30</v>
      </c>
      <c r="T1635" s="2" t="s">
        <v>347</v>
      </c>
      <c r="U1635" s="2" t="str">
        <f t="shared" si="76"/>
        <v>Valid</v>
      </c>
      <c r="V1635" s="2" t="s">
        <v>4340</v>
      </c>
    </row>
    <row r="1636" spans="1:22" hidden="1" x14ac:dyDescent="0.3">
      <c r="A1636" s="2" t="s">
        <v>4341</v>
      </c>
      <c r="B1636" s="12">
        <f t="shared" si="75"/>
        <v>46238.580577569453</v>
      </c>
      <c r="C1636" s="13">
        <v>46238.580577569453</v>
      </c>
      <c r="D1636" s="2" t="s">
        <v>621</v>
      </c>
      <c r="E1636" s="2" t="str">
        <f t="shared" si="77"/>
        <v>Email Available</v>
      </c>
      <c r="F1636" s="2" t="s">
        <v>622</v>
      </c>
      <c r="G1636" s="2" t="s">
        <v>36</v>
      </c>
      <c r="H1636" s="2" t="s">
        <v>37</v>
      </c>
      <c r="I1636" s="2" t="s">
        <v>38</v>
      </c>
      <c r="J1636" s="2">
        <v>1</v>
      </c>
      <c r="K1636" s="2">
        <v>21.99</v>
      </c>
      <c r="L1636" s="2"/>
      <c r="M1636" s="2">
        <v>0</v>
      </c>
      <c r="N1636" s="2">
        <v>7.99</v>
      </c>
      <c r="O1636" s="2">
        <v>29.98</v>
      </c>
      <c r="P1636" s="2" t="s">
        <v>40</v>
      </c>
      <c r="Q1636" s="2" t="s">
        <v>28</v>
      </c>
      <c r="R1636" s="2" t="s">
        <v>52</v>
      </c>
      <c r="S1636" s="2" t="s">
        <v>30</v>
      </c>
      <c r="T1636" s="2" t="s">
        <v>60</v>
      </c>
      <c r="U1636" s="2" t="str">
        <f t="shared" si="76"/>
        <v>Valid</v>
      </c>
      <c r="V1636" s="2" t="s">
        <v>4342</v>
      </c>
    </row>
    <row r="1637" spans="1:22" hidden="1" x14ac:dyDescent="0.3">
      <c r="A1637" s="2" t="s">
        <v>4343</v>
      </c>
      <c r="B1637" s="12">
        <f t="shared" si="75"/>
        <v>46238.582822372693</v>
      </c>
      <c r="C1637" s="13">
        <v>46238.582822372693</v>
      </c>
      <c r="D1637" s="2" t="s">
        <v>313</v>
      </c>
      <c r="E1637" s="2" t="str">
        <f t="shared" si="77"/>
        <v>Email Available</v>
      </c>
      <c r="F1637" s="2" t="s">
        <v>314</v>
      </c>
      <c r="G1637" s="2" t="s">
        <v>151</v>
      </c>
      <c r="H1637" s="2" t="s">
        <v>49</v>
      </c>
      <c r="I1637" s="2" t="s">
        <v>152</v>
      </c>
      <c r="J1637" s="2">
        <v>2</v>
      </c>
      <c r="K1637" s="2">
        <v>34.99</v>
      </c>
      <c r="L1637" s="2" t="s">
        <v>39</v>
      </c>
      <c r="M1637" s="2">
        <v>0</v>
      </c>
      <c r="N1637" s="2">
        <v>0</v>
      </c>
      <c r="O1637" s="2">
        <v>69.98</v>
      </c>
      <c r="P1637" s="2" t="s">
        <v>40</v>
      </c>
      <c r="Q1637" s="2" t="s">
        <v>28</v>
      </c>
      <c r="R1637" s="2" t="s">
        <v>99</v>
      </c>
      <c r="S1637" s="2" t="s">
        <v>108</v>
      </c>
      <c r="T1637" s="2"/>
      <c r="U1637" s="2" t="str">
        <f t="shared" si="76"/>
        <v>Not Required</v>
      </c>
      <c r="V1637" s="2" t="s">
        <v>4344</v>
      </c>
    </row>
    <row r="1638" spans="1:22" hidden="1" x14ac:dyDescent="0.3">
      <c r="A1638" s="2" t="s">
        <v>4345</v>
      </c>
      <c r="B1638" s="12">
        <f t="shared" si="75"/>
        <v>46238.588951759259</v>
      </c>
      <c r="C1638" s="13">
        <v>46238.588951759259</v>
      </c>
      <c r="D1638" s="2" t="s">
        <v>1098</v>
      </c>
      <c r="E1638" s="2" t="str">
        <f t="shared" si="77"/>
        <v>Email Available</v>
      </c>
      <c r="F1638" s="2" t="s">
        <v>1099</v>
      </c>
      <c r="G1638" s="2" t="s">
        <v>226</v>
      </c>
      <c r="H1638" s="2" t="s">
        <v>23</v>
      </c>
      <c r="I1638" s="2" t="s">
        <v>227</v>
      </c>
      <c r="J1638" s="2">
        <v>1</v>
      </c>
      <c r="K1638" s="2">
        <v>17.989999999999998</v>
      </c>
      <c r="L1638" s="2"/>
      <c r="M1638" s="2">
        <v>0</v>
      </c>
      <c r="N1638" s="2">
        <v>4.99</v>
      </c>
      <c r="O1638" s="2">
        <v>22.98</v>
      </c>
      <c r="P1638" s="2" t="s">
        <v>27</v>
      </c>
      <c r="Q1638" s="2" t="s">
        <v>41</v>
      </c>
      <c r="R1638" s="2" t="s">
        <v>52</v>
      </c>
      <c r="S1638" s="2" t="s">
        <v>30</v>
      </c>
      <c r="T1638" s="2" t="s">
        <v>145</v>
      </c>
      <c r="U1638" s="2" t="str">
        <f t="shared" si="76"/>
        <v>Valid</v>
      </c>
      <c r="V1638" s="2" t="s">
        <v>4346</v>
      </c>
    </row>
    <row r="1639" spans="1:22" hidden="1" x14ac:dyDescent="0.3">
      <c r="A1639" s="2" t="s">
        <v>4347</v>
      </c>
      <c r="B1639" s="12">
        <f t="shared" si="75"/>
        <v>46238.586173946758</v>
      </c>
      <c r="C1639" s="13">
        <v>46238.586173946758</v>
      </c>
      <c r="D1639" s="2" t="s">
        <v>3767</v>
      </c>
      <c r="E1639" s="2" t="str">
        <f t="shared" si="77"/>
        <v>Email Available</v>
      </c>
      <c r="F1639" s="2" t="s">
        <v>3768</v>
      </c>
      <c r="G1639" s="2" t="s">
        <v>48</v>
      </c>
      <c r="H1639" s="2" t="s">
        <v>49</v>
      </c>
      <c r="I1639" s="2" t="s">
        <v>50</v>
      </c>
      <c r="J1639" s="2">
        <v>1</v>
      </c>
      <c r="K1639" s="2" t="s">
        <v>1513</v>
      </c>
      <c r="L1639" s="2"/>
      <c r="M1639" s="2">
        <v>0</v>
      </c>
      <c r="N1639" s="2">
        <v>7.99</v>
      </c>
      <c r="O1639" s="2">
        <v>47.98</v>
      </c>
      <c r="P1639" s="2" t="s">
        <v>68</v>
      </c>
      <c r="Q1639" s="2" t="s">
        <v>90</v>
      </c>
      <c r="R1639" s="2" t="s">
        <v>52</v>
      </c>
      <c r="S1639" s="2" t="s">
        <v>43</v>
      </c>
      <c r="T1639" s="2"/>
      <c r="U1639" s="2" t="str">
        <f t="shared" si="76"/>
        <v>Not Required</v>
      </c>
      <c r="V1639" s="2" t="s">
        <v>4348</v>
      </c>
    </row>
    <row r="1640" spans="1:22" hidden="1" x14ac:dyDescent="0.3">
      <c r="A1640" s="2" t="s">
        <v>4349</v>
      </c>
      <c r="B1640" s="12">
        <f t="shared" si="75"/>
        <v>46238.584106851849</v>
      </c>
      <c r="C1640" s="13">
        <v>46238.584106851849</v>
      </c>
      <c r="D1640" s="2" t="s">
        <v>137</v>
      </c>
      <c r="E1640" s="2" t="str">
        <f t="shared" si="77"/>
        <v>Email Available</v>
      </c>
      <c r="F1640" s="2" t="s">
        <v>138</v>
      </c>
      <c r="G1640" s="2" t="s">
        <v>36</v>
      </c>
      <c r="H1640" s="2" t="s">
        <v>37</v>
      </c>
      <c r="I1640" s="2" t="s">
        <v>38</v>
      </c>
      <c r="J1640" s="2">
        <v>1</v>
      </c>
      <c r="K1640" s="2">
        <v>21.99</v>
      </c>
      <c r="L1640" s="2"/>
      <c r="M1640" s="2" t="s">
        <v>189</v>
      </c>
      <c r="N1640" s="2">
        <v>5.99</v>
      </c>
      <c r="O1640" s="2">
        <v>27.98</v>
      </c>
      <c r="P1640" s="2" t="s">
        <v>40</v>
      </c>
      <c r="Q1640" s="2" t="s">
        <v>28</v>
      </c>
      <c r="R1640" s="2" t="s">
        <v>52</v>
      </c>
      <c r="S1640" s="2" t="s">
        <v>30</v>
      </c>
      <c r="T1640" s="2" t="s">
        <v>248</v>
      </c>
      <c r="U1640" s="2" t="str">
        <f t="shared" si="76"/>
        <v>Valid</v>
      </c>
      <c r="V1640" s="2" t="s">
        <v>4350</v>
      </c>
    </row>
    <row r="1641" spans="1:22" hidden="1" x14ac:dyDescent="0.3">
      <c r="A1641" s="2" t="s">
        <v>4351</v>
      </c>
      <c r="B1641" s="12">
        <f t="shared" si="75"/>
        <v>46238.588628194448</v>
      </c>
      <c r="C1641" s="13">
        <v>46238.588628194448</v>
      </c>
      <c r="D1641" s="2" t="s">
        <v>3512</v>
      </c>
      <c r="E1641" s="2" t="str">
        <f t="shared" si="77"/>
        <v>Email Available</v>
      </c>
      <c r="F1641" s="2" t="s">
        <v>3513</v>
      </c>
      <c r="G1641" s="2" t="s">
        <v>65</v>
      </c>
      <c r="H1641" s="2" t="s">
        <v>49</v>
      </c>
      <c r="I1641" s="2" t="s">
        <v>66</v>
      </c>
      <c r="J1641" s="2">
        <v>4</v>
      </c>
      <c r="K1641" s="2">
        <v>14.99</v>
      </c>
      <c r="L1641" s="2"/>
      <c r="M1641" s="2">
        <v>0</v>
      </c>
      <c r="N1641" s="2">
        <v>4.99</v>
      </c>
      <c r="O1641" s="2">
        <v>64.95</v>
      </c>
      <c r="P1641" s="2" t="s">
        <v>40</v>
      </c>
      <c r="Q1641" s="2" t="s">
        <v>28</v>
      </c>
      <c r="R1641" s="2" t="s">
        <v>52</v>
      </c>
      <c r="S1641" s="2" t="s">
        <v>108</v>
      </c>
      <c r="T1641" s="2"/>
      <c r="U1641" s="2" t="str">
        <f t="shared" si="76"/>
        <v>Not Required</v>
      </c>
      <c r="V1641" s="2" t="s">
        <v>4352</v>
      </c>
    </row>
    <row r="1642" spans="1:22" hidden="1" x14ac:dyDescent="0.3">
      <c r="A1642" s="2" t="s">
        <v>4353</v>
      </c>
      <c r="B1642" s="12">
        <f t="shared" si="75"/>
        <v>46238.582907673612</v>
      </c>
      <c r="C1642" s="13">
        <v>46238.582907673612</v>
      </c>
      <c r="D1642" s="2" t="s">
        <v>461</v>
      </c>
      <c r="E1642" s="2" t="str">
        <f t="shared" si="77"/>
        <v>Email Available</v>
      </c>
      <c r="F1642" s="2" t="s">
        <v>462</v>
      </c>
      <c r="G1642" s="2" t="s">
        <v>112</v>
      </c>
      <c r="H1642" s="2" t="s">
        <v>81</v>
      </c>
      <c r="I1642" s="2" t="s">
        <v>113</v>
      </c>
      <c r="J1642" s="2">
        <v>1</v>
      </c>
      <c r="K1642" s="2">
        <v>22.99</v>
      </c>
      <c r="L1642" s="2"/>
      <c r="M1642" s="2">
        <v>0</v>
      </c>
      <c r="N1642" s="2">
        <v>5.99</v>
      </c>
      <c r="O1642" s="2">
        <v>28.98</v>
      </c>
      <c r="P1642" s="2" t="s">
        <v>40</v>
      </c>
      <c r="Q1642" s="2" t="s">
        <v>28</v>
      </c>
      <c r="R1642" s="2" t="s">
        <v>29</v>
      </c>
      <c r="S1642" s="2" t="s">
        <v>337</v>
      </c>
      <c r="T1642" s="2"/>
      <c r="U1642" s="2" t="str">
        <f t="shared" si="76"/>
        <v>Not Required</v>
      </c>
      <c r="V1642" s="2" t="s">
        <v>4354</v>
      </c>
    </row>
    <row r="1643" spans="1:22" hidden="1" x14ac:dyDescent="0.3">
      <c r="A1643" s="2" t="s">
        <v>4355</v>
      </c>
      <c r="B1643" s="12">
        <f t="shared" si="75"/>
        <v>46238.586762083331</v>
      </c>
      <c r="C1643" s="13">
        <v>46238.586762083331</v>
      </c>
      <c r="D1643" s="2" t="s">
        <v>825</v>
      </c>
      <c r="E1643" s="2" t="str">
        <f t="shared" si="77"/>
        <v>Email Available</v>
      </c>
      <c r="F1643" s="2" t="s">
        <v>826</v>
      </c>
      <c r="G1643" s="2" t="s">
        <v>4356</v>
      </c>
      <c r="H1643" s="2" t="s">
        <v>106</v>
      </c>
      <c r="I1643" s="2" t="s">
        <v>134</v>
      </c>
      <c r="J1643" s="2">
        <v>1</v>
      </c>
      <c r="K1643" s="2">
        <v>16.989999999999998</v>
      </c>
      <c r="L1643" s="2" t="s">
        <v>39</v>
      </c>
      <c r="M1643" s="2">
        <v>0</v>
      </c>
      <c r="N1643" s="2">
        <v>0</v>
      </c>
      <c r="O1643" s="2">
        <v>16.989999999999998</v>
      </c>
      <c r="P1643" s="2" t="s">
        <v>40</v>
      </c>
      <c r="Q1643" s="2" t="s">
        <v>28</v>
      </c>
      <c r="R1643" s="2" t="s">
        <v>52</v>
      </c>
      <c r="S1643" s="2" t="s">
        <v>75</v>
      </c>
      <c r="T1643" s="2"/>
      <c r="U1643" s="2" t="str">
        <f t="shared" si="76"/>
        <v>Not Required</v>
      </c>
      <c r="V1643" s="2" t="s">
        <v>4357</v>
      </c>
    </row>
    <row r="1644" spans="1:22" hidden="1" x14ac:dyDescent="0.3">
      <c r="A1644" s="2" t="s">
        <v>4358</v>
      </c>
      <c r="B1644" s="12">
        <f t="shared" si="75"/>
        <v>46238.58727434028</v>
      </c>
      <c r="C1644" s="13">
        <v>46238.58727434028</v>
      </c>
      <c r="D1644" s="2" t="s">
        <v>507</v>
      </c>
      <c r="E1644" s="2" t="str">
        <f t="shared" si="77"/>
        <v>Email Available</v>
      </c>
      <c r="F1644" s="2" t="s">
        <v>508</v>
      </c>
      <c r="G1644" s="2" t="s">
        <v>48</v>
      </c>
      <c r="H1644" s="2" t="s">
        <v>49</v>
      </c>
      <c r="I1644" s="2" t="s">
        <v>50</v>
      </c>
      <c r="J1644" s="2">
        <v>1</v>
      </c>
      <c r="K1644" s="2">
        <v>39.99</v>
      </c>
      <c r="L1644" s="2" t="s">
        <v>67</v>
      </c>
      <c r="M1644" s="2">
        <v>4</v>
      </c>
      <c r="N1644" s="2">
        <v>7.99</v>
      </c>
      <c r="O1644" s="2">
        <v>43.98</v>
      </c>
      <c r="P1644" s="2" t="s">
        <v>68</v>
      </c>
      <c r="Q1644" s="2" t="s">
        <v>90</v>
      </c>
      <c r="R1644" s="2" t="s">
        <v>42</v>
      </c>
      <c r="S1644" s="2" t="s">
        <v>30</v>
      </c>
      <c r="T1644" s="2" t="s">
        <v>248</v>
      </c>
      <c r="U1644" s="2" t="str">
        <f t="shared" si="76"/>
        <v>Valid</v>
      </c>
      <c r="V1644" s="2" t="s">
        <v>534</v>
      </c>
    </row>
    <row r="1645" spans="1:22" hidden="1" x14ac:dyDescent="0.3">
      <c r="A1645" s="2" t="s">
        <v>4359</v>
      </c>
      <c r="B1645" s="12">
        <f t="shared" si="75"/>
        <v>46238.586958229163</v>
      </c>
      <c r="C1645" s="13">
        <v>46238.586958229163</v>
      </c>
      <c r="D1645" s="2" t="s">
        <v>4360</v>
      </c>
      <c r="E1645" s="2" t="str">
        <f t="shared" si="77"/>
        <v>Email Available</v>
      </c>
      <c r="F1645" s="2" t="s">
        <v>4361</v>
      </c>
      <c r="G1645" s="2" t="s">
        <v>105</v>
      </c>
      <c r="H1645" s="2" t="s">
        <v>106</v>
      </c>
      <c r="I1645" s="2" t="s">
        <v>107</v>
      </c>
      <c r="J1645" s="2">
        <v>2</v>
      </c>
      <c r="K1645" s="2">
        <v>19.989999999999998</v>
      </c>
      <c r="L1645" s="2" t="s">
        <v>67</v>
      </c>
      <c r="M1645" s="2">
        <v>4</v>
      </c>
      <c r="N1645" s="2">
        <v>7.99</v>
      </c>
      <c r="O1645" s="2">
        <v>43.97</v>
      </c>
      <c r="P1645" s="2" t="s">
        <v>74</v>
      </c>
      <c r="Q1645" s="2" t="s">
        <v>114</v>
      </c>
      <c r="R1645" s="2" t="s">
        <v>52</v>
      </c>
      <c r="S1645" s="2" t="s">
        <v>30</v>
      </c>
      <c r="T1645" s="2" t="s">
        <v>91</v>
      </c>
      <c r="U1645" s="2" t="str">
        <f t="shared" si="76"/>
        <v>Valid</v>
      </c>
      <c r="V1645" s="2" t="s">
        <v>4362</v>
      </c>
    </row>
    <row r="1646" spans="1:22" hidden="1" x14ac:dyDescent="0.3">
      <c r="A1646" s="2" t="s">
        <v>4363</v>
      </c>
      <c r="B1646" s="12">
        <f t="shared" si="75"/>
        <v>46120</v>
      </c>
      <c r="C1646" s="13" t="s">
        <v>142</v>
      </c>
      <c r="D1646" s="2" t="s">
        <v>420</v>
      </c>
      <c r="E1646" s="2" t="str">
        <f t="shared" si="77"/>
        <v>Email Available</v>
      </c>
      <c r="F1646" s="2" t="s">
        <v>421</v>
      </c>
      <c r="G1646" s="2" t="s">
        <v>65</v>
      </c>
      <c r="H1646" s="2" t="s">
        <v>49</v>
      </c>
      <c r="I1646" s="2" t="s">
        <v>453</v>
      </c>
      <c r="J1646" s="2">
        <v>1</v>
      </c>
      <c r="K1646" s="2">
        <v>14.99</v>
      </c>
      <c r="L1646" s="2"/>
      <c r="M1646" s="2">
        <v>0</v>
      </c>
      <c r="N1646" s="2">
        <v>4.99</v>
      </c>
      <c r="O1646" s="2">
        <v>19.98</v>
      </c>
      <c r="P1646" s="2" t="s">
        <v>51</v>
      </c>
      <c r="Q1646" s="2" t="s">
        <v>41</v>
      </c>
      <c r="R1646" s="2" t="s">
        <v>42</v>
      </c>
      <c r="S1646" s="2" t="s">
        <v>337</v>
      </c>
      <c r="T1646" s="2"/>
      <c r="U1646" s="2" t="str">
        <f t="shared" si="76"/>
        <v>Not Required</v>
      </c>
      <c r="V1646" s="2" t="s">
        <v>4364</v>
      </c>
    </row>
    <row r="1647" spans="1:22" hidden="1" x14ac:dyDescent="0.3">
      <c r="A1647" s="2" t="s">
        <v>4365</v>
      </c>
      <c r="B1647" s="12">
        <f t="shared" si="75"/>
        <v>46238.58238767361</v>
      </c>
      <c r="C1647" s="13">
        <v>46238.58238767361</v>
      </c>
      <c r="D1647" s="2" t="s">
        <v>401</v>
      </c>
      <c r="E1647" s="2" t="str">
        <f t="shared" si="77"/>
        <v>Email Available</v>
      </c>
      <c r="F1647" s="2" t="s">
        <v>402</v>
      </c>
      <c r="G1647" s="2" t="s">
        <v>157</v>
      </c>
      <c r="H1647" s="2" t="s">
        <v>37</v>
      </c>
      <c r="I1647" s="2" t="s">
        <v>158</v>
      </c>
      <c r="J1647" s="2">
        <v>1</v>
      </c>
      <c r="K1647" s="2">
        <v>29.99</v>
      </c>
      <c r="L1647" s="2" t="s">
        <v>67</v>
      </c>
      <c r="M1647" s="2">
        <v>3</v>
      </c>
      <c r="N1647" s="2">
        <v>4.99</v>
      </c>
      <c r="O1647" s="2">
        <v>31.98</v>
      </c>
      <c r="P1647" s="2" t="s">
        <v>27</v>
      </c>
      <c r="Q1647" s="2" t="s">
        <v>41</v>
      </c>
      <c r="R1647" s="2" t="s">
        <v>42</v>
      </c>
      <c r="S1647" s="2" t="s">
        <v>75</v>
      </c>
      <c r="T1647" s="2"/>
      <c r="U1647" s="2" t="str">
        <f t="shared" si="76"/>
        <v>Not Required</v>
      </c>
      <c r="V1647" s="2" t="s">
        <v>1079</v>
      </c>
    </row>
    <row r="1648" spans="1:22" hidden="1" x14ac:dyDescent="0.3">
      <c r="A1648" s="2" t="s">
        <v>4366</v>
      </c>
      <c r="B1648" s="12">
        <f t="shared" si="75"/>
        <v>46238.583252048607</v>
      </c>
      <c r="C1648" s="13">
        <v>46238.583252048607</v>
      </c>
      <c r="D1648" s="2" t="s">
        <v>231</v>
      </c>
      <c r="E1648" s="2" t="str">
        <f t="shared" si="77"/>
        <v>Email Available</v>
      </c>
      <c r="F1648" s="2" t="s">
        <v>232</v>
      </c>
      <c r="G1648" s="2" t="s">
        <v>65</v>
      </c>
      <c r="H1648" s="2" t="s">
        <v>49</v>
      </c>
      <c r="I1648" s="2" t="s">
        <v>453</v>
      </c>
      <c r="J1648" s="2">
        <v>1</v>
      </c>
      <c r="K1648" s="2">
        <v>14.99</v>
      </c>
      <c r="L1648" s="2" t="s">
        <v>67</v>
      </c>
      <c r="M1648" s="2">
        <v>1.5</v>
      </c>
      <c r="N1648" s="2">
        <v>5.99</v>
      </c>
      <c r="O1648" s="2">
        <v>19.48</v>
      </c>
      <c r="P1648" s="2" t="s">
        <v>40</v>
      </c>
      <c r="Q1648" s="2" t="s">
        <v>90</v>
      </c>
      <c r="R1648" s="2" t="s">
        <v>29</v>
      </c>
      <c r="S1648" s="2" t="s">
        <v>30</v>
      </c>
      <c r="T1648" s="2" t="s">
        <v>145</v>
      </c>
      <c r="U1648" s="2" t="str">
        <f t="shared" si="76"/>
        <v>Valid</v>
      </c>
      <c r="V1648" s="2" t="s">
        <v>4367</v>
      </c>
    </row>
    <row r="1649" spans="1:22" hidden="1" x14ac:dyDescent="0.3">
      <c r="A1649" s="2" t="s">
        <v>4368</v>
      </c>
      <c r="B1649" s="12">
        <f t="shared" si="75"/>
        <v>46238.581616446761</v>
      </c>
      <c r="C1649" s="13">
        <v>46238.581616446761</v>
      </c>
      <c r="D1649" s="2" t="s">
        <v>1020</v>
      </c>
      <c r="E1649" s="2" t="str">
        <f t="shared" si="77"/>
        <v>Email Available</v>
      </c>
      <c r="F1649" s="2" t="s">
        <v>1021</v>
      </c>
      <c r="G1649" s="2" t="s">
        <v>171</v>
      </c>
      <c r="H1649" s="2" t="s">
        <v>106</v>
      </c>
      <c r="I1649" s="2" t="s">
        <v>172</v>
      </c>
      <c r="J1649" s="2">
        <v>1</v>
      </c>
      <c r="K1649" s="2">
        <v>32.99</v>
      </c>
      <c r="L1649" s="2" t="s">
        <v>208</v>
      </c>
      <c r="M1649" s="2">
        <v>4.95</v>
      </c>
      <c r="N1649" s="2">
        <v>4.99</v>
      </c>
      <c r="O1649" s="2">
        <v>33.03</v>
      </c>
      <c r="P1649" s="2" t="s">
        <v>68</v>
      </c>
      <c r="Q1649" s="2" t="s">
        <v>28</v>
      </c>
      <c r="R1649" s="2" t="s">
        <v>52</v>
      </c>
      <c r="S1649" s="2" t="s">
        <v>30</v>
      </c>
      <c r="T1649" s="2" t="s">
        <v>60</v>
      </c>
      <c r="U1649" s="2" t="str">
        <f t="shared" si="76"/>
        <v>Valid</v>
      </c>
      <c r="V1649" s="2" t="s">
        <v>4369</v>
      </c>
    </row>
    <row r="1650" spans="1:22" hidden="1" x14ac:dyDescent="0.3">
      <c r="A1650" s="2" t="s">
        <v>4370</v>
      </c>
      <c r="B1650" s="12">
        <f t="shared" si="75"/>
        <v>46238.584874328713</v>
      </c>
      <c r="C1650" s="13">
        <v>46238.584874328713</v>
      </c>
      <c r="D1650" s="2" t="s">
        <v>1495</v>
      </c>
      <c r="E1650" s="2" t="str">
        <f t="shared" si="77"/>
        <v>Email Available</v>
      </c>
      <c r="F1650" s="2" t="s">
        <v>1496</v>
      </c>
      <c r="G1650" s="2" t="s">
        <v>315</v>
      </c>
      <c r="H1650" s="2" t="s">
        <v>37</v>
      </c>
      <c r="I1650" s="2" t="s">
        <v>316</v>
      </c>
      <c r="J1650" s="2">
        <v>1</v>
      </c>
      <c r="K1650" s="2">
        <v>8.99</v>
      </c>
      <c r="L1650" s="2" t="s">
        <v>39</v>
      </c>
      <c r="M1650" s="2">
        <v>0</v>
      </c>
      <c r="N1650" s="2">
        <v>0</v>
      </c>
      <c r="O1650" s="2">
        <v>8.99</v>
      </c>
      <c r="P1650" s="2" t="s">
        <v>40</v>
      </c>
      <c r="Q1650" s="2" t="s">
        <v>28</v>
      </c>
      <c r="R1650" s="2" t="s">
        <v>29</v>
      </c>
      <c r="S1650" s="2" t="s">
        <v>43</v>
      </c>
      <c r="T1650" s="2"/>
      <c r="U1650" s="2" t="str">
        <f t="shared" si="76"/>
        <v>Not Required</v>
      </c>
      <c r="V1650" s="2" t="s">
        <v>4371</v>
      </c>
    </row>
    <row r="1651" spans="1:22" hidden="1" x14ac:dyDescent="0.3">
      <c r="A1651" s="2" t="s">
        <v>4373</v>
      </c>
      <c r="B1651" s="12">
        <f t="shared" si="75"/>
        <v>46238.586474444448</v>
      </c>
      <c r="C1651" s="13">
        <v>46238.586474444448</v>
      </c>
      <c r="D1651" s="2" t="s">
        <v>549</v>
      </c>
      <c r="E1651" s="2" t="str">
        <f t="shared" si="77"/>
        <v>Email Available</v>
      </c>
      <c r="F1651" s="2" t="s">
        <v>550</v>
      </c>
      <c r="G1651" s="2" t="s">
        <v>157</v>
      </c>
      <c r="H1651" s="2" t="s">
        <v>37</v>
      </c>
      <c r="I1651" s="2" t="s">
        <v>158</v>
      </c>
      <c r="J1651" s="2">
        <v>1</v>
      </c>
      <c r="K1651" s="2">
        <v>29.99</v>
      </c>
      <c r="L1651" s="2"/>
      <c r="M1651" s="2">
        <v>0</v>
      </c>
      <c r="N1651" s="2">
        <v>5.99</v>
      </c>
      <c r="O1651" s="2">
        <v>35.979999999999997</v>
      </c>
      <c r="P1651" s="2" t="s">
        <v>51</v>
      </c>
      <c r="Q1651" s="2" t="s">
        <v>114</v>
      </c>
      <c r="R1651" s="2" t="s">
        <v>52</v>
      </c>
      <c r="S1651" s="2" t="s">
        <v>108</v>
      </c>
      <c r="T1651" s="2"/>
      <c r="U1651" s="2" t="str">
        <f t="shared" si="76"/>
        <v>Not Required</v>
      </c>
      <c r="V1651" s="2" t="s">
        <v>4374</v>
      </c>
    </row>
    <row r="1652" spans="1:22" hidden="1" x14ac:dyDescent="0.3">
      <c r="A1652" s="2" t="s">
        <v>4375</v>
      </c>
      <c r="B1652" s="12">
        <f t="shared" si="75"/>
        <v>46238.581863854168</v>
      </c>
      <c r="C1652" s="13">
        <v>46238.581863854168</v>
      </c>
      <c r="D1652" s="2" t="s">
        <v>4376</v>
      </c>
      <c r="E1652" s="2" t="str">
        <f t="shared" si="77"/>
        <v>Email Available</v>
      </c>
      <c r="F1652" s="2" t="s">
        <v>2052</v>
      </c>
      <c r="G1652" s="2" t="s">
        <v>65</v>
      </c>
      <c r="H1652" s="2" t="s">
        <v>49</v>
      </c>
      <c r="I1652" s="2" t="s">
        <v>453</v>
      </c>
      <c r="J1652" s="2">
        <v>1</v>
      </c>
      <c r="K1652" s="2">
        <v>14.99</v>
      </c>
      <c r="L1652" s="2" t="s">
        <v>121</v>
      </c>
      <c r="M1652" s="2">
        <v>3.75</v>
      </c>
      <c r="N1652" s="2">
        <v>7.99</v>
      </c>
      <c r="O1652" s="2">
        <v>19.23</v>
      </c>
      <c r="P1652" s="2" t="s">
        <v>27</v>
      </c>
      <c r="Q1652" s="2" t="s">
        <v>28</v>
      </c>
      <c r="R1652" s="2" t="s">
        <v>42</v>
      </c>
      <c r="S1652" s="2" t="s">
        <v>43</v>
      </c>
      <c r="T1652" s="2"/>
      <c r="U1652" s="2" t="str">
        <f t="shared" si="76"/>
        <v>Not Required</v>
      </c>
      <c r="V1652" s="2" t="s">
        <v>4377</v>
      </c>
    </row>
    <row r="1653" spans="1:22" hidden="1" x14ac:dyDescent="0.3">
      <c r="A1653" s="2" t="s">
        <v>4378</v>
      </c>
      <c r="B1653" s="12">
        <f t="shared" si="75"/>
        <v>46238.580095277779</v>
      </c>
      <c r="C1653" s="13">
        <v>46238.580095277779</v>
      </c>
      <c r="D1653" s="2" t="s">
        <v>169</v>
      </c>
      <c r="E1653" s="2" t="str">
        <f t="shared" si="77"/>
        <v>Email Available</v>
      </c>
      <c r="F1653" s="2" t="s">
        <v>170</v>
      </c>
      <c r="G1653" s="2" t="s">
        <v>195</v>
      </c>
      <c r="H1653" s="2" t="s">
        <v>196</v>
      </c>
      <c r="I1653" s="2" t="s">
        <v>197</v>
      </c>
      <c r="J1653" s="2">
        <v>2</v>
      </c>
      <c r="K1653" s="2">
        <v>13.49</v>
      </c>
      <c r="L1653" s="2" t="s">
        <v>25</v>
      </c>
      <c r="M1653" s="2">
        <v>5.4</v>
      </c>
      <c r="N1653" s="2">
        <v>4.99</v>
      </c>
      <c r="O1653" s="2">
        <v>26.57</v>
      </c>
      <c r="P1653" s="2" t="s">
        <v>74</v>
      </c>
      <c r="Q1653" s="2" t="s">
        <v>90</v>
      </c>
      <c r="R1653" s="2" t="s">
        <v>99</v>
      </c>
      <c r="S1653" s="2" t="s">
        <v>108</v>
      </c>
      <c r="T1653" s="2"/>
      <c r="U1653" s="2" t="str">
        <f t="shared" si="76"/>
        <v>Not Required</v>
      </c>
      <c r="V1653" s="2" t="s">
        <v>4379</v>
      </c>
    </row>
    <row r="1654" spans="1:22" hidden="1" x14ac:dyDescent="0.3">
      <c r="A1654" s="2" t="s">
        <v>4380</v>
      </c>
      <c r="B1654" s="12">
        <f t="shared" si="75"/>
        <v>46238.584492696762</v>
      </c>
      <c r="C1654" s="13">
        <v>46238.584492696762</v>
      </c>
      <c r="D1654" s="2" t="s">
        <v>2755</v>
      </c>
      <c r="E1654" s="2" t="str">
        <f t="shared" si="77"/>
        <v>Email Available</v>
      </c>
      <c r="F1654" s="2" t="s">
        <v>2756</v>
      </c>
      <c r="G1654" s="2" t="s">
        <v>151</v>
      </c>
      <c r="H1654" s="2" t="s">
        <v>49</v>
      </c>
      <c r="I1654" s="2" t="s">
        <v>152</v>
      </c>
      <c r="J1654" s="2">
        <v>1</v>
      </c>
      <c r="K1654" s="2">
        <v>34.99</v>
      </c>
      <c r="L1654" s="2" t="s">
        <v>208</v>
      </c>
      <c r="M1654" s="2">
        <v>5.25</v>
      </c>
      <c r="N1654" s="2">
        <v>5.99</v>
      </c>
      <c r="O1654" s="2">
        <v>35.729999999999997</v>
      </c>
      <c r="P1654" s="2" t="s">
        <v>74</v>
      </c>
      <c r="Q1654" s="2" t="s">
        <v>28</v>
      </c>
      <c r="R1654" s="2" t="s">
        <v>52</v>
      </c>
      <c r="S1654" s="2" t="s">
        <v>30</v>
      </c>
      <c r="T1654" s="2" t="s">
        <v>53</v>
      </c>
      <c r="U1654" s="2" t="str">
        <f t="shared" si="76"/>
        <v>Valid</v>
      </c>
      <c r="V1654" s="2" t="s">
        <v>4381</v>
      </c>
    </row>
    <row r="1655" spans="1:22" hidden="1" x14ac:dyDescent="0.3">
      <c r="A1655" s="2" t="s">
        <v>4382</v>
      </c>
      <c r="B1655" s="12">
        <f t="shared" si="75"/>
        <v>46238.587600509258</v>
      </c>
      <c r="C1655" s="13">
        <v>46238.587600509258</v>
      </c>
      <c r="D1655" s="2" t="s">
        <v>4383</v>
      </c>
      <c r="E1655" s="2" t="str">
        <f t="shared" si="77"/>
        <v>Email Available</v>
      </c>
      <c r="F1655" s="2" t="s">
        <v>3824</v>
      </c>
      <c r="G1655" s="2" t="s">
        <v>4384</v>
      </c>
      <c r="H1655" s="2" t="s">
        <v>37</v>
      </c>
      <c r="I1655" s="2" t="s">
        <v>38</v>
      </c>
      <c r="J1655" s="2">
        <v>1</v>
      </c>
      <c r="K1655" s="2">
        <v>21.99</v>
      </c>
      <c r="L1655" s="2" t="s">
        <v>208</v>
      </c>
      <c r="M1655" s="2">
        <v>3.3</v>
      </c>
      <c r="N1655" s="2">
        <v>5.99</v>
      </c>
      <c r="O1655" s="2">
        <v>24.68</v>
      </c>
      <c r="P1655" s="2" t="s">
        <v>68</v>
      </c>
      <c r="Q1655" s="2" t="s">
        <v>114</v>
      </c>
      <c r="R1655" s="2" t="s">
        <v>52</v>
      </c>
      <c r="S1655" s="2" t="s">
        <v>30</v>
      </c>
      <c r="T1655" s="2" t="s">
        <v>454</v>
      </c>
      <c r="U1655" s="2" t="str">
        <f t="shared" si="76"/>
        <v>Valid</v>
      </c>
      <c r="V1655" s="2" t="s">
        <v>4385</v>
      </c>
    </row>
    <row r="1656" spans="1:22" hidden="1" x14ac:dyDescent="0.3">
      <c r="A1656" s="2" t="s">
        <v>4386</v>
      </c>
      <c r="B1656" s="12">
        <f t="shared" si="75"/>
        <v>46238</v>
      </c>
      <c r="C1656" s="13" t="s">
        <v>1736</v>
      </c>
      <c r="D1656" s="2" t="s">
        <v>364</v>
      </c>
      <c r="E1656" s="2" t="str">
        <f t="shared" si="77"/>
        <v>Email Available</v>
      </c>
      <c r="F1656" s="2" t="s">
        <v>365</v>
      </c>
      <c r="G1656" s="2" t="s">
        <v>206</v>
      </c>
      <c r="H1656" s="2" t="s">
        <v>196</v>
      </c>
      <c r="I1656" s="2" t="s">
        <v>207</v>
      </c>
      <c r="J1656" s="2">
        <v>2</v>
      </c>
      <c r="K1656" s="2">
        <v>24.99</v>
      </c>
      <c r="L1656" s="2" t="s">
        <v>208</v>
      </c>
      <c r="M1656" s="2">
        <v>7.5</v>
      </c>
      <c r="N1656" s="2">
        <v>7.99</v>
      </c>
      <c r="O1656" s="2">
        <v>50.47</v>
      </c>
      <c r="P1656" s="2" t="s">
        <v>51</v>
      </c>
      <c r="Q1656" s="2" t="s">
        <v>41</v>
      </c>
      <c r="R1656" s="2" t="s">
        <v>52</v>
      </c>
      <c r="S1656" s="2" t="s">
        <v>75</v>
      </c>
      <c r="T1656" s="2"/>
      <c r="U1656" s="2" t="str">
        <f t="shared" si="76"/>
        <v>Not Required</v>
      </c>
      <c r="V1656" s="2" t="s">
        <v>4387</v>
      </c>
    </row>
    <row r="1657" spans="1:22" hidden="1" x14ac:dyDescent="0.3">
      <c r="A1657" s="2" t="s">
        <v>4388</v>
      </c>
      <c r="B1657" s="12">
        <f t="shared" si="75"/>
        <v>46120</v>
      </c>
      <c r="C1657" s="13" t="s">
        <v>142</v>
      </c>
      <c r="D1657" s="2" t="s">
        <v>2950</v>
      </c>
      <c r="E1657" s="2" t="str">
        <f t="shared" si="77"/>
        <v>Email Available</v>
      </c>
      <c r="F1657" s="2" t="s">
        <v>2951</v>
      </c>
      <c r="G1657" s="2" t="s">
        <v>368</v>
      </c>
      <c r="H1657" s="2" t="s">
        <v>88</v>
      </c>
      <c r="I1657" s="2" t="s">
        <v>369</v>
      </c>
      <c r="J1657" s="2">
        <v>1</v>
      </c>
      <c r="K1657" s="2" t="s">
        <v>370</v>
      </c>
      <c r="L1657" s="2" t="s">
        <v>67</v>
      </c>
      <c r="M1657" s="2">
        <v>5.5</v>
      </c>
      <c r="N1657" s="2">
        <v>5.99</v>
      </c>
      <c r="O1657" s="2">
        <v>55.48</v>
      </c>
      <c r="P1657" s="2" t="s">
        <v>68</v>
      </c>
      <c r="Q1657" s="2" t="s">
        <v>28</v>
      </c>
      <c r="R1657" s="2" t="s">
        <v>29</v>
      </c>
      <c r="S1657" s="2" t="s">
        <v>337</v>
      </c>
      <c r="T1657" s="2"/>
      <c r="U1657" s="2" t="str">
        <f t="shared" si="76"/>
        <v>Not Required</v>
      </c>
      <c r="V1657" s="2" t="s">
        <v>4389</v>
      </c>
    </row>
    <row r="1658" spans="1:22" hidden="1" x14ac:dyDescent="0.3">
      <c r="A1658" s="2" t="s">
        <v>4390</v>
      </c>
      <c r="B1658" s="12">
        <f t="shared" si="75"/>
        <v>46238.579481122688</v>
      </c>
      <c r="C1658" s="13">
        <v>46238.579481122688</v>
      </c>
      <c r="D1658" s="2" t="s">
        <v>270</v>
      </c>
      <c r="E1658" s="2" t="str">
        <f t="shared" si="77"/>
        <v>Email Available</v>
      </c>
      <c r="F1658" s="2" t="s">
        <v>271</v>
      </c>
      <c r="G1658" s="2" t="s">
        <v>112</v>
      </c>
      <c r="H1658" s="2" t="s">
        <v>81</v>
      </c>
      <c r="I1658" s="2" t="s">
        <v>113</v>
      </c>
      <c r="J1658" s="2">
        <v>2</v>
      </c>
      <c r="K1658" s="2">
        <v>22.99</v>
      </c>
      <c r="L1658" s="2"/>
      <c r="M1658" s="2">
        <v>0</v>
      </c>
      <c r="N1658" s="2">
        <v>5.99</v>
      </c>
      <c r="O1658" s="2">
        <v>51.97</v>
      </c>
      <c r="P1658" s="2" t="s">
        <v>40</v>
      </c>
      <c r="Q1658" s="2" t="s">
        <v>90</v>
      </c>
      <c r="R1658" s="2" t="s">
        <v>42</v>
      </c>
      <c r="S1658" s="2" t="s">
        <v>30</v>
      </c>
      <c r="T1658" s="2" t="s">
        <v>69</v>
      </c>
      <c r="U1658" s="2" t="str">
        <f t="shared" si="76"/>
        <v>Valid</v>
      </c>
      <c r="V1658" s="2" t="s">
        <v>4391</v>
      </c>
    </row>
    <row r="1659" spans="1:22" hidden="1" x14ac:dyDescent="0.3">
      <c r="A1659" s="2" t="s">
        <v>4392</v>
      </c>
      <c r="B1659" s="12">
        <f t="shared" ref="B1659:B1722" si="78">IF(ISNUMBER(C1659),C1659,DATEVALUE(SUBSTITUTE(TRIM(C1659),CHAR(160)," ")))</f>
        <v>46238.581006377317</v>
      </c>
      <c r="C1659" s="13">
        <v>46238.581006377317</v>
      </c>
      <c r="D1659" s="2"/>
      <c r="E1659" s="2" t="str">
        <f t="shared" si="77"/>
        <v>Email Available</v>
      </c>
      <c r="F1659" s="2" t="s">
        <v>2798</v>
      </c>
      <c r="G1659" s="2" t="s">
        <v>36</v>
      </c>
      <c r="H1659" s="2" t="s">
        <v>37</v>
      </c>
      <c r="I1659" s="2" t="s">
        <v>38</v>
      </c>
      <c r="J1659" s="2">
        <v>1</v>
      </c>
      <c r="K1659" s="2">
        <v>21.99</v>
      </c>
      <c r="L1659" s="2" t="s">
        <v>25</v>
      </c>
      <c r="M1659" s="2">
        <v>4.4000000000000004</v>
      </c>
      <c r="N1659" s="2">
        <v>4.99</v>
      </c>
      <c r="O1659" s="2">
        <v>22.58</v>
      </c>
      <c r="P1659" s="2" t="s">
        <v>68</v>
      </c>
      <c r="Q1659" s="2" t="s">
        <v>90</v>
      </c>
      <c r="R1659" s="2" t="s">
        <v>52</v>
      </c>
      <c r="S1659" s="2" t="s">
        <v>30</v>
      </c>
      <c r="T1659" s="2" t="s">
        <v>31</v>
      </c>
      <c r="U1659" s="2" t="str">
        <f t="shared" ref="U1659:U1722" si="79">IF(AND(S1659="United States",T1659=""),"Missing state",IF(T1659="","Not Required","Valid"))</f>
        <v>Valid</v>
      </c>
      <c r="V1659" s="2" t="s">
        <v>4393</v>
      </c>
    </row>
    <row r="1660" spans="1:22" hidden="1" x14ac:dyDescent="0.3">
      <c r="A1660" s="2" t="s">
        <v>4394</v>
      </c>
      <c r="B1660" s="12">
        <f t="shared" si="78"/>
        <v>46238.582162766201</v>
      </c>
      <c r="C1660" s="13">
        <v>46238.582162766201</v>
      </c>
      <c r="D1660" s="2" t="s">
        <v>4395</v>
      </c>
      <c r="E1660" s="2" t="str">
        <f t="shared" si="77"/>
        <v>Email Available</v>
      </c>
      <c r="F1660" s="2" t="s">
        <v>1632</v>
      </c>
      <c r="G1660" s="2" t="s">
        <v>80</v>
      </c>
      <c r="H1660" s="2" t="s">
        <v>81</v>
      </c>
      <c r="I1660" s="2" t="s">
        <v>82</v>
      </c>
      <c r="J1660" s="2">
        <v>2</v>
      </c>
      <c r="K1660" s="2">
        <v>89.99</v>
      </c>
      <c r="L1660" s="2" t="s">
        <v>67</v>
      </c>
      <c r="M1660" s="2">
        <v>18</v>
      </c>
      <c r="N1660" s="2">
        <v>0</v>
      </c>
      <c r="O1660" s="2">
        <v>161.97999999999999</v>
      </c>
      <c r="P1660" s="2" t="s">
        <v>27</v>
      </c>
      <c r="Q1660" s="2" t="s">
        <v>28</v>
      </c>
      <c r="R1660" s="2" t="s">
        <v>29</v>
      </c>
      <c r="S1660" s="2" t="s">
        <v>30</v>
      </c>
      <c r="T1660" s="2" t="s">
        <v>75</v>
      </c>
      <c r="U1660" s="2" t="str">
        <f t="shared" si="79"/>
        <v>Valid</v>
      </c>
      <c r="V1660" s="2" t="s">
        <v>4396</v>
      </c>
    </row>
    <row r="1661" spans="1:22" hidden="1" x14ac:dyDescent="0.3">
      <c r="A1661" s="2" t="s">
        <v>4397</v>
      </c>
      <c r="B1661" s="12">
        <f t="shared" si="78"/>
        <v>46238.582700277781</v>
      </c>
      <c r="C1661" s="13">
        <v>46238.582700277781</v>
      </c>
      <c r="D1661" s="2" t="s">
        <v>502</v>
      </c>
      <c r="E1661" s="2" t="str">
        <f t="shared" si="77"/>
        <v>Email Available</v>
      </c>
      <c r="F1661" s="2" t="s">
        <v>503</v>
      </c>
      <c r="G1661" s="2" t="s">
        <v>284</v>
      </c>
      <c r="H1661" s="2" t="s">
        <v>23</v>
      </c>
      <c r="I1661" s="2" t="s">
        <v>285</v>
      </c>
      <c r="J1661" s="2">
        <v>2</v>
      </c>
      <c r="K1661" s="2">
        <v>24.99</v>
      </c>
      <c r="L1661" s="2"/>
      <c r="M1661" s="2">
        <v>0</v>
      </c>
      <c r="N1661" s="2">
        <v>4.99</v>
      </c>
      <c r="O1661" s="2">
        <v>54.97</v>
      </c>
      <c r="P1661" s="2" t="s">
        <v>27</v>
      </c>
      <c r="Q1661" s="2" t="s">
        <v>28</v>
      </c>
      <c r="R1661" s="2" t="s">
        <v>42</v>
      </c>
      <c r="S1661" s="2" t="s">
        <v>108</v>
      </c>
      <c r="T1661" s="2"/>
      <c r="U1661" s="2" t="str">
        <f t="shared" si="79"/>
        <v>Not Required</v>
      </c>
      <c r="V1661" s="2" t="s">
        <v>4398</v>
      </c>
    </row>
    <row r="1662" spans="1:22" hidden="1" x14ac:dyDescent="0.3">
      <c r="A1662" s="2" t="s">
        <v>4399</v>
      </c>
      <c r="B1662" s="12">
        <f t="shared" si="78"/>
        <v>46238.57935216435</v>
      </c>
      <c r="C1662" s="13">
        <v>46238.57935216435</v>
      </c>
      <c r="D1662" s="2" t="s">
        <v>536</v>
      </c>
      <c r="E1662" s="2" t="str">
        <f t="shared" si="77"/>
        <v>Email Available</v>
      </c>
      <c r="F1662" s="2" t="s">
        <v>537</v>
      </c>
      <c r="G1662" s="2" t="s">
        <v>206</v>
      </c>
      <c r="H1662" s="2" t="s">
        <v>196</v>
      </c>
      <c r="I1662" s="2" t="s">
        <v>207</v>
      </c>
      <c r="J1662" s="2">
        <v>1</v>
      </c>
      <c r="K1662" s="2" t="s">
        <v>1229</v>
      </c>
      <c r="L1662" s="2"/>
      <c r="M1662" s="2">
        <v>0</v>
      </c>
      <c r="N1662" s="2">
        <v>4.99</v>
      </c>
      <c r="O1662" s="2">
        <v>29.98</v>
      </c>
      <c r="P1662" s="2" t="s">
        <v>68</v>
      </c>
      <c r="Q1662" s="2" t="s">
        <v>90</v>
      </c>
      <c r="R1662" s="2" t="s">
        <v>52</v>
      </c>
      <c r="S1662" s="2" t="s">
        <v>30</v>
      </c>
      <c r="T1662" s="2" t="s">
        <v>454</v>
      </c>
      <c r="U1662" s="2" t="str">
        <f t="shared" si="79"/>
        <v>Valid</v>
      </c>
      <c r="V1662" s="2" t="s">
        <v>4400</v>
      </c>
    </row>
    <row r="1663" spans="1:22" x14ac:dyDescent="0.3">
      <c r="A1663" s="2" t="s">
        <v>4401</v>
      </c>
      <c r="B1663" s="12">
        <f t="shared" si="78"/>
        <v>46238.584570868057</v>
      </c>
      <c r="C1663" s="13">
        <v>46238.584570868057</v>
      </c>
      <c r="D1663" s="2" t="s">
        <v>647</v>
      </c>
      <c r="E1663" s="2" t="str">
        <f t="shared" si="77"/>
        <v>Missing Email</v>
      </c>
      <c r="F1663" s="2"/>
      <c r="G1663" s="2" t="s">
        <v>171</v>
      </c>
      <c r="H1663" s="2" t="s">
        <v>106</v>
      </c>
      <c r="I1663" s="2" t="s">
        <v>172</v>
      </c>
      <c r="J1663" s="2">
        <v>2</v>
      </c>
      <c r="K1663" s="2">
        <v>32.99</v>
      </c>
      <c r="L1663" s="2"/>
      <c r="M1663" s="2">
        <v>0</v>
      </c>
      <c r="N1663" s="2">
        <v>5.99</v>
      </c>
      <c r="O1663" s="2">
        <v>71.97</v>
      </c>
      <c r="P1663" s="2" t="s">
        <v>40</v>
      </c>
      <c r="Q1663" s="2" t="s">
        <v>28</v>
      </c>
      <c r="R1663" s="2" t="s">
        <v>42</v>
      </c>
      <c r="S1663" s="2" t="s">
        <v>30</v>
      </c>
      <c r="T1663" s="2" t="s">
        <v>60</v>
      </c>
      <c r="U1663" s="2" t="str">
        <f t="shared" si="79"/>
        <v>Valid</v>
      </c>
      <c r="V1663" s="2" t="s">
        <v>4402</v>
      </c>
    </row>
    <row r="1664" spans="1:22" hidden="1" x14ac:dyDescent="0.3">
      <c r="A1664" s="2" t="s">
        <v>4403</v>
      </c>
      <c r="B1664" s="12">
        <f t="shared" si="78"/>
        <v>46238.585961747682</v>
      </c>
      <c r="C1664" s="13">
        <v>46238.585961747682</v>
      </c>
      <c r="D1664" s="2" t="s">
        <v>764</v>
      </c>
      <c r="E1664" s="2" t="str">
        <f t="shared" si="77"/>
        <v>Email Available</v>
      </c>
      <c r="F1664" s="2" t="s">
        <v>765</v>
      </c>
      <c r="G1664" s="2" t="s">
        <v>266</v>
      </c>
      <c r="H1664" s="2" t="s">
        <v>37</v>
      </c>
      <c r="I1664" s="2" t="s">
        <v>267</v>
      </c>
      <c r="J1664" s="2">
        <v>1</v>
      </c>
      <c r="K1664" s="2">
        <v>15.49</v>
      </c>
      <c r="L1664" s="2"/>
      <c r="M1664" s="2">
        <v>0</v>
      </c>
      <c r="N1664" s="2">
        <v>5.99</v>
      </c>
      <c r="O1664" s="2">
        <v>21.48</v>
      </c>
      <c r="P1664" s="2" t="s">
        <v>74</v>
      </c>
      <c r="Q1664" s="2" t="s">
        <v>28</v>
      </c>
      <c r="R1664" s="2" t="s">
        <v>99</v>
      </c>
      <c r="S1664" s="2" t="s">
        <v>30</v>
      </c>
      <c r="T1664" s="2" t="s">
        <v>499</v>
      </c>
      <c r="U1664" s="2" t="str">
        <f t="shared" si="79"/>
        <v>Valid</v>
      </c>
      <c r="V1664" s="2" t="s">
        <v>4404</v>
      </c>
    </row>
    <row r="1665" spans="1:22" x14ac:dyDescent="0.3">
      <c r="A1665" s="2" t="s">
        <v>4405</v>
      </c>
      <c r="B1665" s="12">
        <f t="shared" si="78"/>
        <v>46238.584642453701</v>
      </c>
      <c r="C1665" s="13">
        <v>46238.584642453701</v>
      </c>
      <c r="D1665" s="2" t="s">
        <v>562</v>
      </c>
      <c r="E1665" s="2" t="str">
        <f t="shared" si="77"/>
        <v>Missing Email</v>
      </c>
      <c r="F1665" s="2"/>
      <c r="G1665" s="2" t="s">
        <v>58</v>
      </c>
      <c r="H1665" s="2" t="s">
        <v>23</v>
      </c>
      <c r="I1665" s="2" t="s">
        <v>59</v>
      </c>
      <c r="J1665" s="2">
        <v>2</v>
      </c>
      <c r="K1665" s="2">
        <v>9.99</v>
      </c>
      <c r="L1665" s="2" t="s">
        <v>121</v>
      </c>
      <c r="M1665" s="2">
        <v>5</v>
      </c>
      <c r="N1665" s="2">
        <v>7.99</v>
      </c>
      <c r="O1665" s="2">
        <v>22.97</v>
      </c>
      <c r="P1665" s="2" t="s">
        <v>74</v>
      </c>
      <c r="Q1665" s="2" t="s">
        <v>41</v>
      </c>
      <c r="R1665" s="2" t="s">
        <v>99</v>
      </c>
      <c r="S1665" s="2" t="s">
        <v>30</v>
      </c>
      <c r="T1665" s="2" t="s">
        <v>351</v>
      </c>
      <c r="U1665" s="2" t="str">
        <f t="shared" si="79"/>
        <v>Valid</v>
      </c>
      <c r="V1665" s="2" t="s">
        <v>4406</v>
      </c>
    </row>
    <row r="1666" spans="1:22" hidden="1" x14ac:dyDescent="0.3">
      <c r="A1666" s="2" t="s">
        <v>4407</v>
      </c>
      <c r="B1666" s="12">
        <f t="shared" si="78"/>
        <v>46238.583458819441</v>
      </c>
      <c r="C1666" s="13">
        <v>46238.583458819441</v>
      </c>
      <c r="D1666" s="2" t="s">
        <v>849</v>
      </c>
      <c r="E1666" s="2" t="str">
        <f t="shared" si="77"/>
        <v>Email Available</v>
      </c>
      <c r="F1666" s="2" t="s">
        <v>850</v>
      </c>
      <c r="G1666" s="2" t="s">
        <v>226</v>
      </c>
      <c r="H1666" s="2" t="s">
        <v>23</v>
      </c>
      <c r="I1666" s="2" t="s">
        <v>227</v>
      </c>
      <c r="J1666" s="2">
        <v>1</v>
      </c>
      <c r="K1666" s="2">
        <v>17.989999999999998</v>
      </c>
      <c r="L1666" s="2"/>
      <c r="M1666" s="2" t="s">
        <v>189</v>
      </c>
      <c r="N1666" s="2">
        <v>7.99</v>
      </c>
      <c r="O1666" s="2">
        <v>25.98</v>
      </c>
      <c r="P1666" s="2" t="s">
        <v>51</v>
      </c>
      <c r="Q1666" s="2" t="s">
        <v>28</v>
      </c>
      <c r="R1666" s="2" t="s">
        <v>42</v>
      </c>
      <c r="S1666" s="2" t="s">
        <v>228</v>
      </c>
      <c r="T1666" s="2"/>
      <c r="U1666" s="2" t="str">
        <f t="shared" si="79"/>
        <v>Not Required</v>
      </c>
      <c r="V1666" s="2" t="s">
        <v>4408</v>
      </c>
    </row>
    <row r="1667" spans="1:22" hidden="1" x14ac:dyDescent="0.3">
      <c r="A1667" s="2" t="s">
        <v>4409</v>
      </c>
      <c r="B1667" s="12">
        <f t="shared" si="78"/>
        <v>46238</v>
      </c>
      <c r="C1667" s="13" t="s">
        <v>1209</v>
      </c>
      <c r="D1667" s="2" t="s">
        <v>193</v>
      </c>
      <c r="E1667" s="2" t="str">
        <f t="shared" ref="E1667:E1730" si="80">IF(TRIM(F1667)="","Missing Email","Email Available")</f>
        <v>Email Available</v>
      </c>
      <c r="F1667" s="2" t="s">
        <v>194</v>
      </c>
      <c r="G1667" s="2" t="s">
        <v>226</v>
      </c>
      <c r="H1667" s="2" t="s">
        <v>23</v>
      </c>
      <c r="I1667" s="2" t="s">
        <v>227</v>
      </c>
      <c r="J1667" s="2">
        <v>1</v>
      </c>
      <c r="K1667" s="2">
        <v>17.989999999999998</v>
      </c>
      <c r="L1667" s="2" t="s">
        <v>25</v>
      </c>
      <c r="M1667" s="2">
        <v>3.6</v>
      </c>
      <c r="N1667" s="2">
        <v>4.99</v>
      </c>
      <c r="O1667" s="2">
        <v>19.38</v>
      </c>
      <c r="P1667" s="2" t="s">
        <v>74</v>
      </c>
      <c r="Q1667" s="2" t="s">
        <v>28</v>
      </c>
      <c r="R1667" s="2" t="s">
        <v>52</v>
      </c>
      <c r="S1667" s="2" t="s">
        <v>30</v>
      </c>
      <c r="T1667" s="2" t="s">
        <v>454</v>
      </c>
      <c r="U1667" s="2" t="str">
        <f t="shared" si="79"/>
        <v>Valid</v>
      </c>
      <c r="V1667" s="2" t="s">
        <v>4410</v>
      </c>
    </row>
    <row r="1668" spans="1:22" hidden="1" x14ac:dyDescent="0.3">
      <c r="A1668" s="2" t="s">
        <v>4411</v>
      </c>
      <c r="B1668" s="12">
        <f t="shared" si="78"/>
        <v>46238</v>
      </c>
      <c r="C1668" s="13" t="s">
        <v>2780</v>
      </c>
      <c r="D1668" s="2" t="s">
        <v>218</v>
      </c>
      <c r="E1668" s="2" t="str">
        <f t="shared" si="80"/>
        <v>Email Available</v>
      </c>
      <c r="F1668" s="2" t="s">
        <v>219</v>
      </c>
      <c r="G1668" s="2" t="s">
        <v>241</v>
      </c>
      <c r="H1668" s="2" t="s">
        <v>242</v>
      </c>
      <c r="I1668" s="2" t="s">
        <v>243</v>
      </c>
      <c r="J1668" s="2">
        <v>1</v>
      </c>
      <c r="K1668" s="2">
        <v>27.99</v>
      </c>
      <c r="L1668" s="2"/>
      <c r="M1668" s="2">
        <v>0</v>
      </c>
      <c r="N1668" s="2">
        <v>7.99</v>
      </c>
      <c r="O1668" s="2">
        <v>35.979999999999997</v>
      </c>
      <c r="P1668" s="2" t="s">
        <v>68</v>
      </c>
      <c r="Q1668" s="2" t="s">
        <v>114</v>
      </c>
      <c r="R1668" s="2" t="s">
        <v>29</v>
      </c>
      <c r="S1668" s="2" t="s">
        <v>30</v>
      </c>
      <c r="T1668" s="2" t="s">
        <v>145</v>
      </c>
      <c r="U1668" s="2" t="str">
        <f t="shared" si="79"/>
        <v>Valid</v>
      </c>
      <c r="V1668" s="2" t="s">
        <v>4412</v>
      </c>
    </row>
    <row r="1669" spans="1:22" hidden="1" x14ac:dyDescent="0.3">
      <c r="A1669" s="2" t="s">
        <v>4413</v>
      </c>
      <c r="B1669" s="12">
        <f t="shared" si="78"/>
        <v>46238.583405868063</v>
      </c>
      <c r="C1669" s="13">
        <v>46238.583405868063</v>
      </c>
      <c r="D1669" s="2" t="s">
        <v>331</v>
      </c>
      <c r="E1669" s="2" t="str">
        <f t="shared" si="80"/>
        <v>Email Available</v>
      </c>
      <c r="F1669" s="2" t="s">
        <v>332</v>
      </c>
      <c r="G1669" s="2" t="s">
        <v>187</v>
      </c>
      <c r="H1669" s="2" t="s">
        <v>37</v>
      </c>
      <c r="I1669" s="2" t="s">
        <v>188</v>
      </c>
      <c r="J1669" s="2">
        <v>2</v>
      </c>
      <c r="K1669" s="2">
        <v>11.99</v>
      </c>
      <c r="L1669" s="2" t="s">
        <v>25</v>
      </c>
      <c r="M1669" s="2">
        <v>4.8</v>
      </c>
      <c r="N1669" s="2">
        <v>5.99</v>
      </c>
      <c r="O1669" s="2">
        <v>25.17</v>
      </c>
      <c r="P1669" s="2" t="s">
        <v>68</v>
      </c>
      <c r="Q1669" s="2" t="s">
        <v>28</v>
      </c>
      <c r="R1669" s="2" t="s">
        <v>52</v>
      </c>
      <c r="S1669" s="2" t="s">
        <v>30</v>
      </c>
      <c r="T1669" s="2" t="s">
        <v>91</v>
      </c>
      <c r="U1669" s="2" t="str">
        <f t="shared" si="79"/>
        <v>Valid</v>
      </c>
      <c r="V1669" s="2" t="s">
        <v>4414</v>
      </c>
    </row>
    <row r="1670" spans="1:22" hidden="1" x14ac:dyDescent="0.3">
      <c r="A1670" s="2" t="s">
        <v>4415</v>
      </c>
      <c r="B1670" s="12">
        <f t="shared" si="78"/>
        <v>46238.581732870371</v>
      </c>
      <c r="C1670" s="13">
        <v>46238.581732870371</v>
      </c>
      <c r="D1670" s="2" t="s">
        <v>169</v>
      </c>
      <c r="E1670" s="2" t="str">
        <f t="shared" si="80"/>
        <v>Email Available</v>
      </c>
      <c r="F1670" s="2" t="s">
        <v>170</v>
      </c>
      <c r="G1670" s="2" t="s">
        <v>241</v>
      </c>
      <c r="H1670" s="2" t="s">
        <v>242</v>
      </c>
      <c r="I1670" s="2" t="s">
        <v>243</v>
      </c>
      <c r="J1670" s="2">
        <v>1</v>
      </c>
      <c r="K1670" s="2">
        <v>27.99</v>
      </c>
      <c r="L1670" s="2"/>
      <c r="M1670" s="2" t="s">
        <v>189</v>
      </c>
      <c r="N1670" s="2">
        <v>4.99</v>
      </c>
      <c r="O1670" s="2">
        <v>32.979999999999997</v>
      </c>
      <c r="P1670" s="2" t="s">
        <v>68</v>
      </c>
      <c r="Q1670" s="2" t="s">
        <v>41</v>
      </c>
      <c r="R1670" s="2" t="s">
        <v>52</v>
      </c>
      <c r="S1670" s="2" t="s">
        <v>108</v>
      </c>
      <c r="T1670" s="2"/>
      <c r="U1670" s="2" t="str">
        <f t="shared" si="79"/>
        <v>Not Required</v>
      </c>
      <c r="V1670" s="2" t="s">
        <v>4416</v>
      </c>
    </row>
    <row r="1671" spans="1:22" hidden="1" x14ac:dyDescent="0.3">
      <c r="A1671" s="2" t="s">
        <v>4417</v>
      </c>
      <c r="B1671" s="12">
        <f t="shared" si="78"/>
        <v>46238.586043275463</v>
      </c>
      <c r="C1671" s="13">
        <v>46238.586043275463</v>
      </c>
      <c r="D1671" s="2" t="s">
        <v>492</v>
      </c>
      <c r="E1671" s="2" t="str">
        <f t="shared" si="80"/>
        <v>Email Available</v>
      </c>
      <c r="F1671" s="2" t="s">
        <v>493</v>
      </c>
      <c r="G1671" s="2" t="s">
        <v>48</v>
      </c>
      <c r="H1671" s="2" t="s">
        <v>49</v>
      </c>
      <c r="I1671" s="2" t="s">
        <v>50</v>
      </c>
      <c r="J1671" s="2">
        <v>1</v>
      </c>
      <c r="K1671" s="2">
        <v>39.99</v>
      </c>
      <c r="L1671" s="2"/>
      <c r="M1671" s="2">
        <v>0</v>
      </c>
      <c r="N1671" s="2">
        <v>7.99</v>
      </c>
      <c r="O1671" s="2">
        <v>47.98</v>
      </c>
      <c r="P1671" s="2" t="s">
        <v>40</v>
      </c>
      <c r="Q1671" s="2" t="s">
        <v>28</v>
      </c>
      <c r="R1671" s="2" t="s">
        <v>29</v>
      </c>
      <c r="S1671" s="2" t="s">
        <v>75</v>
      </c>
      <c r="T1671" s="2"/>
      <c r="U1671" s="2" t="str">
        <f t="shared" si="79"/>
        <v>Not Required</v>
      </c>
      <c r="V1671" s="2" t="s">
        <v>4418</v>
      </c>
    </row>
    <row r="1672" spans="1:22" hidden="1" x14ac:dyDescent="0.3">
      <c r="A1672" s="2" t="s">
        <v>4419</v>
      </c>
      <c r="B1672" s="12">
        <f t="shared" si="78"/>
        <v>46238.589166215279</v>
      </c>
      <c r="C1672" s="13">
        <v>46238.589166215279</v>
      </c>
      <c r="D1672" s="2" t="s">
        <v>4420</v>
      </c>
      <c r="E1672" s="2" t="str">
        <f t="shared" si="80"/>
        <v>Email Available</v>
      </c>
      <c r="F1672" s="2" t="s">
        <v>1167</v>
      </c>
      <c r="G1672" s="2" t="s">
        <v>36</v>
      </c>
      <c r="H1672" s="2" t="s">
        <v>37</v>
      </c>
      <c r="I1672" s="2" t="s">
        <v>38</v>
      </c>
      <c r="J1672" s="2">
        <v>1</v>
      </c>
      <c r="K1672" s="2">
        <v>21.99</v>
      </c>
      <c r="L1672" s="2" t="s">
        <v>39</v>
      </c>
      <c r="M1672" s="2">
        <v>0</v>
      </c>
      <c r="N1672" s="2">
        <v>0</v>
      </c>
      <c r="O1672" s="2">
        <v>21.99</v>
      </c>
      <c r="P1672" s="2" t="s">
        <v>51</v>
      </c>
      <c r="Q1672" s="2" t="s">
        <v>90</v>
      </c>
      <c r="R1672" s="2" t="s">
        <v>52</v>
      </c>
      <c r="S1672" s="2" t="s">
        <v>30</v>
      </c>
      <c r="T1672" s="2" t="s">
        <v>91</v>
      </c>
      <c r="U1672" s="2" t="str">
        <f t="shared" si="79"/>
        <v>Valid</v>
      </c>
      <c r="V1672" s="2" t="s">
        <v>2672</v>
      </c>
    </row>
    <row r="1673" spans="1:22" x14ac:dyDescent="0.3">
      <c r="A1673" s="2" t="s">
        <v>4421</v>
      </c>
      <c r="B1673" s="12">
        <f t="shared" si="78"/>
        <v>46238.585931851849</v>
      </c>
      <c r="C1673" s="13">
        <v>46238.585931851849</v>
      </c>
      <c r="D1673" s="2" t="s">
        <v>1007</v>
      </c>
      <c r="E1673" s="2" t="str">
        <f t="shared" si="80"/>
        <v>Missing Email</v>
      </c>
      <c r="F1673" s="2"/>
      <c r="G1673" s="2" t="s">
        <v>315</v>
      </c>
      <c r="H1673" s="2" t="s">
        <v>37</v>
      </c>
      <c r="I1673" s="2" t="s">
        <v>316</v>
      </c>
      <c r="J1673" s="2">
        <v>1</v>
      </c>
      <c r="K1673" s="2">
        <v>8.99</v>
      </c>
      <c r="L1673" s="2"/>
      <c r="M1673" s="2">
        <v>0</v>
      </c>
      <c r="N1673" s="2">
        <v>5.99</v>
      </c>
      <c r="O1673" s="2">
        <v>14.98</v>
      </c>
      <c r="P1673" s="2" t="s">
        <v>40</v>
      </c>
      <c r="Q1673" s="2" t="s">
        <v>28</v>
      </c>
      <c r="R1673" s="2" t="s">
        <v>29</v>
      </c>
      <c r="S1673" s="2" t="s">
        <v>43</v>
      </c>
      <c r="T1673" s="2"/>
      <c r="U1673" s="2" t="str">
        <f t="shared" si="79"/>
        <v>Not Required</v>
      </c>
      <c r="V1673" s="2" t="s">
        <v>4422</v>
      </c>
    </row>
    <row r="1674" spans="1:22" hidden="1" x14ac:dyDescent="0.3">
      <c r="A1674" s="2" t="s">
        <v>4423</v>
      </c>
      <c r="B1674" s="12">
        <f t="shared" si="78"/>
        <v>46238.579335300929</v>
      </c>
      <c r="C1674" s="13">
        <v>46238.579335300929</v>
      </c>
      <c r="D1674" s="2" t="s">
        <v>614</v>
      </c>
      <c r="E1674" s="2" t="str">
        <f t="shared" si="80"/>
        <v>Email Available</v>
      </c>
      <c r="F1674" s="2" t="s">
        <v>615</v>
      </c>
      <c r="G1674" s="2" t="s">
        <v>65</v>
      </c>
      <c r="H1674" s="2" t="s">
        <v>49</v>
      </c>
      <c r="I1674" s="2" t="s">
        <v>66</v>
      </c>
      <c r="J1674" s="2">
        <v>2</v>
      </c>
      <c r="K1674" s="2">
        <v>14.99</v>
      </c>
      <c r="L1674" s="2" t="s">
        <v>121</v>
      </c>
      <c r="M1674" s="2">
        <v>7.5</v>
      </c>
      <c r="N1674" s="2">
        <v>4.99</v>
      </c>
      <c r="O1674" s="2">
        <v>27.47</v>
      </c>
      <c r="P1674" s="2" t="s">
        <v>51</v>
      </c>
      <c r="Q1674" s="2" t="s">
        <v>114</v>
      </c>
      <c r="R1674" s="2" t="s">
        <v>52</v>
      </c>
      <c r="S1674" s="2" t="s">
        <v>43</v>
      </c>
      <c r="T1674" s="2"/>
      <c r="U1674" s="2" t="str">
        <f t="shared" si="79"/>
        <v>Not Required</v>
      </c>
      <c r="V1674" s="2" t="s">
        <v>4424</v>
      </c>
    </row>
    <row r="1675" spans="1:22" hidden="1" x14ac:dyDescent="0.3">
      <c r="A1675" s="2" t="s">
        <v>4425</v>
      </c>
      <c r="B1675" s="12">
        <f t="shared" si="78"/>
        <v>46238.582483599537</v>
      </c>
      <c r="C1675" s="13">
        <v>46238.582483599537</v>
      </c>
      <c r="D1675" s="2" t="s">
        <v>1321</v>
      </c>
      <c r="E1675" s="2" t="str">
        <f t="shared" si="80"/>
        <v>Email Available</v>
      </c>
      <c r="F1675" s="2" t="s">
        <v>1322</v>
      </c>
      <c r="G1675" s="2" t="s">
        <v>315</v>
      </c>
      <c r="H1675" s="2" t="s">
        <v>37</v>
      </c>
      <c r="I1675" s="2" t="s">
        <v>316</v>
      </c>
      <c r="J1675" s="2">
        <v>2</v>
      </c>
      <c r="K1675" s="2">
        <v>8.99</v>
      </c>
      <c r="L1675" s="2" t="s">
        <v>25</v>
      </c>
      <c r="M1675" s="2">
        <v>3.6</v>
      </c>
      <c r="N1675" s="2">
        <v>7.99</v>
      </c>
      <c r="O1675" s="2">
        <v>22.37</v>
      </c>
      <c r="P1675" s="2" t="s">
        <v>68</v>
      </c>
      <c r="Q1675" s="2" t="s">
        <v>90</v>
      </c>
      <c r="R1675" s="2" t="s">
        <v>52</v>
      </c>
      <c r="S1675" s="2" t="s">
        <v>30</v>
      </c>
      <c r="T1675" s="2" t="s">
        <v>91</v>
      </c>
      <c r="U1675" s="2" t="str">
        <f t="shared" si="79"/>
        <v>Valid</v>
      </c>
      <c r="V1675" s="2" t="s">
        <v>4426</v>
      </c>
    </row>
    <row r="1676" spans="1:22" hidden="1" x14ac:dyDescent="0.3">
      <c r="A1676" s="2" t="s">
        <v>4427</v>
      </c>
      <c r="B1676" s="12">
        <f t="shared" si="78"/>
        <v>46120</v>
      </c>
      <c r="C1676" s="13" t="s">
        <v>142</v>
      </c>
      <c r="D1676" s="2" t="s">
        <v>988</v>
      </c>
      <c r="E1676" s="2" t="str">
        <f t="shared" si="80"/>
        <v>Email Available</v>
      </c>
      <c r="F1676" s="2" t="s">
        <v>989</v>
      </c>
      <c r="G1676" s="2" t="s">
        <v>87</v>
      </c>
      <c r="H1676" s="2" t="s">
        <v>88</v>
      </c>
      <c r="I1676" s="2" t="s">
        <v>89</v>
      </c>
      <c r="J1676" s="2">
        <v>1</v>
      </c>
      <c r="K1676" s="2">
        <v>54.99</v>
      </c>
      <c r="L1676" s="2" t="s">
        <v>25</v>
      </c>
      <c r="M1676" s="2">
        <v>11</v>
      </c>
      <c r="N1676" s="2">
        <v>5.99</v>
      </c>
      <c r="O1676" s="2">
        <v>49.98</v>
      </c>
      <c r="P1676" s="2" t="s">
        <v>40</v>
      </c>
      <c r="Q1676" s="2" t="s">
        <v>114</v>
      </c>
      <c r="R1676" s="2" t="s">
        <v>42</v>
      </c>
      <c r="S1676" s="2" t="s">
        <v>337</v>
      </c>
      <c r="T1676" s="2"/>
      <c r="U1676" s="2" t="str">
        <f t="shared" si="79"/>
        <v>Not Required</v>
      </c>
      <c r="V1676" s="2" t="s">
        <v>4428</v>
      </c>
    </row>
    <row r="1677" spans="1:22" hidden="1" x14ac:dyDescent="0.3">
      <c r="A1677" s="2" t="s">
        <v>4429</v>
      </c>
      <c r="B1677" s="12">
        <f t="shared" si="78"/>
        <v>46238.584393495366</v>
      </c>
      <c r="C1677" s="13">
        <v>46238.584393495366</v>
      </c>
      <c r="D1677" s="2" t="s">
        <v>2270</v>
      </c>
      <c r="E1677" s="2" t="str">
        <f t="shared" si="80"/>
        <v>Email Available</v>
      </c>
      <c r="F1677" s="2" t="s">
        <v>2271</v>
      </c>
      <c r="G1677" s="2" t="s">
        <v>241</v>
      </c>
      <c r="H1677" s="2" t="s">
        <v>242</v>
      </c>
      <c r="I1677" s="2" t="s">
        <v>243</v>
      </c>
      <c r="J1677" s="2">
        <v>4</v>
      </c>
      <c r="K1677" s="2">
        <v>27.99</v>
      </c>
      <c r="L1677" s="2"/>
      <c r="M1677" s="2">
        <v>0</v>
      </c>
      <c r="N1677" s="2">
        <v>0</v>
      </c>
      <c r="O1677" s="2">
        <v>111.96</v>
      </c>
      <c r="P1677" s="2" t="s">
        <v>40</v>
      </c>
      <c r="Q1677" s="2" t="s">
        <v>41</v>
      </c>
      <c r="R1677" s="2" t="s">
        <v>52</v>
      </c>
      <c r="S1677" s="2" t="s">
        <v>228</v>
      </c>
      <c r="T1677" s="2"/>
      <c r="U1677" s="2" t="str">
        <f t="shared" si="79"/>
        <v>Not Required</v>
      </c>
      <c r="V1677" s="2" t="s">
        <v>4430</v>
      </c>
    </row>
    <row r="1678" spans="1:22" hidden="1" x14ac:dyDescent="0.3">
      <c r="A1678" s="2" t="s">
        <v>4431</v>
      </c>
      <c r="B1678" s="12">
        <f t="shared" si="78"/>
        <v>46238</v>
      </c>
      <c r="C1678" s="13" t="s">
        <v>255</v>
      </c>
      <c r="D1678" s="2" t="s">
        <v>94</v>
      </c>
      <c r="E1678" s="2" t="str">
        <f t="shared" si="80"/>
        <v>Email Available</v>
      </c>
      <c r="F1678" s="2" t="s">
        <v>95</v>
      </c>
      <c r="G1678" s="2" t="s">
        <v>120</v>
      </c>
      <c r="H1678" s="2" t="s">
        <v>23</v>
      </c>
      <c r="I1678" s="2" t="s">
        <v>24</v>
      </c>
      <c r="J1678" s="2">
        <v>1</v>
      </c>
      <c r="K1678" s="2">
        <v>12.99</v>
      </c>
      <c r="L1678" s="2" t="s">
        <v>67</v>
      </c>
      <c r="M1678" s="2">
        <v>1.3</v>
      </c>
      <c r="N1678" s="2">
        <v>5.99</v>
      </c>
      <c r="O1678" s="2">
        <v>17.68</v>
      </c>
      <c r="P1678" s="2" t="s">
        <v>27</v>
      </c>
      <c r="Q1678" s="2" t="s">
        <v>28</v>
      </c>
      <c r="R1678" s="2" t="s">
        <v>99</v>
      </c>
      <c r="S1678" s="2" t="s">
        <v>43</v>
      </c>
      <c r="T1678" s="2"/>
      <c r="U1678" s="2" t="str">
        <f t="shared" si="79"/>
        <v>Not Required</v>
      </c>
      <c r="V1678" s="2" t="s">
        <v>4432</v>
      </c>
    </row>
    <row r="1679" spans="1:22" hidden="1" x14ac:dyDescent="0.3">
      <c r="A1679" s="2" t="s">
        <v>4433</v>
      </c>
      <c r="B1679" s="12">
        <f t="shared" si="78"/>
        <v>46238.585543032408</v>
      </c>
      <c r="C1679" s="13">
        <v>46238.585543032408</v>
      </c>
      <c r="D1679" s="2" t="s">
        <v>155</v>
      </c>
      <c r="E1679" s="2" t="str">
        <f t="shared" si="80"/>
        <v>Email Available</v>
      </c>
      <c r="F1679" s="2" t="s">
        <v>156</v>
      </c>
      <c r="G1679" s="2" t="s">
        <v>187</v>
      </c>
      <c r="H1679" s="2" t="s">
        <v>37</v>
      </c>
      <c r="I1679" s="2" t="s">
        <v>188</v>
      </c>
      <c r="J1679" s="2">
        <v>1</v>
      </c>
      <c r="K1679" s="2">
        <v>11.99</v>
      </c>
      <c r="L1679" s="2" t="s">
        <v>25</v>
      </c>
      <c r="M1679" s="2">
        <v>2.4</v>
      </c>
      <c r="N1679" s="2">
        <v>4.99</v>
      </c>
      <c r="O1679" s="2">
        <v>14.58</v>
      </c>
      <c r="P1679" s="2" t="s">
        <v>68</v>
      </c>
      <c r="Q1679" s="2" t="s">
        <v>28</v>
      </c>
      <c r="R1679" s="2" t="s">
        <v>52</v>
      </c>
      <c r="S1679" s="2" t="s">
        <v>30</v>
      </c>
      <c r="T1679" s="2" t="s">
        <v>939</v>
      </c>
      <c r="U1679" s="2" t="str">
        <f t="shared" si="79"/>
        <v>Valid</v>
      </c>
      <c r="V1679" s="2" t="s">
        <v>4434</v>
      </c>
    </row>
    <row r="1680" spans="1:22" hidden="1" x14ac:dyDescent="0.3">
      <c r="A1680" s="2" t="s">
        <v>4435</v>
      </c>
      <c r="B1680" s="12">
        <f t="shared" si="78"/>
        <v>46238.579489918979</v>
      </c>
      <c r="C1680" s="13">
        <v>46238.579489918979</v>
      </c>
      <c r="D1680" s="2" t="s">
        <v>2045</v>
      </c>
      <c r="E1680" s="2" t="str">
        <f t="shared" si="80"/>
        <v>Email Available</v>
      </c>
      <c r="F1680" s="2" t="s">
        <v>2046</v>
      </c>
      <c r="G1680" s="2" t="s">
        <v>157</v>
      </c>
      <c r="H1680" s="2" t="s">
        <v>37</v>
      </c>
      <c r="I1680" s="2" t="s">
        <v>158</v>
      </c>
      <c r="J1680" s="2">
        <v>2</v>
      </c>
      <c r="K1680" s="2">
        <v>29.99</v>
      </c>
      <c r="L1680" s="2"/>
      <c r="M1680" s="2">
        <v>0</v>
      </c>
      <c r="N1680" s="2">
        <v>5.99</v>
      </c>
      <c r="O1680" s="2">
        <v>65.97</v>
      </c>
      <c r="P1680" s="2" t="s">
        <v>74</v>
      </c>
      <c r="Q1680" s="2" t="s">
        <v>28</v>
      </c>
      <c r="R1680" s="2" t="s">
        <v>52</v>
      </c>
      <c r="S1680" s="2" t="s">
        <v>108</v>
      </c>
      <c r="T1680" s="2"/>
      <c r="U1680" s="2" t="str">
        <f t="shared" si="79"/>
        <v>Not Required</v>
      </c>
      <c r="V1680" s="2" t="s">
        <v>4436</v>
      </c>
    </row>
    <row r="1681" spans="1:22" hidden="1" x14ac:dyDescent="0.3">
      <c r="A1681" s="2" t="s">
        <v>4437</v>
      </c>
      <c r="B1681" s="12">
        <f t="shared" si="78"/>
        <v>46238</v>
      </c>
      <c r="C1681" s="13" t="s">
        <v>2780</v>
      </c>
      <c r="D1681" s="2" t="s">
        <v>354</v>
      </c>
      <c r="E1681" s="2" t="str">
        <f t="shared" si="80"/>
        <v>Email Available</v>
      </c>
      <c r="F1681" s="2" t="s">
        <v>355</v>
      </c>
      <c r="G1681" s="2" t="s">
        <v>195</v>
      </c>
      <c r="H1681" s="2" t="s">
        <v>196</v>
      </c>
      <c r="I1681" s="2" t="s">
        <v>197</v>
      </c>
      <c r="J1681" s="2">
        <v>1</v>
      </c>
      <c r="K1681" s="2">
        <v>13.49</v>
      </c>
      <c r="L1681" s="2"/>
      <c r="M1681" s="2">
        <v>0</v>
      </c>
      <c r="N1681" s="2">
        <v>5.99</v>
      </c>
      <c r="O1681" s="2">
        <v>19.48</v>
      </c>
      <c r="P1681" s="2" t="s">
        <v>68</v>
      </c>
      <c r="Q1681" s="2" t="s">
        <v>28</v>
      </c>
      <c r="R1681" s="2" t="s">
        <v>29</v>
      </c>
      <c r="S1681" s="2" t="s">
        <v>228</v>
      </c>
      <c r="T1681" s="2"/>
      <c r="U1681" s="2" t="str">
        <f t="shared" si="79"/>
        <v>Not Required</v>
      </c>
      <c r="V1681" s="2" t="s">
        <v>4438</v>
      </c>
    </row>
    <row r="1682" spans="1:22" hidden="1" x14ac:dyDescent="0.3">
      <c r="A1682" s="2" t="s">
        <v>4439</v>
      </c>
      <c r="B1682" s="12">
        <f t="shared" si="78"/>
        <v>46238.586334039363</v>
      </c>
      <c r="C1682" s="13">
        <v>46238.586334039363</v>
      </c>
      <c r="D1682" s="2" t="s">
        <v>681</v>
      </c>
      <c r="E1682" s="2" t="str">
        <f t="shared" si="80"/>
        <v>Email Available</v>
      </c>
      <c r="F1682" s="2" t="s">
        <v>682</v>
      </c>
      <c r="G1682" s="2" t="s">
        <v>151</v>
      </c>
      <c r="H1682" s="2" t="s">
        <v>49</v>
      </c>
      <c r="I1682" s="2" t="s">
        <v>152</v>
      </c>
      <c r="J1682" s="2">
        <v>1</v>
      </c>
      <c r="K1682" s="2">
        <v>34.99</v>
      </c>
      <c r="L1682" s="2"/>
      <c r="M1682" s="2">
        <v>0</v>
      </c>
      <c r="N1682" s="2">
        <v>7.99</v>
      </c>
      <c r="O1682" s="2">
        <v>42.98</v>
      </c>
      <c r="P1682" s="2" t="s">
        <v>27</v>
      </c>
      <c r="Q1682" s="2" t="s">
        <v>28</v>
      </c>
      <c r="R1682" s="2" t="s">
        <v>52</v>
      </c>
      <c r="S1682" s="2" t="s">
        <v>75</v>
      </c>
      <c r="T1682" s="2"/>
      <c r="U1682" s="2" t="str">
        <f t="shared" si="79"/>
        <v>Not Required</v>
      </c>
      <c r="V1682" s="2" t="s">
        <v>4440</v>
      </c>
    </row>
    <row r="1683" spans="1:22" hidden="1" x14ac:dyDescent="0.3">
      <c r="A1683" s="2" t="s">
        <v>4441</v>
      </c>
      <c r="B1683" s="12">
        <f t="shared" si="78"/>
        <v>46238</v>
      </c>
      <c r="C1683" s="13" t="s">
        <v>344</v>
      </c>
      <c r="D1683" s="2" t="s">
        <v>853</v>
      </c>
      <c r="E1683" s="2" t="str">
        <f t="shared" si="80"/>
        <v>Email Available</v>
      </c>
      <c r="F1683" s="2" t="s">
        <v>854</v>
      </c>
      <c r="G1683" s="2" t="s">
        <v>368</v>
      </c>
      <c r="H1683" s="2" t="s">
        <v>88</v>
      </c>
      <c r="I1683" s="2" t="s">
        <v>369</v>
      </c>
      <c r="J1683" s="2">
        <v>1</v>
      </c>
      <c r="K1683" s="2">
        <v>54.99</v>
      </c>
      <c r="L1683" s="2" t="s">
        <v>25</v>
      </c>
      <c r="M1683" s="2">
        <v>11</v>
      </c>
      <c r="N1683" s="2">
        <v>5.99</v>
      </c>
      <c r="O1683" s="2">
        <v>49.98</v>
      </c>
      <c r="P1683" s="2" t="s">
        <v>68</v>
      </c>
      <c r="Q1683" s="2" t="s">
        <v>90</v>
      </c>
      <c r="R1683" s="2" t="s">
        <v>52</v>
      </c>
      <c r="S1683" s="2" t="s">
        <v>30</v>
      </c>
      <c r="T1683" s="2" t="s">
        <v>766</v>
      </c>
      <c r="U1683" s="2" t="str">
        <f t="shared" si="79"/>
        <v>Valid</v>
      </c>
      <c r="V1683" s="2" t="s">
        <v>4442</v>
      </c>
    </row>
    <row r="1684" spans="1:22" hidden="1" x14ac:dyDescent="0.3">
      <c r="A1684" s="2" t="s">
        <v>4443</v>
      </c>
      <c r="B1684" s="12">
        <f t="shared" si="78"/>
        <v>46238.586912152779</v>
      </c>
      <c r="C1684" s="13">
        <v>46238.586912152779</v>
      </c>
      <c r="D1684" s="2" t="s">
        <v>797</v>
      </c>
      <c r="E1684" s="2" t="str">
        <f t="shared" si="80"/>
        <v>Email Available</v>
      </c>
      <c r="F1684" s="2" t="s">
        <v>798</v>
      </c>
      <c r="G1684" s="2" t="s">
        <v>241</v>
      </c>
      <c r="H1684" s="2" t="s">
        <v>242</v>
      </c>
      <c r="I1684" s="2" t="s">
        <v>243</v>
      </c>
      <c r="J1684" s="2">
        <v>2</v>
      </c>
      <c r="K1684" s="2">
        <v>27.99</v>
      </c>
      <c r="L1684" s="2" t="s">
        <v>39</v>
      </c>
      <c r="M1684" s="2">
        <v>0</v>
      </c>
      <c r="N1684" s="2">
        <v>0</v>
      </c>
      <c r="O1684" s="2">
        <v>55.98</v>
      </c>
      <c r="P1684" s="2" t="s">
        <v>40</v>
      </c>
      <c r="Q1684" s="2" t="s">
        <v>28</v>
      </c>
      <c r="R1684" s="2" t="s">
        <v>52</v>
      </c>
      <c r="S1684" s="2" t="s">
        <v>337</v>
      </c>
      <c r="T1684" s="2"/>
      <c r="U1684" s="2" t="str">
        <f t="shared" si="79"/>
        <v>Not Required</v>
      </c>
      <c r="V1684" s="2" t="s">
        <v>4444</v>
      </c>
    </row>
    <row r="1685" spans="1:22" hidden="1" x14ac:dyDescent="0.3">
      <c r="A1685" s="2" t="s">
        <v>4445</v>
      </c>
      <c r="B1685" s="12">
        <f t="shared" si="78"/>
        <v>46238.586445115739</v>
      </c>
      <c r="C1685" s="13">
        <v>46238.586445115739</v>
      </c>
      <c r="D1685" s="2" t="s">
        <v>1721</v>
      </c>
      <c r="E1685" s="2" t="str">
        <f t="shared" si="80"/>
        <v>Email Available</v>
      </c>
      <c r="F1685" s="2" t="s">
        <v>606</v>
      </c>
      <c r="G1685" s="2" t="s">
        <v>36</v>
      </c>
      <c r="H1685" s="2" t="s">
        <v>37</v>
      </c>
      <c r="I1685" s="2" t="s">
        <v>38</v>
      </c>
      <c r="J1685" s="2">
        <v>1</v>
      </c>
      <c r="K1685" s="2">
        <v>21.99</v>
      </c>
      <c r="L1685" s="2"/>
      <c r="M1685" s="2">
        <v>0</v>
      </c>
      <c r="N1685" s="2">
        <v>7.99</v>
      </c>
      <c r="O1685" s="2">
        <v>29.98</v>
      </c>
      <c r="P1685" s="2" t="s">
        <v>27</v>
      </c>
      <c r="Q1685" s="2" t="s">
        <v>28</v>
      </c>
      <c r="R1685" s="2" t="s">
        <v>52</v>
      </c>
      <c r="S1685" s="2" t="s">
        <v>30</v>
      </c>
      <c r="T1685" s="2" t="s">
        <v>454</v>
      </c>
      <c r="U1685" s="2" t="str">
        <f t="shared" si="79"/>
        <v>Valid</v>
      </c>
      <c r="V1685" s="2" t="s">
        <v>4446</v>
      </c>
    </row>
    <row r="1686" spans="1:22" hidden="1" x14ac:dyDescent="0.3">
      <c r="A1686" s="2" t="s">
        <v>4447</v>
      </c>
      <c r="B1686" s="12">
        <f t="shared" si="78"/>
        <v>46238.581741793983</v>
      </c>
      <c r="C1686" s="13">
        <v>46238.581741793983</v>
      </c>
      <c r="D1686" s="2" t="s">
        <v>335</v>
      </c>
      <c r="E1686" s="2" t="str">
        <f t="shared" si="80"/>
        <v>Email Available</v>
      </c>
      <c r="F1686" s="2" t="s">
        <v>336</v>
      </c>
      <c r="G1686" s="2" t="s">
        <v>226</v>
      </c>
      <c r="H1686" s="2" t="s">
        <v>23</v>
      </c>
      <c r="I1686" s="2" t="s">
        <v>227</v>
      </c>
      <c r="J1686" s="2">
        <v>2</v>
      </c>
      <c r="K1686" s="2">
        <v>17.989999999999998</v>
      </c>
      <c r="L1686" s="2"/>
      <c r="M1686" s="2">
        <v>0</v>
      </c>
      <c r="N1686" s="2">
        <v>4.99</v>
      </c>
      <c r="O1686" s="2">
        <v>40.97</v>
      </c>
      <c r="P1686" s="2" t="s">
        <v>51</v>
      </c>
      <c r="Q1686" s="2" t="s">
        <v>28</v>
      </c>
      <c r="R1686" s="2" t="s">
        <v>99</v>
      </c>
      <c r="S1686" s="2" t="s">
        <v>337</v>
      </c>
      <c r="T1686" s="2"/>
      <c r="U1686" s="2" t="str">
        <f t="shared" si="79"/>
        <v>Not Required</v>
      </c>
      <c r="V1686" s="2" t="s">
        <v>4448</v>
      </c>
    </row>
    <row r="1687" spans="1:22" hidden="1" x14ac:dyDescent="0.3">
      <c r="A1687" s="2" t="s">
        <v>4449</v>
      </c>
      <c r="B1687" s="12">
        <f t="shared" si="78"/>
        <v>46238.585586273148</v>
      </c>
      <c r="C1687" s="13">
        <v>46238.585586273148</v>
      </c>
      <c r="D1687" s="2" t="s">
        <v>655</v>
      </c>
      <c r="E1687" s="2" t="str">
        <f t="shared" si="80"/>
        <v>Email Available</v>
      </c>
      <c r="F1687" s="2" t="s">
        <v>656</v>
      </c>
      <c r="G1687" s="2" t="s">
        <v>171</v>
      </c>
      <c r="H1687" s="2" t="s">
        <v>106</v>
      </c>
      <c r="I1687" s="2" t="s">
        <v>172</v>
      </c>
      <c r="J1687" s="2">
        <v>1</v>
      </c>
      <c r="K1687" s="2">
        <v>32.99</v>
      </c>
      <c r="L1687" s="2" t="s">
        <v>39</v>
      </c>
      <c r="M1687" s="2">
        <v>0</v>
      </c>
      <c r="N1687" s="2">
        <v>0</v>
      </c>
      <c r="O1687" s="2">
        <v>32.99</v>
      </c>
      <c r="P1687" s="2" t="s">
        <v>27</v>
      </c>
      <c r="Q1687" s="2" t="s">
        <v>28</v>
      </c>
      <c r="R1687" s="2" t="s">
        <v>52</v>
      </c>
      <c r="S1687" s="2" t="s">
        <v>228</v>
      </c>
      <c r="T1687" s="2"/>
      <c r="U1687" s="2" t="str">
        <f t="shared" si="79"/>
        <v>Not Required</v>
      </c>
      <c r="V1687" s="2" t="s">
        <v>4450</v>
      </c>
    </row>
    <row r="1688" spans="1:22" hidden="1" x14ac:dyDescent="0.3">
      <c r="A1688" s="2" t="s">
        <v>4451</v>
      </c>
      <c r="B1688" s="12">
        <f t="shared" si="78"/>
        <v>46238.583488657408</v>
      </c>
      <c r="C1688" s="13">
        <v>46238.583488657408</v>
      </c>
      <c r="D1688" s="2" t="s">
        <v>165</v>
      </c>
      <c r="E1688" s="2" t="str">
        <f t="shared" si="80"/>
        <v>Email Available</v>
      </c>
      <c r="F1688" s="2" t="s">
        <v>166</v>
      </c>
      <c r="G1688" s="2" t="s">
        <v>133</v>
      </c>
      <c r="H1688" s="2" t="s">
        <v>106</v>
      </c>
      <c r="I1688" s="2" t="s">
        <v>134</v>
      </c>
      <c r="J1688" s="2">
        <v>1</v>
      </c>
      <c r="K1688" s="2">
        <v>16.989999999999998</v>
      </c>
      <c r="L1688" s="2" t="s">
        <v>39</v>
      </c>
      <c r="M1688" s="2">
        <v>0</v>
      </c>
      <c r="N1688" s="2">
        <v>0</v>
      </c>
      <c r="O1688" s="2">
        <v>16.989999999999998</v>
      </c>
      <c r="P1688" s="2" t="s">
        <v>74</v>
      </c>
      <c r="Q1688" s="2" t="s">
        <v>114</v>
      </c>
      <c r="R1688" s="2" t="s">
        <v>99</v>
      </c>
      <c r="S1688" s="2" t="s">
        <v>30</v>
      </c>
      <c r="T1688" s="2" t="s">
        <v>60</v>
      </c>
      <c r="U1688" s="2" t="str">
        <f t="shared" si="79"/>
        <v>Valid</v>
      </c>
      <c r="V1688" s="2" t="s">
        <v>4452</v>
      </c>
    </row>
    <row r="1689" spans="1:22" hidden="1" x14ac:dyDescent="0.3">
      <c r="A1689" s="2" t="s">
        <v>4453</v>
      </c>
      <c r="B1689" s="12">
        <f t="shared" si="78"/>
        <v>46238.579086076388</v>
      </c>
      <c r="C1689" s="13">
        <v>46238.579086076388</v>
      </c>
      <c r="D1689" s="2" t="s">
        <v>1420</v>
      </c>
      <c r="E1689" s="2" t="str">
        <f t="shared" si="80"/>
        <v>Email Available</v>
      </c>
      <c r="F1689" s="2" t="s">
        <v>1421</v>
      </c>
      <c r="G1689" s="2" t="s">
        <v>157</v>
      </c>
      <c r="H1689" s="2" t="s">
        <v>37</v>
      </c>
      <c r="I1689" s="2" t="s">
        <v>158</v>
      </c>
      <c r="J1689" s="2">
        <v>1</v>
      </c>
      <c r="K1689" s="2">
        <v>29.99</v>
      </c>
      <c r="L1689" s="2"/>
      <c r="M1689" s="2">
        <v>0</v>
      </c>
      <c r="N1689" s="2">
        <v>4.99</v>
      </c>
      <c r="O1689" s="2">
        <v>34.979999999999997</v>
      </c>
      <c r="P1689" s="2" t="s">
        <v>27</v>
      </c>
      <c r="Q1689" s="2" t="s">
        <v>90</v>
      </c>
      <c r="R1689" s="2" t="s">
        <v>52</v>
      </c>
      <c r="S1689" s="2" t="s">
        <v>108</v>
      </c>
      <c r="T1689" s="2"/>
      <c r="U1689" s="2" t="str">
        <f t="shared" si="79"/>
        <v>Not Required</v>
      </c>
      <c r="V1689" s="2" t="s">
        <v>4454</v>
      </c>
    </row>
    <row r="1690" spans="1:22" hidden="1" x14ac:dyDescent="0.3">
      <c r="A1690" s="2" t="s">
        <v>4455</v>
      </c>
      <c r="B1690" s="12">
        <f t="shared" si="78"/>
        <v>46238.580747835651</v>
      </c>
      <c r="C1690" s="13">
        <v>46238.580747835651</v>
      </c>
      <c r="D1690" s="2" t="s">
        <v>1839</v>
      </c>
      <c r="E1690" s="2" t="str">
        <f t="shared" si="80"/>
        <v>Email Available</v>
      </c>
      <c r="F1690" s="2" t="s">
        <v>1840</v>
      </c>
      <c r="G1690" s="2" t="s">
        <v>58</v>
      </c>
      <c r="H1690" s="2" t="s">
        <v>23</v>
      </c>
      <c r="I1690" s="2" t="s">
        <v>59</v>
      </c>
      <c r="J1690" s="2">
        <v>2</v>
      </c>
      <c r="K1690" s="2">
        <v>9.99</v>
      </c>
      <c r="L1690" s="2"/>
      <c r="M1690" s="2">
        <v>0</v>
      </c>
      <c r="N1690" s="2">
        <v>5.99</v>
      </c>
      <c r="O1690" s="2">
        <v>25.97</v>
      </c>
      <c r="P1690" s="2" t="s">
        <v>74</v>
      </c>
      <c r="Q1690" s="2" t="s">
        <v>28</v>
      </c>
      <c r="R1690" s="2" t="s">
        <v>52</v>
      </c>
      <c r="S1690" s="2" t="s">
        <v>108</v>
      </c>
      <c r="T1690" s="2"/>
      <c r="U1690" s="2" t="str">
        <f t="shared" si="79"/>
        <v>Not Required</v>
      </c>
      <c r="V1690" s="2" t="s">
        <v>3390</v>
      </c>
    </row>
    <row r="1691" spans="1:22" hidden="1" x14ac:dyDescent="0.3">
      <c r="A1691" s="2" t="s">
        <v>4456</v>
      </c>
      <c r="B1691" s="12">
        <f t="shared" si="78"/>
        <v>46238.585145567129</v>
      </c>
      <c r="C1691" s="13">
        <v>46238.585145567129</v>
      </c>
      <c r="D1691" s="2" t="s">
        <v>906</v>
      </c>
      <c r="E1691" s="2" t="str">
        <f t="shared" si="80"/>
        <v>Email Available</v>
      </c>
      <c r="F1691" s="2" t="s">
        <v>907</v>
      </c>
      <c r="G1691" s="2" t="s">
        <v>127</v>
      </c>
      <c r="H1691" s="2" t="s">
        <v>81</v>
      </c>
      <c r="I1691" s="2" t="s">
        <v>128</v>
      </c>
      <c r="J1691" s="2">
        <v>3</v>
      </c>
      <c r="K1691" s="2">
        <v>13.99</v>
      </c>
      <c r="L1691" s="2" t="s">
        <v>39</v>
      </c>
      <c r="M1691" s="2" t="s">
        <v>189</v>
      </c>
      <c r="N1691" s="2">
        <v>0</v>
      </c>
      <c r="O1691" s="2">
        <v>41.97</v>
      </c>
      <c r="P1691" s="2" t="s">
        <v>74</v>
      </c>
      <c r="Q1691" s="2" t="s">
        <v>90</v>
      </c>
      <c r="R1691" s="2" t="s">
        <v>42</v>
      </c>
      <c r="S1691" s="2" t="s">
        <v>30</v>
      </c>
      <c r="T1691" s="2" t="s">
        <v>69</v>
      </c>
      <c r="U1691" s="2" t="str">
        <f t="shared" si="79"/>
        <v>Valid</v>
      </c>
      <c r="V1691" s="2" t="s">
        <v>4457</v>
      </c>
    </row>
    <row r="1692" spans="1:22" hidden="1" x14ac:dyDescent="0.3">
      <c r="A1692" s="2" t="s">
        <v>4458</v>
      </c>
      <c r="B1692" s="12">
        <f t="shared" si="78"/>
        <v>46238.580938703701</v>
      </c>
      <c r="C1692" s="13">
        <v>46238.580938703701</v>
      </c>
      <c r="D1692" s="2" t="s">
        <v>927</v>
      </c>
      <c r="E1692" s="2" t="str">
        <f t="shared" si="80"/>
        <v>Email Available</v>
      </c>
      <c r="F1692" s="2" t="s">
        <v>928</v>
      </c>
      <c r="G1692" s="2" t="s">
        <v>65</v>
      </c>
      <c r="H1692" s="2" t="s">
        <v>49</v>
      </c>
      <c r="I1692" s="2" t="s">
        <v>66</v>
      </c>
      <c r="J1692" s="2">
        <v>1</v>
      </c>
      <c r="K1692" s="2">
        <v>14.99</v>
      </c>
      <c r="L1692" s="2"/>
      <c r="M1692" s="2">
        <v>0</v>
      </c>
      <c r="N1692" s="2">
        <v>4.99</v>
      </c>
      <c r="O1692" s="2">
        <v>19.98</v>
      </c>
      <c r="P1692" s="2" t="s">
        <v>40</v>
      </c>
      <c r="Q1692" s="2" t="s">
        <v>90</v>
      </c>
      <c r="R1692" s="2" t="s">
        <v>29</v>
      </c>
      <c r="S1692" s="2" t="s">
        <v>30</v>
      </c>
      <c r="T1692" s="2" t="s">
        <v>139</v>
      </c>
      <c r="U1692" s="2" t="str">
        <f t="shared" si="79"/>
        <v>Valid</v>
      </c>
      <c r="V1692" s="2" t="s">
        <v>4459</v>
      </c>
    </row>
    <row r="1693" spans="1:22" hidden="1" x14ac:dyDescent="0.3">
      <c r="A1693" s="2" t="s">
        <v>4460</v>
      </c>
      <c r="B1693" s="12">
        <f t="shared" si="78"/>
        <v>46238.580699293983</v>
      </c>
      <c r="C1693" s="13">
        <v>46238.580699293983</v>
      </c>
      <c r="D1693" s="2" t="s">
        <v>424</v>
      </c>
      <c r="E1693" s="2" t="str">
        <f t="shared" si="80"/>
        <v>Email Available</v>
      </c>
      <c r="F1693" s="2" t="s">
        <v>425</v>
      </c>
      <c r="G1693" s="2" t="s">
        <v>48</v>
      </c>
      <c r="H1693" s="2" t="s">
        <v>49</v>
      </c>
      <c r="I1693" s="2" t="s">
        <v>50</v>
      </c>
      <c r="J1693" s="2">
        <v>1</v>
      </c>
      <c r="K1693" s="2">
        <v>39.99</v>
      </c>
      <c r="L1693" s="2"/>
      <c r="M1693" s="2">
        <v>0</v>
      </c>
      <c r="N1693" s="2">
        <v>7.99</v>
      </c>
      <c r="O1693" s="2">
        <v>47.98</v>
      </c>
      <c r="P1693" s="2" t="s">
        <v>40</v>
      </c>
      <c r="Q1693" s="2" t="s">
        <v>41</v>
      </c>
      <c r="R1693" s="2" t="s">
        <v>52</v>
      </c>
      <c r="S1693" s="2" t="s">
        <v>30</v>
      </c>
      <c r="T1693" s="2" t="s">
        <v>69</v>
      </c>
      <c r="U1693" s="2" t="str">
        <f t="shared" si="79"/>
        <v>Valid</v>
      </c>
      <c r="V1693" s="2" t="s">
        <v>4461</v>
      </c>
    </row>
    <row r="1694" spans="1:22" hidden="1" x14ac:dyDescent="0.3">
      <c r="A1694" s="2" t="s">
        <v>4462</v>
      </c>
      <c r="B1694" s="12">
        <f t="shared" si="78"/>
        <v>46238.586560972217</v>
      </c>
      <c r="C1694" s="13">
        <v>46238.586560972217</v>
      </c>
      <c r="D1694" s="2" t="s">
        <v>900</v>
      </c>
      <c r="E1694" s="2" t="str">
        <f t="shared" si="80"/>
        <v>Email Available</v>
      </c>
      <c r="F1694" s="2" t="s">
        <v>901</v>
      </c>
      <c r="G1694" s="2" t="s">
        <v>80</v>
      </c>
      <c r="H1694" s="2" t="s">
        <v>81</v>
      </c>
      <c r="I1694" s="2" t="s">
        <v>82</v>
      </c>
      <c r="J1694" s="2">
        <v>1</v>
      </c>
      <c r="K1694" s="2">
        <v>89.99</v>
      </c>
      <c r="L1694" s="2"/>
      <c r="M1694" s="2">
        <v>0</v>
      </c>
      <c r="N1694" s="2">
        <v>0</v>
      </c>
      <c r="O1694" s="2">
        <v>89.99</v>
      </c>
      <c r="P1694" s="2" t="s">
        <v>68</v>
      </c>
      <c r="Q1694" s="2" t="s">
        <v>28</v>
      </c>
      <c r="R1694" s="2" t="s">
        <v>99</v>
      </c>
      <c r="S1694" s="2" t="s">
        <v>30</v>
      </c>
      <c r="T1694" s="2" t="s">
        <v>115</v>
      </c>
      <c r="U1694" s="2" t="str">
        <f t="shared" si="79"/>
        <v>Valid</v>
      </c>
      <c r="V1694" s="2" t="s">
        <v>4463</v>
      </c>
    </row>
    <row r="1695" spans="1:22" hidden="1" x14ac:dyDescent="0.3">
      <c r="A1695" s="2" t="s">
        <v>4464</v>
      </c>
      <c r="B1695" s="12">
        <f t="shared" si="78"/>
        <v>46238.578867256947</v>
      </c>
      <c r="C1695" s="13">
        <v>46238.578867256947</v>
      </c>
      <c r="D1695" s="2" t="s">
        <v>1502</v>
      </c>
      <c r="E1695" s="2" t="str">
        <f t="shared" si="80"/>
        <v>Email Available</v>
      </c>
      <c r="F1695" s="2" t="s">
        <v>1503</v>
      </c>
      <c r="G1695" s="2" t="s">
        <v>187</v>
      </c>
      <c r="H1695" s="2" t="s">
        <v>37</v>
      </c>
      <c r="I1695" s="2" t="s">
        <v>188</v>
      </c>
      <c r="J1695" s="2">
        <v>1</v>
      </c>
      <c r="K1695" s="2">
        <v>11.99</v>
      </c>
      <c r="L1695" s="2"/>
      <c r="M1695" s="2">
        <v>0</v>
      </c>
      <c r="N1695" s="2">
        <v>4.99</v>
      </c>
      <c r="O1695" s="2">
        <v>16.98</v>
      </c>
      <c r="P1695" s="2" t="s">
        <v>74</v>
      </c>
      <c r="Q1695" s="2" t="s">
        <v>28</v>
      </c>
      <c r="R1695" s="2" t="s">
        <v>42</v>
      </c>
      <c r="S1695" s="2" t="s">
        <v>30</v>
      </c>
      <c r="T1695" s="2" t="s">
        <v>248</v>
      </c>
      <c r="U1695" s="2" t="str">
        <f t="shared" si="79"/>
        <v>Valid</v>
      </c>
      <c r="V1695" s="2" t="s">
        <v>4465</v>
      </c>
    </row>
    <row r="1696" spans="1:22" hidden="1" x14ac:dyDescent="0.3">
      <c r="A1696" s="2" t="s">
        <v>4466</v>
      </c>
      <c r="B1696" s="12">
        <f t="shared" si="78"/>
        <v>46238.579502511573</v>
      </c>
      <c r="C1696" s="13">
        <v>46238.579502511573</v>
      </c>
      <c r="D1696" s="2" t="s">
        <v>4467</v>
      </c>
      <c r="E1696" s="2" t="str">
        <f t="shared" si="80"/>
        <v>Email Available</v>
      </c>
      <c r="F1696" s="2" t="s">
        <v>4468</v>
      </c>
      <c r="G1696" s="2" t="s">
        <v>368</v>
      </c>
      <c r="H1696" s="2" t="s">
        <v>88</v>
      </c>
      <c r="I1696" s="2" t="s">
        <v>369</v>
      </c>
      <c r="J1696" s="2">
        <v>1</v>
      </c>
      <c r="K1696" s="2">
        <v>54.99</v>
      </c>
      <c r="L1696" s="2" t="s">
        <v>39</v>
      </c>
      <c r="M1696" s="2">
        <v>0</v>
      </c>
      <c r="N1696" s="2">
        <v>0</v>
      </c>
      <c r="O1696" s="2">
        <v>54.99</v>
      </c>
      <c r="P1696" s="2" t="s">
        <v>68</v>
      </c>
      <c r="Q1696" s="2" t="s">
        <v>90</v>
      </c>
      <c r="R1696" s="2" t="s">
        <v>42</v>
      </c>
      <c r="S1696" s="2" t="s">
        <v>30</v>
      </c>
      <c r="T1696" s="2" t="s">
        <v>60</v>
      </c>
      <c r="U1696" s="2" t="str">
        <f t="shared" si="79"/>
        <v>Valid</v>
      </c>
      <c r="V1696" s="2" t="s">
        <v>4469</v>
      </c>
    </row>
    <row r="1697" spans="1:22" hidden="1" x14ac:dyDescent="0.3">
      <c r="A1697" s="2" t="s">
        <v>4470</v>
      </c>
      <c r="B1697" s="12">
        <f t="shared" si="78"/>
        <v>46238.583293425923</v>
      </c>
      <c r="C1697" s="13">
        <v>46238.583293425923</v>
      </c>
      <c r="D1697" s="2" t="s">
        <v>2816</v>
      </c>
      <c r="E1697" s="2" t="str">
        <f t="shared" si="80"/>
        <v>Email Available</v>
      </c>
      <c r="F1697" s="2" t="s">
        <v>2817</v>
      </c>
      <c r="G1697" s="2" t="s">
        <v>133</v>
      </c>
      <c r="H1697" s="2" t="s">
        <v>106</v>
      </c>
      <c r="I1697" s="2" t="s">
        <v>134</v>
      </c>
      <c r="J1697" s="2">
        <v>2</v>
      </c>
      <c r="K1697" s="2">
        <v>16.989999999999998</v>
      </c>
      <c r="L1697" s="2"/>
      <c r="M1697" s="2">
        <v>0</v>
      </c>
      <c r="N1697" s="2">
        <v>7.99</v>
      </c>
      <c r="O1697" s="2">
        <v>41.97</v>
      </c>
      <c r="P1697" s="2" t="s">
        <v>68</v>
      </c>
      <c r="Q1697" s="2" t="s">
        <v>90</v>
      </c>
      <c r="R1697" s="2" t="s">
        <v>52</v>
      </c>
      <c r="S1697" s="2" t="s">
        <v>30</v>
      </c>
      <c r="T1697" s="2" t="s">
        <v>454</v>
      </c>
      <c r="U1697" s="2" t="str">
        <f t="shared" si="79"/>
        <v>Valid</v>
      </c>
      <c r="V1697" s="2" t="s">
        <v>4471</v>
      </c>
    </row>
    <row r="1698" spans="1:22" hidden="1" x14ac:dyDescent="0.3">
      <c r="A1698" s="2" t="s">
        <v>4472</v>
      </c>
      <c r="B1698" s="12">
        <f t="shared" si="78"/>
        <v>46120</v>
      </c>
      <c r="C1698" s="13" t="s">
        <v>142</v>
      </c>
      <c r="D1698" s="2" t="s">
        <v>4473</v>
      </c>
      <c r="E1698" s="2" t="str">
        <f t="shared" si="80"/>
        <v>Email Available</v>
      </c>
      <c r="F1698" s="2" t="s">
        <v>4474</v>
      </c>
      <c r="G1698" s="2" t="s">
        <v>195</v>
      </c>
      <c r="H1698" s="2" t="s">
        <v>196</v>
      </c>
      <c r="I1698" s="2" t="s">
        <v>197</v>
      </c>
      <c r="J1698" s="2">
        <v>2</v>
      </c>
      <c r="K1698" s="2">
        <v>13.49</v>
      </c>
      <c r="L1698" s="2" t="s">
        <v>39</v>
      </c>
      <c r="M1698" s="2">
        <v>0</v>
      </c>
      <c r="N1698" s="2">
        <v>0</v>
      </c>
      <c r="O1698" s="2" t="s">
        <v>591</v>
      </c>
      <c r="P1698" s="2" t="s">
        <v>40</v>
      </c>
      <c r="Q1698" s="2" t="s">
        <v>28</v>
      </c>
      <c r="R1698" s="2" t="s">
        <v>52</v>
      </c>
      <c r="S1698" s="2" t="s">
        <v>228</v>
      </c>
      <c r="T1698" s="2"/>
      <c r="U1698" s="2" t="str">
        <f t="shared" si="79"/>
        <v>Not Required</v>
      </c>
      <c r="V1698" s="2" t="s">
        <v>4475</v>
      </c>
    </row>
    <row r="1699" spans="1:22" hidden="1" x14ac:dyDescent="0.3">
      <c r="A1699" s="2" t="s">
        <v>4476</v>
      </c>
      <c r="B1699" s="12">
        <f t="shared" si="78"/>
        <v>46238.584152326388</v>
      </c>
      <c r="C1699" s="13">
        <v>46238.584152326388</v>
      </c>
      <c r="D1699" s="2" t="s">
        <v>3440</v>
      </c>
      <c r="E1699" s="2" t="str">
        <f t="shared" si="80"/>
        <v>Email Available</v>
      </c>
      <c r="F1699" s="2" t="s">
        <v>3441</v>
      </c>
      <c r="G1699" s="2" t="s">
        <v>226</v>
      </c>
      <c r="H1699" s="2" t="s">
        <v>23</v>
      </c>
      <c r="I1699" s="2" t="s">
        <v>227</v>
      </c>
      <c r="J1699" s="2">
        <v>1</v>
      </c>
      <c r="K1699" s="2">
        <v>17.989999999999998</v>
      </c>
      <c r="L1699" s="2"/>
      <c r="M1699" s="2">
        <v>0</v>
      </c>
      <c r="N1699" s="2">
        <v>7.99</v>
      </c>
      <c r="O1699" s="2">
        <v>25.98</v>
      </c>
      <c r="P1699" s="2" t="s">
        <v>74</v>
      </c>
      <c r="Q1699" s="2" t="s">
        <v>28</v>
      </c>
      <c r="R1699" s="2" t="s">
        <v>42</v>
      </c>
      <c r="S1699" s="2" t="s">
        <v>228</v>
      </c>
      <c r="T1699" s="2"/>
      <c r="U1699" s="2" t="str">
        <f t="shared" si="79"/>
        <v>Not Required</v>
      </c>
      <c r="V1699" s="2" t="s">
        <v>4477</v>
      </c>
    </row>
    <row r="1700" spans="1:22" hidden="1" x14ac:dyDescent="0.3">
      <c r="A1700" s="2" t="s">
        <v>4478</v>
      </c>
      <c r="B1700" s="12">
        <f t="shared" si="78"/>
        <v>46238.580942141212</v>
      </c>
      <c r="C1700" s="13">
        <v>46238.580942141212</v>
      </c>
      <c r="D1700" s="2" t="s">
        <v>1059</v>
      </c>
      <c r="E1700" s="2" t="str">
        <f t="shared" si="80"/>
        <v>Email Available</v>
      </c>
      <c r="F1700" s="2" t="s">
        <v>1060</v>
      </c>
      <c r="G1700" s="2" t="s">
        <v>157</v>
      </c>
      <c r="H1700" s="2" t="s">
        <v>37</v>
      </c>
      <c r="I1700" s="2" t="s">
        <v>158</v>
      </c>
      <c r="J1700" s="2">
        <v>1</v>
      </c>
      <c r="K1700" s="2">
        <v>29.99</v>
      </c>
      <c r="L1700" s="2" t="s">
        <v>25</v>
      </c>
      <c r="M1700" s="2">
        <v>6</v>
      </c>
      <c r="N1700" s="2">
        <v>5.99</v>
      </c>
      <c r="O1700" s="2">
        <v>29.98</v>
      </c>
      <c r="P1700" s="2" t="s">
        <v>74</v>
      </c>
      <c r="Q1700" s="2" t="s">
        <v>41</v>
      </c>
      <c r="R1700" s="2" t="s">
        <v>42</v>
      </c>
      <c r="S1700" s="2" t="s">
        <v>108</v>
      </c>
      <c r="T1700" s="2"/>
      <c r="U1700" s="2" t="str">
        <f t="shared" si="79"/>
        <v>Not Required</v>
      </c>
      <c r="V1700" s="2" t="s">
        <v>4479</v>
      </c>
    </row>
    <row r="1701" spans="1:22" hidden="1" x14ac:dyDescent="0.3">
      <c r="A1701" s="2" t="s">
        <v>4480</v>
      </c>
      <c r="B1701" s="12">
        <f t="shared" si="78"/>
        <v>46238.579058958327</v>
      </c>
      <c r="C1701" s="13">
        <v>46238.579058958327</v>
      </c>
      <c r="D1701" s="2" t="s">
        <v>4481</v>
      </c>
      <c r="E1701" s="2" t="str">
        <f t="shared" si="80"/>
        <v>Email Available</v>
      </c>
      <c r="F1701" s="2" t="s">
        <v>4482</v>
      </c>
      <c r="G1701" s="2" t="s">
        <v>284</v>
      </c>
      <c r="H1701" s="2" t="s">
        <v>23</v>
      </c>
      <c r="I1701" s="2" t="s">
        <v>285</v>
      </c>
      <c r="J1701" s="2">
        <v>1</v>
      </c>
      <c r="K1701" s="2">
        <v>24.99</v>
      </c>
      <c r="L1701" s="2" t="s">
        <v>121</v>
      </c>
      <c r="M1701" s="2">
        <v>6.25</v>
      </c>
      <c r="N1701" s="2">
        <v>5.99</v>
      </c>
      <c r="O1701" s="2">
        <v>24.73</v>
      </c>
      <c r="P1701" s="2" t="s">
        <v>74</v>
      </c>
      <c r="Q1701" s="2" t="s">
        <v>114</v>
      </c>
      <c r="R1701" s="2" t="s">
        <v>52</v>
      </c>
      <c r="S1701" s="2" t="s">
        <v>30</v>
      </c>
      <c r="T1701" s="2" t="s">
        <v>347</v>
      </c>
      <c r="U1701" s="2" t="str">
        <f t="shared" si="79"/>
        <v>Valid</v>
      </c>
      <c r="V1701" s="2" t="s">
        <v>4483</v>
      </c>
    </row>
    <row r="1702" spans="1:22" hidden="1" x14ac:dyDescent="0.3">
      <c r="A1702" s="2" t="s">
        <v>4484</v>
      </c>
      <c r="B1702" s="12">
        <f t="shared" si="78"/>
        <v>46238.579124525473</v>
      </c>
      <c r="C1702" s="13">
        <v>46238.579124525473</v>
      </c>
      <c r="D1702" s="2" t="s">
        <v>621</v>
      </c>
      <c r="E1702" s="2" t="str">
        <f t="shared" si="80"/>
        <v>Email Available</v>
      </c>
      <c r="F1702" s="2" t="s">
        <v>622</v>
      </c>
      <c r="G1702" s="2" t="s">
        <v>112</v>
      </c>
      <c r="H1702" s="2" t="s">
        <v>81</v>
      </c>
      <c r="I1702" s="2" t="s">
        <v>113</v>
      </c>
      <c r="J1702" s="2">
        <v>2</v>
      </c>
      <c r="K1702" s="2">
        <v>22.99</v>
      </c>
      <c r="L1702" s="2" t="s">
        <v>208</v>
      </c>
      <c r="M1702" s="2">
        <v>6.9</v>
      </c>
      <c r="N1702" s="2">
        <v>4.99</v>
      </c>
      <c r="O1702" s="2">
        <v>44.07</v>
      </c>
      <c r="P1702" s="2" t="s">
        <v>74</v>
      </c>
      <c r="Q1702" s="2" t="s">
        <v>114</v>
      </c>
      <c r="R1702" s="2" t="s">
        <v>52</v>
      </c>
      <c r="S1702" s="2" t="s">
        <v>30</v>
      </c>
      <c r="T1702" s="2" t="s">
        <v>75</v>
      </c>
      <c r="U1702" s="2" t="str">
        <f t="shared" si="79"/>
        <v>Valid</v>
      </c>
      <c r="V1702" s="2" t="s">
        <v>4485</v>
      </c>
    </row>
    <row r="1703" spans="1:22" hidden="1" x14ac:dyDescent="0.3">
      <c r="A1703" s="2" t="s">
        <v>4486</v>
      </c>
      <c r="B1703" s="12">
        <f t="shared" si="78"/>
        <v>46238.58823400463</v>
      </c>
      <c r="C1703" s="13">
        <v>46238.58823400463</v>
      </c>
      <c r="D1703" s="2" t="s">
        <v>211</v>
      </c>
      <c r="E1703" s="2" t="str">
        <f t="shared" si="80"/>
        <v>Email Available</v>
      </c>
      <c r="F1703" s="2" t="s">
        <v>212</v>
      </c>
      <c r="G1703" s="2" t="s">
        <v>36</v>
      </c>
      <c r="H1703" s="2" t="s">
        <v>37</v>
      </c>
      <c r="I1703" s="2" t="s">
        <v>38</v>
      </c>
      <c r="J1703" s="2">
        <v>2</v>
      </c>
      <c r="K1703" s="2">
        <v>21.99</v>
      </c>
      <c r="L1703" s="2" t="s">
        <v>121</v>
      </c>
      <c r="M1703" s="2">
        <v>10.99</v>
      </c>
      <c r="N1703" s="2">
        <v>7.99</v>
      </c>
      <c r="O1703" s="2">
        <v>40.98</v>
      </c>
      <c r="P1703" s="2" t="s">
        <v>68</v>
      </c>
      <c r="Q1703" s="2" t="s">
        <v>28</v>
      </c>
      <c r="R1703" s="2" t="s">
        <v>29</v>
      </c>
      <c r="S1703" s="2" t="s">
        <v>108</v>
      </c>
      <c r="T1703" s="2"/>
      <c r="U1703" s="2" t="str">
        <f t="shared" si="79"/>
        <v>Not Required</v>
      </c>
      <c r="V1703" s="2" t="s">
        <v>4487</v>
      </c>
    </row>
    <row r="1704" spans="1:22" hidden="1" x14ac:dyDescent="0.3">
      <c r="A1704" s="2" t="s">
        <v>4488</v>
      </c>
      <c r="B1704" s="12">
        <f t="shared" si="78"/>
        <v>46238.580600162037</v>
      </c>
      <c r="C1704" s="13">
        <v>46238.580600162037</v>
      </c>
      <c r="D1704" s="2" t="s">
        <v>1045</v>
      </c>
      <c r="E1704" s="2" t="str">
        <f t="shared" si="80"/>
        <v>Email Available</v>
      </c>
      <c r="F1704" s="2" t="s">
        <v>1046</v>
      </c>
      <c r="G1704" s="2" t="s">
        <v>48</v>
      </c>
      <c r="H1704" s="2" t="s">
        <v>49</v>
      </c>
      <c r="I1704" s="2" t="s">
        <v>50</v>
      </c>
      <c r="J1704" s="2">
        <v>2</v>
      </c>
      <c r="K1704" s="2">
        <v>39.99</v>
      </c>
      <c r="L1704" s="2" t="s">
        <v>39</v>
      </c>
      <c r="M1704" s="2">
        <v>0</v>
      </c>
      <c r="N1704" s="2">
        <v>0</v>
      </c>
      <c r="O1704" s="2" t="s">
        <v>2276</v>
      </c>
      <c r="P1704" s="2" t="s">
        <v>40</v>
      </c>
      <c r="Q1704" s="2" t="s">
        <v>28</v>
      </c>
      <c r="R1704" s="2" t="s">
        <v>52</v>
      </c>
      <c r="S1704" s="2" t="s">
        <v>30</v>
      </c>
      <c r="T1704" s="2" t="s">
        <v>248</v>
      </c>
      <c r="U1704" s="2" t="str">
        <f t="shared" si="79"/>
        <v>Valid</v>
      </c>
      <c r="V1704" s="2" t="s">
        <v>4489</v>
      </c>
    </row>
    <row r="1705" spans="1:22" x14ac:dyDescent="0.3">
      <c r="A1705" s="2" t="s">
        <v>4490</v>
      </c>
      <c r="B1705" s="12">
        <f t="shared" si="78"/>
        <v>46238.58780645833</v>
      </c>
      <c r="C1705" s="13">
        <v>46238.58780645833</v>
      </c>
      <c r="D1705" s="2" t="s">
        <v>327</v>
      </c>
      <c r="E1705" s="2" t="str">
        <f t="shared" si="80"/>
        <v>Missing Email</v>
      </c>
      <c r="F1705" s="2"/>
      <c r="G1705" s="2" t="s">
        <v>157</v>
      </c>
      <c r="H1705" s="2" t="s">
        <v>37</v>
      </c>
      <c r="I1705" s="2" t="s">
        <v>158</v>
      </c>
      <c r="J1705" s="2">
        <v>4</v>
      </c>
      <c r="K1705" s="2">
        <v>29.99</v>
      </c>
      <c r="L1705" s="2"/>
      <c r="M1705" s="2">
        <v>0</v>
      </c>
      <c r="N1705" s="2">
        <v>0</v>
      </c>
      <c r="O1705" s="2">
        <v>119.96</v>
      </c>
      <c r="P1705" s="2" t="s">
        <v>74</v>
      </c>
      <c r="Q1705" s="2" t="s">
        <v>28</v>
      </c>
      <c r="R1705" s="2" t="s">
        <v>42</v>
      </c>
      <c r="S1705" s="2" t="s">
        <v>30</v>
      </c>
      <c r="T1705" s="2" t="s">
        <v>91</v>
      </c>
      <c r="U1705" s="2" t="str">
        <f t="shared" si="79"/>
        <v>Valid</v>
      </c>
      <c r="V1705" s="2" t="s">
        <v>2304</v>
      </c>
    </row>
    <row r="1706" spans="1:22" hidden="1" x14ac:dyDescent="0.3">
      <c r="A1706" s="2" t="s">
        <v>4491</v>
      </c>
      <c r="B1706" s="12">
        <f t="shared" si="78"/>
        <v>46238.579872083334</v>
      </c>
      <c r="C1706" s="13">
        <v>46238.579872083334</v>
      </c>
      <c r="D1706" s="2" t="s">
        <v>428</v>
      </c>
      <c r="E1706" s="2" t="str">
        <f t="shared" si="80"/>
        <v>Email Available</v>
      </c>
      <c r="F1706" s="2" t="s">
        <v>429</v>
      </c>
      <c r="G1706" s="2" t="s">
        <v>120</v>
      </c>
      <c r="H1706" s="2" t="s">
        <v>23</v>
      </c>
      <c r="I1706" s="2" t="s">
        <v>24</v>
      </c>
      <c r="J1706" s="2">
        <v>1</v>
      </c>
      <c r="K1706" s="2">
        <v>12.99</v>
      </c>
      <c r="L1706" s="2" t="s">
        <v>67</v>
      </c>
      <c r="M1706" s="2">
        <v>1.3</v>
      </c>
      <c r="N1706" s="2">
        <v>5.99</v>
      </c>
      <c r="O1706" s="2">
        <v>17.68</v>
      </c>
      <c r="P1706" s="2" t="s">
        <v>74</v>
      </c>
      <c r="Q1706" s="2" t="s">
        <v>28</v>
      </c>
      <c r="R1706" s="2" t="s">
        <v>52</v>
      </c>
      <c r="S1706" s="2" t="s">
        <v>30</v>
      </c>
      <c r="T1706" s="2" t="s">
        <v>69</v>
      </c>
      <c r="U1706" s="2" t="str">
        <f t="shared" si="79"/>
        <v>Valid</v>
      </c>
      <c r="V1706" s="2" t="s">
        <v>1042</v>
      </c>
    </row>
    <row r="1707" spans="1:22" hidden="1" x14ac:dyDescent="0.3">
      <c r="A1707" s="2" t="s">
        <v>4492</v>
      </c>
      <c r="B1707" s="12">
        <f t="shared" si="78"/>
        <v>46238.583949479173</v>
      </c>
      <c r="C1707" s="13">
        <v>46238.583949479173</v>
      </c>
      <c r="D1707" s="2" t="s">
        <v>1131</v>
      </c>
      <c r="E1707" s="2" t="str">
        <f t="shared" si="80"/>
        <v>Email Available</v>
      </c>
      <c r="F1707" s="2" t="s">
        <v>1132</v>
      </c>
      <c r="G1707" s="2" t="s">
        <v>171</v>
      </c>
      <c r="H1707" s="2" t="s">
        <v>106</v>
      </c>
      <c r="I1707" s="2" t="s">
        <v>172</v>
      </c>
      <c r="J1707" s="2">
        <v>2</v>
      </c>
      <c r="K1707" s="2" t="s">
        <v>173</v>
      </c>
      <c r="L1707" s="2"/>
      <c r="M1707" s="2">
        <v>0</v>
      </c>
      <c r="N1707" s="2">
        <v>5.99</v>
      </c>
      <c r="O1707" s="2">
        <v>71.97</v>
      </c>
      <c r="P1707" s="2" t="s">
        <v>68</v>
      </c>
      <c r="Q1707" s="2" t="s">
        <v>114</v>
      </c>
      <c r="R1707" s="2" t="s">
        <v>29</v>
      </c>
      <c r="S1707" s="2" t="s">
        <v>337</v>
      </c>
      <c r="T1707" s="2"/>
      <c r="U1707" s="2" t="str">
        <f t="shared" si="79"/>
        <v>Not Required</v>
      </c>
      <c r="V1707" s="2" t="s">
        <v>4493</v>
      </c>
    </row>
    <row r="1708" spans="1:22" hidden="1" x14ac:dyDescent="0.3">
      <c r="A1708" s="2" t="s">
        <v>4494</v>
      </c>
      <c r="B1708" s="12">
        <f t="shared" si="78"/>
        <v>46238.583081053242</v>
      </c>
      <c r="C1708" s="13">
        <v>46238.583081053242</v>
      </c>
      <c r="D1708" s="2" t="s">
        <v>1233</v>
      </c>
      <c r="E1708" s="2" t="str">
        <f t="shared" si="80"/>
        <v>Email Available</v>
      </c>
      <c r="F1708" s="2" t="s">
        <v>1234</v>
      </c>
      <c r="G1708" s="2" t="s">
        <v>58</v>
      </c>
      <c r="H1708" s="2" t="s">
        <v>23</v>
      </c>
      <c r="I1708" s="2" t="s">
        <v>59</v>
      </c>
      <c r="J1708" s="2">
        <v>1</v>
      </c>
      <c r="K1708" s="2">
        <v>9.99</v>
      </c>
      <c r="L1708" s="2" t="s">
        <v>208</v>
      </c>
      <c r="M1708" s="2">
        <v>1.5</v>
      </c>
      <c r="N1708" s="2">
        <v>4.99</v>
      </c>
      <c r="O1708" s="2">
        <v>13.48</v>
      </c>
      <c r="P1708" s="2" t="s">
        <v>68</v>
      </c>
      <c r="Q1708" s="2" t="s">
        <v>114</v>
      </c>
      <c r="R1708" s="2" t="s">
        <v>99</v>
      </c>
      <c r="S1708" s="2" t="s">
        <v>228</v>
      </c>
      <c r="T1708" s="2"/>
      <c r="U1708" s="2" t="str">
        <f t="shared" si="79"/>
        <v>Not Required</v>
      </c>
      <c r="V1708" s="2" t="s">
        <v>4495</v>
      </c>
    </row>
    <row r="1709" spans="1:22" hidden="1" x14ac:dyDescent="0.3">
      <c r="A1709" s="2" t="s">
        <v>4496</v>
      </c>
      <c r="B1709" s="12">
        <f t="shared" si="78"/>
        <v>46238.586897326393</v>
      </c>
      <c r="C1709" s="13">
        <v>46238.586897326393</v>
      </c>
      <c r="D1709" s="2" t="s">
        <v>1564</v>
      </c>
      <c r="E1709" s="2" t="str">
        <f t="shared" si="80"/>
        <v>Email Available</v>
      </c>
      <c r="F1709" s="2" t="s">
        <v>1565</v>
      </c>
      <c r="G1709" s="2" t="s">
        <v>127</v>
      </c>
      <c r="H1709" s="2" t="s">
        <v>81</v>
      </c>
      <c r="I1709" s="2" t="s">
        <v>128</v>
      </c>
      <c r="J1709" s="2">
        <v>1</v>
      </c>
      <c r="K1709" s="2" t="s">
        <v>1100</v>
      </c>
      <c r="L1709" s="2" t="s">
        <v>25</v>
      </c>
      <c r="M1709" s="2" t="s">
        <v>2693</v>
      </c>
      <c r="N1709" s="2">
        <v>4.99</v>
      </c>
      <c r="O1709" s="2">
        <v>16.18</v>
      </c>
      <c r="P1709" s="2" t="s">
        <v>40</v>
      </c>
      <c r="Q1709" s="2" t="s">
        <v>41</v>
      </c>
      <c r="R1709" s="2" t="s">
        <v>42</v>
      </c>
      <c r="S1709" s="2" t="s">
        <v>30</v>
      </c>
      <c r="T1709" s="2" t="s">
        <v>91</v>
      </c>
      <c r="U1709" s="2" t="str">
        <f t="shared" si="79"/>
        <v>Valid</v>
      </c>
      <c r="V1709" s="2" t="s">
        <v>4497</v>
      </c>
    </row>
    <row r="1710" spans="1:22" hidden="1" x14ac:dyDescent="0.3">
      <c r="A1710" s="2" t="s">
        <v>4498</v>
      </c>
      <c r="B1710" s="12">
        <f t="shared" si="78"/>
        <v>46238.589103310187</v>
      </c>
      <c r="C1710" s="13">
        <v>46238.589103310187</v>
      </c>
      <c r="D1710" s="2" t="s">
        <v>4499</v>
      </c>
      <c r="E1710" s="2" t="str">
        <f t="shared" si="80"/>
        <v>Email Available</v>
      </c>
      <c r="F1710" s="2" t="s">
        <v>271</v>
      </c>
      <c r="G1710" s="2" t="s">
        <v>284</v>
      </c>
      <c r="H1710" s="2" t="s">
        <v>23</v>
      </c>
      <c r="I1710" s="2" t="s">
        <v>285</v>
      </c>
      <c r="J1710" s="2">
        <v>1</v>
      </c>
      <c r="K1710" s="2">
        <v>24.99</v>
      </c>
      <c r="L1710" s="2" t="s">
        <v>121</v>
      </c>
      <c r="M1710" s="2">
        <v>6.25</v>
      </c>
      <c r="N1710" s="2">
        <v>7.99</v>
      </c>
      <c r="O1710" s="2">
        <v>26.73</v>
      </c>
      <c r="P1710" s="2" t="s">
        <v>74</v>
      </c>
      <c r="Q1710" s="2" t="s">
        <v>90</v>
      </c>
      <c r="R1710" s="2" t="s">
        <v>42</v>
      </c>
      <c r="S1710" s="2" t="s">
        <v>30</v>
      </c>
      <c r="T1710" s="2" t="s">
        <v>53</v>
      </c>
      <c r="U1710" s="2" t="str">
        <f t="shared" si="79"/>
        <v>Valid</v>
      </c>
      <c r="V1710" s="2" t="s">
        <v>4229</v>
      </c>
    </row>
    <row r="1711" spans="1:22" x14ac:dyDescent="0.3">
      <c r="A1711" s="2" t="s">
        <v>4500</v>
      </c>
      <c r="B1711" s="12">
        <f t="shared" si="78"/>
        <v>46238.584786932872</v>
      </c>
      <c r="C1711" s="13">
        <v>46238.584786932872</v>
      </c>
      <c r="D1711" s="2" t="s">
        <v>169</v>
      </c>
      <c r="E1711" s="2" t="str">
        <f t="shared" si="80"/>
        <v>Missing Email</v>
      </c>
      <c r="F1711" s="2"/>
      <c r="G1711" s="2" t="s">
        <v>4384</v>
      </c>
      <c r="H1711" s="2" t="s">
        <v>37</v>
      </c>
      <c r="I1711" s="2" t="s">
        <v>38</v>
      </c>
      <c r="J1711" s="2">
        <v>4</v>
      </c>
      <c r="K1711" s="2">
        <v>21.99</v>
      </c>
      <c r="L1711" s="2"/>
      <c r="M1711" s="2">
        <v>0</v>
      </c>
      <c r="N1711" s="2">
        <v>0</v>
      </c>
      <c r="O1711" s="2">
        <v>87.96</v>
      </c>
      <c r="P1711" s="2" t="s">
        <v>40</v>
      </c>
      <c r="Q1711" s="2" t="s">
        <v>114</v>
      </c>
      <c r="R1711" s="2" t="s">
        <v>52</v>
      </c>
      <c r="S1711" s="2" t="s">
        <v>108</v>
      </c>
      <c r="T1711" s="2"/>
      <c r="U1711" s="2" t="str">
        <f t="shared" si="79"/>
        <v>Not Required</v>
      </c>
      <c r="V1711" s="2" t="s">
        <v>4501</v>
      </c>
    </row>
    <row r="1712" spans="1:22" hidden="1" x14ac:dyDescent="0.3">
      <c r="A1712" s="2" t="s">
        <v>4502</v>
      </c>
      <c r="B1712" s="12">
        <f t="shared" si="78"/>
        <v>46238.581403240743</v>
      </c>
      <c r="C1712" s="13">
        <v>46238.581403240743</v>
      </c>
      <c r="D1712" s="2" t="s">
        <v>610</v>
      </c>
      <c r="E1712" s="2" t="str">
        <f t="shared" si="80"/>
        <v>Email Available</v>
      </c>
      <c r="F1712" s="2" t="s">
        <v>611</v>
      </c>
      <c r="G1712" s="2" t="s">
        <v>80</v>
      </c>
      <c r="H1712" s="2" t="s">
        <v>81</v>
      </c>
      <c r="I1712" s="2" t="s">
        <v>82</v>
      </c>
      <c r="J1712" s="2">
        <v>4</v>
      </c>
      <c r="K1712" s="2">
        <v>89.99</v>
      </c>
      <c r="L1712" s="2"/>
      <c r="M1712" s="2">
        <v>0</v>
      </c>
      <c r="N1712" s="2">
        <v>0</v>
      </c>
      <c r="O1712" s="2">
        <v>359.96</v>
      </c>
      <c r="P1712" s="2" t="s">
        <v>68</v>
      </c>
      <c r="Q1712" s="2" t="s">
        <v>90</v>
      </c>
      <c r="R1712" s="2" t="s">
        <v>42</v>
      </c>
      <c r="S1712" s="2" t="s">
        <v>43</v>
      </c>
      <c r="T1712" s="2"/>
      <c r="U1712" s="2" t="str">
        <f t="shared" si="79"/>
        <v>Not Required</v>
      </c>
      <c r="V1712" s="2" t="s">
        <v>4503</v>
      </c>
    </row>
    <row r="1713" spans="1:22" hidden="1" x14ac:dyDescent="0.3">
      <c r="A1713" s="2" t="s">
        <v>4504</v>
      </c>
      <c r="B1713" s="12">
        <f t="shared" si="78"/>
        <v>46238.584466458327</v>
      </c>
      <c r="C1713" s="13">
        <v>46238.584466458327</v>
      </c>
      <c r="D1713" s="2" t="s">
        <v>239</v>
      </c>
      <c r="E1713" s="2" t="str">
        <f t="shared" si="80"/>
        <v>Email Available</v>
      </c>
      <c r="F1713" s="2" t="s">
        <v>240</v>
      </c>
      <c r="G1713" s="2" t="s">
        <v>127</v>
      </c>
      <c r="H1713" s="2" t="s">
        <v>81</v>
      </c>
      <c r="I1713" s="2" t="s">
        <v>128</v>
      </c>
      <c r="J1713" s="2">
        <v>1</v>
      </c>
      <c r="K1713" s="2">
        <v>13.99</v>
      </c>
      <c r="L1713" s="2"/>
      <c r="M1713" s="2">
        <v>0</v>
      </c>
      <c r="N1713" s="2">
        <v>5.99</v>
      </c>
      <c r="O1713" s="2">
        <v>19.98</v>
      </c>
      <c r="P1713" s="2" t="s">
        <v>27</v>
      </c>
      <c r="Q1713" s="2" t="s">
        <v>28</v>
      </c>
      <c r="R1713" s="2" t="s">
        <v>42</v>
      </c>
      <c r="S1713" s="2" t="s">
        <v>75</v>
      </c>
      <c r="T1713" s="2"/>
      <c r="U1713" s="2" t="str">
        <f t="shared" si="79"/>
        <v>Not Required</v>
      </c>
      <c r="V1713" s="2" t="s">
        <v>4505</v>
      </c>
    </row>
    <row r="1714" spans="1:22" hidden="1" x14ac:dyDescent="0.3">
      <c r="A1714" s="2" t="s">
        <v>4506</v>
      </c>
      <c r="B1714" s="12">
        <f t="shared" si="78"/>
        <v>46238.583429409722</v>
      </c>
      <c r="C1714" s="13">
        <v>46238.583429409722</v>
      </c>
      <c r="D1714" s="2" t="s">
        <v>165</v>
      </c>
      <c r="E1714" s="2" t="str">
        <f t="shared" si="80"/>
        <v>Email Available</v>
      </c>
      <c r="F1714" s="2" t="s">
        <v>166</v>
      </c>
      <c r="G1714" s="2" t="s">
        <v>157</v>
      </c>
      <c r="H1714" s="2" t="s">
        <v>37</v>
      </c>
      <c r="I1714" s="2" t="s">
        <v>158</v>
      </c>
      <c r="J1714" s="2">
        <v>1</v>
      </c>
      <c r="K1714" s="2">
        <v>29.99</v>
      </c>
      <c r="L1714" s="2" t="s">
        <v>121</v>
      </c>
      <c r="M1714" s="2">
        <v>7.5</v>
      </c>
      <c r="N1714" s="2">
        <v>7.99</v>
      </c>
      <c r="O1714" s="2">
        <v>30.48</v>
      </c>
      <c r="P1714" s="2" t="s">
        <v>40</v>
      </c>
      <c r="Q1714" s="2" t="s">
        <v>28</v>
      </c>
      <c r="R1714" s="2" t="s">
        <v>52</v>
      </c>
      <c r="S1714" s="2" t="s">
        <v>30</v>
      </c>
      <c r="T1714" s="2" t="s">
        <v>351</v>
      </c>
      <c r="U1714" s="2" t="str">
        <f t="shared" si="79"/>
        <v>Valid</v>
      </c>
      <c r="V1714" s="2" t="s">
        <v>4507</v>
      </c>
    </row>
    <row r="1715" spans="1:22" hidden="1" x14ac:dyDescent="0.3">
      <c r="A1715" s="2" t="s">
        <v>4508</v>
      </c>
      <c r="B1715" s="12">
        <f t="shared" si="78"/>
        <v>46238.580109976851</v>
      </c>
      <c r="C1715" s="13">
        <v>46238.580109976851</v>
      </c>
      <c r="D1715" s="2" t="s">
        <v>748</v>
      </c>
      <c r="E1715" s="2" t="str">
        <f t="shared" si="80"/>
        <v>Email Available</v>
      </c>
      <c r="F1715" s="2" t="s">
        <v>749</v>
      </c>
      <c r="G1715" s="2" t="s">
        <v>241</v>
      </c>
      <c r="H1715" s="2" t="s">
        <v>242</v>
      </c>
      <c r="I1715" s="2" t="s">
        <v>243</v>
      </c>
      <c r="J1715" s="2">
        <v>2</v>
      </c>
      <c r="K1715" s="2">
        <v>27.99</v>
      </c>
      <c r="L1715" s="2" t="s">
        <v>208</v>
      </c>
      <c r="M1715" s="2">
        <v>8.4</v>
      </c>
      <c r="N1715" s="2">
        <v>5.99</v>
      </c>
      <c r="O1715" s="2">
        <v>53.57</v>
      </c>
      <c r="P1715" s="2" t="s">
        <v>74</v>
      </c>
      <c r="Q1715" s="2" t="s">
        <v>114</v>
      </c>
      <c r="R1715" s="2" t="s">
        <v>42</v>
      </c>
      <c r="S1715" s="2" t="s">
        <v>108</v>
      </c>
      <c r="T1715" s="2"/>
      <c r="U1715" s="2" t="str">
        <f t="shared" si="79"/>
        <v>Not Required</v>
      </c>
      <c r="V1715" s="2" t="s">
        <v>4509</v>
      </c>
    </row>
    <row r="1716" spans="1:22" hidden="1" x14ac:dyDescent="0.3">
      <c r="A1716" s="2" t="s">
        <v>4510</v>
      </c>
      <c r="B1716" s="12">
        <f t="shared" si="78"/>
        <v>46238.589108391207</v>
      </c>
      <c r="C1716" s="13">
        <v>46238.589108391207</v>
      </c>
      <c r="D1716" s="2" t="s">
        <v>536</v>
      </c>
      <c r="E1716" s="2" t="str">
        <f t="shared" si="80"/>
        <v>Email Available</v>
      </c>
      <c r="F1716" s="2" t="s">
        <v>537</v>
      </c>
      <c r="G1716" s="2" t="s">
        <v>58</v>
      </c>
      <c r="H1716" s="2" t="s">
        <v>23</v>
      </c>
      <c r="I1716" s="2" t="s">
        <v>59</v>
      </c>
      <c r="J1716" s="2">
        <v>1</v>
      </c>
      <c r="K1716" s="2">
        <v>9.99</v>
      </c>
      <c r="L1716" s="2"/>
      <c r="M1716" s="2">
        <v>0</v>
      </c>
      <c r="N1716" s="2">
        <v>5.99</v>
      </c>
      <c r="O1716" s="2">
        <v>15.98</v>
      </c>
      <c r="P1716" s="2" t="s">
        <v>51</v>
      </c>
      <c r="Q1716" s="2" t="s">
        <v>114</v>
      </c>
      <c r="R1716" s="2" t="s">
        <v>52</v>
      </c>
      <c r="S1716" s="2" t="s">
        <v>30</v>
      </c>
      <c r="T1716" s="2" t="s">
        <v>248</v>
      </c>
      <c r="U1716" s="2" t="str">
        <f t="shared" si="79"/>
        <v>Valid</v>
      </c>
      <c r="V1716" s="2" t="s">
        <v>4511</v>
      </c>
    </row>
    <row r="1717" spans="1:22" hidden="1" x14ac:dyDescent="0.3">
      <c r="A1717" s="2" t="s">
        <v>4512</v>
      </c>
      <c r="B1717" s="12">
        <f t="shared" si="78"/>
        <v>46238.585209317127</v>
      </c>
      <c r="C1717" s="13">
        <v>46238.585209317127</v>
      </c>
      <c r="D1717" s="2" t="s">
        <v>681</v>
      </c>
      <c r="E1717" s="2" t="str">
        <f t="shared" si="80"/>
        <v>Email Available</v>
      </c>
      <c r="F1717" s="2" t="s">
        <v>682</v>
      </c>
      <c r="G1717" s="2" t="s">
        <v>157</v>
      </c>
      <c r="H1717" s="2" t="s">
        <v>37</v>
      </c>
      <c r="I1717" s="2" t="s">
        <v>158</v>
      </c>
      <c r="J1717" s="2">
        <v>1</v>
      </c>
      <c r="K1717" s="2">
        <v>29.99</v>
      </c>
      <c r="L1717" s="2" t="s">
        <v>39</v>
      </c>
      <c r="M1717" s="2">
        <v>0</v>
      </c>
      <c r="N1717" s="2">
        <v>0</v>
      </c>
      <c r="O1717" s="2">
        <v>29.99</v>
      </c>
      <c r="P1717" s="2" t="s">
        <v>74</v>
      </c>
      <c r="Q1717" s="2" t="s">
        <v>114</v>
      </c>
      <c r="R1717" s="2" t="s">
        <v>52</v>
      </c>
      <c r="S1717" s="2" t="s">
        <v>75</v>
      </c>
      <c r="T1717" s="2"/>
      <c r="U1717" s="2" t="str">
        <f t="shared" si="79"/>
        <v>Not Required</v>
      </c>
      <c r="V1717" s="2" t="s">
        <v>4513</v>
      </c>
    </row>
    <row r="1718" spans="1:22" hidden="1" x14ac:dyDescent="0.3">
      <c r="A1718" s="2" t="s">
        <v>4514</v>
      </c>
      <c r="B1718" s="12">
        <f t="shared" si="78"/>
        <v>46238.584965208327</v>
      </c>
      <c r="C1718" s="13">
        <v>46238.584965208327</v>
      </c>
      <c r="D1718" s="2" t="s">
        <v>1007</v>
      </c>
      <c r="E1718" s="2" t="str">
        <f t="shared" si="80"/>
        <v>Email Available</v>
      </c>
      <c r="F1718" s="2" t="s">
        <v>1008</v>
      </c>
      <c r="G1718" s="2" t="s">
        <v>151</v>
      </c>
      <c r="H1718" s="2" t="s">
        <v>49</v>
      </c>
      <c r="I1718" s="2" t="s">
        <v>152</v>
      </c>
      <c r="J1718" s="2">
        <v>1</v>
      </c>
      <c r="K1718" s="2">
        <v>34.99</v>
      </c>
      <c r="L1718" s="2"/>
      <c r="M1718" s="2">
        <v>0</v>
      </c>
      <c r="N1718" s="2">
        <v>5.99</v>
      </c>
      <c r="O1718" s="2">
        <v>40.98</v>
      </c>
      <c r="P1718" s="2" t="s">
        <v>40</v>
      </c>
      <c r="Q1718" s="2" t="s">
        <v>114</v>
      </c>
      <c r="R1718" s="2" t="s">
        <v>52</v>
      </c>
      <c r="S1718" s="2" t="s">
        <v>43</v>
      </c>
      <c r="T1718" s="2"/>
      <c r="U1718" s="2" t="str">
        <f t="shared" si="79"/>
        <v>Not Required</v>
      </c>
      <c r="V1718" s="2" t="s">
        <v>2452</v>
      </c>
    </row>
    <row r="1719" spans="1:22" hidden="1" x14ac:dyDescent="0.3">
      <c r="A1719" s="2" t="s">
        <v>4515</v>
      </c>
      <c r="B1719" s="12">
        <f t="shared" si="78"/>
        <v>46238.581009710651</v>
      </c>
      <c r="C1719" s="13">
        <v>46238.581009710651</v>
      </c>
      <c r="D1719" s="2" t="s">
        <v>309</v>
      </c>
      <c r="E1719" s="2" t="str">
        <f t="shared" si="80"/>
        <v>Email Available</v>
      </c>
      <c r="F1719" s="2" t="s">
        <v>310</v>
      </c>
      <c r="G1719" s="2" t="s">
        <v>65</v>
      </c>
      <c r="H1719" s="2" t="s">
        <v>49</v>
      </c>
      <c r="I1719" s="2" t="s">
        <v>453</v>
      </c>
      <c r="J1719" s="2">
        <v>1</v>
      </c>
      <c r="K1719" s="2">
        <v>14.99</v>
      </c>
      <c r="L1719" s="2" t="s">
        <v>39</v>
      </c>
      <c r="M1719" s="2">
        <v>0</v>
      </c>
      <c r="N1719" s="2">
        <v>0</v>
      </c>
      <c r="O1719" s="2">
        <v>14.99</v>
      </c>
      <c r="P1719" s="2" t="s">
        <v>27</v>
      </c>
      <c r="Q1719" s="2" t="s">
        <v>28</v>
      </c>
      <c r="R1719" s="2" t="s">
        <v>99</v>
      </c>
      <c r="S1719" s="2" t="s">
        <v>30</v>
      </c>
      <c r="T1719" s="2" t="s">
        <v>91</v>
      </c>
      <c r="U1719" s="2" t="str">
        <f t="shared" si="79"/>
        <v>Valid</v>
      </c>
      <c r="V1719" s="2" t="s">
        <v>4516</v>
      </c>
    </row>
    <row r="1720" spans="1:22" hidden="1" x14ac:dyDescent="0.3">
      <c r="A1720" s="2" t="s">
        <v>4517</v>
      </c>
      <c r="B1720" s="12">
        <f t="shared" si="78"/>
        <v>46238.586292222222</v>
      </c>
      <c r="C1720" s="13">
        <v>46238.586292222222</v>
      </c>
      <c r="D1720" s="2" t="s">
        <v>4518</v>
      </c>
      <c r="E1720" s="2" t="str">
        <f t="shared" si="80"/>
        <v>Email Available</v>
      </c>
      <c r="F1720" s="2" t="s">
        <v>3851</v>
      </c>
      <c r="G1720" s="2" t="s">
        <v>58</v>
      </c>
      <c r="H1720" s="2" t="s">
        <v>23</v>
      </c>
      <c r="I1720" s="2" t="s">
        <v>59</v>
      </c>
      <c r="J1720" s="2">
        <v>1</v>
      </c>
      <c r="K1720" s="2">
        <v>9.99</v>
      </c>
      <c r="L1720" s="2"/>
      <c r="M1720" s="2" t="s">
        <v>189</v>
      </c>
      <c r="N1720" s="2">
        <v>4.99</v>
      </c>
      <c r="O1720" s="2">
        <v>14.98</v>
      </c>
      <c r="P1720" s="2" t="s">
        <v>74</v>
      </c>
      <c r="Q1720" s="2" t="s">
        <v>114</v>
      </c>
      <c r="R1720" s="2" t="s">
        <v>42</v>
      </c>
      <c r="S1720" s="2" t="s">
        <v>108</v>
      </c>
      <c r="T1720" s="2"/>
      <c r="U1720" s="2" t="str">
        <f t="shared" si="79"/>
        <v>Not Required</v>
      </c>
      <c r="V1720" s="2" t="s">
        <v>1921</v>
      </c>
    </row>
    <row r="1721" spans="1:22" x14ac:dyDescent="0.3">
      <c r="A1721" s="2" t="s">
        <v>4519</v>
      </c>
      <c r="B1721" s="12">
        <f t="shared" si="78"/>
        <v>46238.579060671298</v>
      </c>
      <c r="C1721" s="13">
        <v>46238.579060671298</v>
      </c>
      <c r="D1721" s="2" t="s">
        <v>1382</v>
      </c>
      <c r="E1721" s="2" t="str">
        <f t="shared" si="80"/>
        <v>Missing Email</v>
      </c>
      <c r="F1721" s="2"/>
      <c r="G1721" s="2" t="s">
        <v>924</v>
      </c>
      <c r="H1721" s="2" t="s">
        <v>88</v>
      </c>
      <c r="I1721" s="2" t="s">
        <v>89</v>
      </c>
      <c r="J1721" s="2">
        <v>1</v>
      </c>
      <c r="K1721" s="2">
        <v>54.99</v>
      </c>
      <c r="L1721" s="2"/>
      <c r="M1721" s="2">
        <v>0</v>
      </c>
      <c r="N1721" s="2">
        <v>7.99</v>
      </c>
      <c r="O1721" s="2">
        <v>62.98</v>
      </c>
      <c r="P1721" s="2" t="s">
        <v>51</v>
      </c>
      <c r="Q1721" s="2" t="s">
        <v>28</v>
      </c>
      <c r="R1721" s="2" t="s">
        <v>52</v>
      </c>
      <c r="S1721" s="2" t="s">
        <v>228</v>
      </c>
      <c r="T1721" s="2"/>
      <c r="U1721" s="2" t="str">
        <f t="shared" si="79"/>
        <v>Not Required</v>
      </c>
      <c r="V1721" s="2" t="s">
        <v>4520</v>
      </c>
    </row>
    <row r="1722" spans="1:22" hidden="1" x14ac:dyDescent="0.3">
      <c r="A1722" s="2" t="s">
        <v>4521</v>
      </c>
      <c r="B1722" s="12">
        <f t="shared" si="78"/>
        <v>46238.58286480324</v>
      </c>
      <c r="C1722" s="13">
        <v>46238.58286480324</v>
      </c>
      <c r="D1722" s="2" t="s">
        <v>4008</v>
      </c>
      <c r="E1722" s="2" t="str">
        <f t="shared" si="80"/>
        <v>Email Available</v>
      </c>
      <c r="F1722" s="2" t="s">
        <v>4180</v>
      </c>
      <c r="G1722" s="2" t="s">
        <v>241</v>
      </c>
      <c r="H1722" s="2" t="s">
        <v>242</v>
      </c>
      <c r="I1722" s="2" t="s">
        <v>243</v>
      </c>
      <c r="J1722" s="2">
        <v>2</v>
      </c>
      <c r="K1722" s="2">
        <v>27.99</v>
      </c>
      <c r="L1722" s="2" t="s">
        <v>39</v>
      </c>
      <c r="M1722" s="2">
        <v>0</v>
      </c>
      <c r="N1722" s="2">
        <v>0</v>
      </c>
      <c r="O1722" s="2">
        <v>55.98</v>
      </c>
      <c r="P1722" s="2" t="s">
        <v>51</v>
      </c>
      <c r="Q1722" s="2" t="s">
        <v>28</v>
      </c>
      <c r="R1722" s="2" t="s">
        <v>99</v>
      </c>
      <c r="S1722" s="2" t="s">
        <v>30</v>
      </c>
      <c r="T1722" s="2" t="s">
        <v>53</v>
      </c>
      <c r="U1722" s="2" t="str">
        <f t="shared" si="79"/>
        <v>Valid</v>
      </c>
      <c r="V1722" s="2" t="s">
        <v>4522</v>
      </c>
    </row>
    <row r="1723" spans="1:22" hidden="1" x14ac:dyDescent="0.3">
      <c r="A1723" s="2" t="s">
        <v>4523</v>
      </c>
      <c r="B1723" s="12">
        <f t="shared" ref="B1723:B1786" si="81">IF(ISNUMBER(C1723),C1723,DATEVALUE(SUBSTITUTE(TRIM(C1723),CHAR(160)," ")))</f>
        <v>46238.583138009257</v>
      </c>
      <c r="C1723" s="13">
        <v>46238.583138009257</v>
      </c>
      <c r="D1723" s="2" t="s">
        <v>662</v>
      </c>
      <c r="E1723" s="2" t="str">
        <f t="shared" si="80"/>
        <v>Email Available</v>
      </c>
      <c r="F1723" s="2" t="s">
        <v>663</v>
      </c>
      <c r="G1723" s="2" t="s">
        <v>368</v>
      </c>
      <c r="H1723" s="2" t="s">
        <v>88</v>
      </c>
      <c r="I1723" s="2" t="s">
        <v>369</v>
      </c>
      <c r="J1723" s="2">
        <v>2</v>
      </c>
      <c r="K1723" s="2">
        <v>54.99</v>
      </c>
      <c r="L1723" s="2" t="s">
        <v>25</v>
      </c>
      <c r="M1723" s="2">
        <v>22</v>
      </c>
      <c r="N1723" s="2">
        <v>0</v>
      </c>
      <c r="O1723" s="2">
        <v>87.98</v>
      </c>
      <c r="P1723" s="2" t="s">
        <v>51</v>
      </c>
      <c r="Q1723" s="2" t="s">
        <v>114</v>
      </c>
      <c r="R1723" s="2" t="s">
        <v>52</v>
      </c>
      <c r="S1723" s="2" t="s">
        <v>30</v>
      </c>
      <c r="T1723" s="2" t="s">
        <v>248</v>
      </c>
      <c r="U1723" s="2" t="str">
        <f t="shared" ref="U1723:U1786" si="82">IF(AND(S1723="United States",T1723=""),"Missing state",IF(T1723="","Not Required","Valid"))</f>
        <v>Valid</v>
      </c>
      <c r="V1723" s="2" t="s">
        <v>4524</v>
      </c>
    </row>
    <row r="1724" spans="1:22" hidden="1" x14ac:dyDescent="0.3">
      <c r="A1724" s="2" t="s">
        <v>4525</v>
      </c>
      <c r="B1724" s="12">
        <f t="shared" si="81"/>
        <v>46238.579080914351</v>
      </c>
      <c r="C1724" s="13">
        <v>46238.579080914351</v>
      </c>
      <c r="D1724" s="2" t="s">
        <v>4526</v>
      </c>
      <c r="E1724" s="2" t="str">
        <f t="shared" si="80"/>
        <v>Email Available</v>
      </c>
      <c r="F1724" s="2" t="s">
        <v>4527</v>
      </c>
      <c r="G1724" s="2" t="s">
        <v>36</v>
      </c>
      <c r="H1724" s="2" t="s">
        <v>37</v>
      </c>
      <c r="I1724" s="2" t="s">
        <v>38</v>
      </c>
      <c r="J1724" s="2">
        <v>1</v>
      </c>
      <c r="K1724" s="2">
        <v>21.99</v>
      </c>
      <c r="L1724" s="2"/>
      <c r="M1724" s="2">
        <v>0</v>
      </c>
      <c r="N1724" s="2">
        <v>4.99</v>
      </c>
      <c r="O1724" s="2">
        <v>26.98</v>
      </c>
      <c r="P1724" s="2" t="s">
        <v>74</v>
      </c>
      <c r="Q1724" s="2" t="s">
        <v>41</v>
      </c>
      <c r="R1724" s="2" t="s">
        <v>42</v>
      </c>
      <c r="S1724" s="2" t="s">
        <v>337</v>
      </c>
      <c r="T1724" s="2"/>
      <c r="U1724" s="2" t="str">
        <f t="shared" si="82"/>
        <v>Not Required</v>
      </c>
      <c r="V1724" s="2" t="s">
        <v>4528</v>
      </c>
    </row>
    <row r="1725" spans="1:22" hidden="1" x14ac:dyDescent="0.3">
      <c r="A1725" s="2" t="s">
        <v>4529</v>
      </c>
      <c r="B1725" s="12">
        <f t="shared" si="81"/>
        <v>46238.581195763887</v>
      </c>
      <c r="C1725" s="13">
        <v>46238.581195763887</v>
      </c>
      <c r="D1725" s="2" t="s">
        <v>1007</v>
      </c>
      <c r="E1725" s="2" t="str">
        <f t="shared" si="80"/>
        <v>Email Available</v>
      </c>
      <c r="F1725" s="2" t="s">
        <v>1008</v>
      </c>
      <c r="G1725" s="2" t="s">
        <v>112</v>
      </c>
      <c r="H1725" s="2" t="s">
        <v>81</v>
      </c>
      <c r="I1725" s="2" t="s">
        <v>113</v>
      </c>
      <c r="J1725" s="2">
        <v>3</v>
      </c>
      <c r="K1725" s="2" t="s">
        <v>1004</v>
      </c>
      <c r="L1725" s="2" t="s">
        <v>39</v>
      </c>
      <c r="M1725" s="2">
        <v>0</v>
      </c>
      <c r="N1725" s="2">
        <v>0</v>
      </c>
      <c r="O1725" s="2">
        <v>68.97</v>
      </c>
      <c r="P1725" s="2" t="s">
        <v>40</v>
      </c>
      <c r="Q1725" s="2" t="s">
        <v>90</v>
      </c>
      <c r="R1725" s="2" t="s">
        <v>52</v>
      </c>
      <c r="S1725" s="2" t="s">
        <v>43</v>
      </c>
      <c r="T1725" s="2"/>
      <c r="U1725" s="2" t="str">
        <f t="shared" si="82"/>
        <v>Not Required</v>
      </c>
      <c r="V1725" s="2" t="s">
        <v>4530</v>
      </c>
    </row>
    <row r="1726" spans="1:22" hidden="1" x14ac:dyDescent="0.3">
      <c r="A1726" s="2" t="s">
        <v>4531</v>
      </c>
      <c r="B1726" s="12">
        <f t="shared" si="81"/>
        <v>46238.587424826394</v>
      </c>
      <c r="C1726" s="13">
        <v>46238.587424826394</v>
      </c>
      <c r="D1726" s="2" t="s">
        <v>825</v>
      </c>
      <c r="E1726" s="2" t="str">
        <f t="shared" si="80"/>
        <v>Email Available</v>
      </c>
      <c r="F1726" s="2" t="s">
        <v>826</v>
      </c>
      <c r="G1726" s="2" t="s">
        <v>315</v>
      </c>
      <c r="H1726" s="2" t="s">
        <v>37</v>
      </c>
      <c r="I1726" s="2" t="s">
        <v>316</v>
      </c>
      <c r="J1726" s="2">
        <v>2</v>
      </c>
      <c r="K1726" s="2">
        <v>8.99</v>
      </c>
      <c r="L1726" s="2" t="s">
        <v>39</v>
      </c>
      <c r="M1726" s="2" t="s">
        <v>189</v>
      </c>
      <c r="N1726" s="2">
        <v>0</v>
      </c>
      <c r="O1726" s="2">
        <v>17.98</v>
      </c>
      <c r="P1726" s="2" t="s">
        <v>51</v>
      </c>
      <c r="Q1726" s="2" t="s">
        <v>90</v>
      </c>
      <c r="R1726" s="2" t="s">
        <v>52</v>
      </c>
      <c r="S1726" s="2" t="s">
        <v>75</v>
      </c>
      <c r="T1726" s="2"/>
      <c r="U1726" s="2" t="str">
        <f t="shared" si="82"/>
        <v>Not Required</v>
      </c>
      <c r="V1726" s="2" t="s">
        <v>4532</v>
      </c>
    </row>
    <row r="1727" spans="1:22" x14ac:dyDescent="0.3">
      <c r="A1727" s="2" t="s">
        <v>4533</v>
      </c>
      <c r="B1727" s="12">
        <f t="shared" si="81"/>
        <v>46238.588483263891</v>
      </c>
      <c r="C1727" s="13">
        <v>46238.588483263891</v>
      </c>
      <c r="D1727" s="2" t="s">
        <v>4534</v>
      </c>
      <c r="E1727" s="2" t="str">
        <f t="shared" si="80"/>
        <v>Missing Email</v>
      </c>
      <c r="F1727" s="2"/>
      <c r="G1727" s="2" t="s">
        <v>65</v>
      </c>
      <c r="H1727" s="2" t="s">
        <v>49</v>
      </c>
      <c r="I1727" s="2" t="s">
        <v>66</v>
      </c>
      <c r="J1727" s="2">
        <v>2</v>
      </c>
      <c r="K1727" s="2">
        <v>14.99</v>
      </c>
      <c r="L1727" s="2" t="s">
        <v>67</v>
      </c>
      <c r="M1727" s="2">
        <v>3</v>
      </c>
      <c r="N1727" s="2">
        <v>7.99</v>
      </c>
      <c r="O1727" s="2">
        <v>34.97</v>
      </c>
      <c r="P1727" s="2" t="s">
        <v>68</v>
      </c>
      <c r="Q1727" s="2" t="s">
        <v>41</v>
      </c>
      <c r="R1727" s="2" t="s">
        <v>42</v>
      </c>
      <c r="S1727" s="2" t="s">
        <v>43</v>
      </c>
      <c r="T1727" s="2"/>
      <c r="U1727" s="2" t="str">
        <f t="shared" si="82"/>
        <v>Not Required</v>
      </c>
      <c r="V1727" s="2" t="s">
        <v>4535</v>
      </c>
    </row>
    <row r="1728" spans="1:22" hidden="1" x14ac:dyDescent="0.3">
      <c r="A1728" s="2" t="s">
        <v>4540</v>
      </c>
      <c r="B1728" s="12">
        <f t="shared" si="81"/>
        <v>46238</v>
      </c>
      <c r="C1728" s="13" t="s">
        <v>148</v>
      </c>
      <c r="D1728" s="2" t="s">
        <v>681</v>
      </c>
      <c r="E1728" s="2" t="str">
        <f t="shared" si="80"/>
        <v>Email Available</v>
      </c>
      <c r="F1728" s="2" t="s">
        <v>682</v>
      </c>
      <c r="G1728" s="2" t="s">
        <v>157</v>
      </c>
      <c r="H1728" s="2" t="s">
        <v>37</v>
      </c>
      <c r="I1728" s="2" t="s">
        <v>158</v>
      </c>
      <c r="J1728" s="2">
        <v>1</v>
      </c>
      <c r="K1728" s="2">
        <v>29.99</v>
      </c>
      <c r="L1728" s="2" t="s">
        <v>39</v>
      </c>
      <c r="M1728" s="2">
        <v>0</v>
      </c>
      <c r="N1728" s="2">
        <v>0</v>
      </c>
      <c r="O1728" s="2">
        <v>29.99</v>
      </c>
      <c r="P1728" s="2" t="s">
        <v>51</v>
      </c>
      <c r="Q1728" s="2" t="s">
        <v>114</v>
      </c>
      <c r="R1728" s="2" t="s">
        <v>52</v>
      </c>
      <c r="S1728" s="2" t="s">
        <v>75</v>
      </c>
      <c r="T1728" s="2"/>
      <c r="U1728" s="2" t="str">
        <f t="shared" si="82"/>
        <v>Not Required</v>
      </c>
      <c r="V1728" s="2" t="s">
        <v>4541</v>
      </c>
    </row>
    <row r="1729" spans="1:22" hidden="1" x14ac:dyDescent="0.3">
      <c r="A1729" s="2" t="s">
        <v>4542</v>
      </c>
      <c r="B1729" s="12">
        <f t="shared" si="81"/>
        <v>46238.585978923613</v>
      </c>
      <c r="C1729" s="13">
        <v>46238.585978923613</v>
      </c>
      <c r="D1729" s="2" t="s">
        <v>416</v>
      </c>
      <c r="E1729" s="2" t="str">
        <f t="shared" si="80"/>
        <v>Email Available</v>
      </c>
      <c r="F1729" s="2" t="s">
        <v>417</v>
      </c>
      <c r="G1729" s="2" t="s">
        <v>87</v>
      </c>
      <c r="H1729" s="2" t="s">
        <v>88</v>
      </c>
      <c r="I1729" s="2" t="s">
        <v>89</v>
      </c>
      <c r="J1729" s="2">
        <v>1</v>
      </c>
      <c r="K1729" s="2">
        <v>54.99</v>
      </c>
      <c r="L1729" s="2"/>
      <c r="M1729" s="2">
        <v>0</v>
      </c>
      <c r="N1729" s="2">
        <v>5.99</v>
      </c>
      <c r="O1729" s="2" t="s">
        <v>4543</v>
      </c>
      <c r="P1729" s="2" t="s">
        <v>40</v>
      </c>
      <c r="Q1729" s="2" t="s">
        <v>28</v>
      </c>
      <c r="R1729" s="2" t="s">
        <v>52</v>
      </c>
      <c r="S1729" s="2" t="s">
        <v>43</v>
      </c>
      <c r="T1729" s="2"/>
      <c r="U1729" s="2" t="str">
        <f t="shared" si="82"/>
        <v>Not Required</v>
      </c>
      <c r="V1729" s="2" t="s">
        <v>4544</v>
      </c>
    </row>
    <row r="1730" spans="1:22" hidden="1" x14ac:dyDescent="0.3">
      <c r="A1730" s="2" t="s">
        <v>4545</v>
      </c>
      <c r="B1730" s="12">
        <f t="shared" si="81"/>
        <v>46238.579212916673</v>
      </c>
      <c r="C1730" s="13">
        <v>46238.579212916673</v>
      </c>
      <c r="D1730" s="2" t="s">
        <v>4546</v>
      </c>
      <c r="E1730" s="2" t="str">
        <f t="shared" si="80"/>
        <v>Email Available</v>
      </c>
      <c r="F1730" s="2" t="s">
        <v>138</v>
      </c>
      <c r="G1730" s="2" t="s">
        <v>171</v>
      </c>
      <c r="H1730" s="2" t="s">
        <v>106</v>
      </c>
      <c r="I1730" s="2" t="s">
        <v>172</v>
      </c>
      <c r="J1730" s="2">
        <v>1</v>
      </c>
      <c r="K1730" s="2">
        <v>32.99</v>
      </c>
      <c r="L1730" s="2" t="s">
        <v>67</v>
      </c>
      <c r="M1730" s="2">
        <v>3.3</v>
      </c>
      <c r="N1730" s="2">
        <v>4.99</v>
      </c>
      <c r="O1730" s="2">
        <v>34.68</v>
      </c>
      <c r="P1730" s="2" t="s">
        <v>68</v>
      </c>
      <c r="Q1730" s="2" t="s">
        <v>41</v>
      </c>
      <c r="R1730" s="2" t="s">
        <v>52</v>
      </c>
      <c r="S1730" s="2" t="s">
        <v>30</v>
      </c>
      <c r="T1730" s="2" t="s">
        <v>69</v>
      </c>
      <c r="U1730" s="2" t="str">
        <f t="shared" si="82"/>
        <v>Valid</v>
      </c>
      <c r="V1730" s="2" t="s">
        <v>4547</v>
      </c>
    </row>
    <row r="1731" spans="1:22" hidden="1" x14ac:dyDescent="0.3">
      <c r="A1731" s="2" t="s">
        <v>4548</v>
      </c>
      <c r="B1731" s="12">
        <f t="shared" si="81"/>
        <v>46238.579162592592</v>
      </c>
      <c r="C1731" s="13">
        <v>46238.579162592592</v>
      </c>
      <c r="D1731" s="2" t="s">
        <v>1907</v>
      </c>
      <c r="E1731" s="2" t="str">
        <f t="shared" ref="E1731:E1794" si="83">IF(TRIM(F1731)="","Missing Email","Email Available")</f>
        <v>Email Available</v>
      </c>
      <c r="F1731" s="2" t="s">
        <v>1908</v>
      </c>
      <c r="G1731" s="2" t="s">
        <v>226</v>
      </c>
      <c r="H1731" s="2" t="s">
        <v>23</v>
      </c>
      <c r="I1731" s="2" t="s">
        <v>227</v>
      </c>
      <c r="J1731" s="2">
        <v>1</v>
      </c>
      <c r="K1731" s="2">
        <v>17.989999999999998</v>
      </c>
      <c r="L1731" s="2"/>
      <c r="M1731" s="2">
        <v>0</v>
      </c>
      <c r="N1731" s="2">
        <v>5.99</v>
      </c>
      <c r="O1731" s="2">
        <v>23.98</v>
      </c>
      <c r="P1731" s="2" t="s">
        <v>68</v>
      </c>
      <c r="Q1731" s="2" t="s">
        <v>114</v>
      </c>
      <c r="R1731" s="2" t="s">
        <v>52</v>
      </c>
      <c r="S1731" s="2" t="s">
        <v>228</v>
      </c>
      <c r="T1731" s="2"/>
      <c r="U1731" s="2" t="str">
        <f t="shared" si="82"/>
        <v>Not Required</v>
      </c>
      <c r="V1731" s="2" t="s">
        <v>807</v>
      </c>
    </row>
    <row r="1732" spans="1:22" hidden="1" x14ac:dyDescent="0.3">
      <c r="A1732" s="2" t="s">
        <v>4549</v>
      </c>
      <c r="B1732" s="12">
        <f t="shared" si="81"/>
        <v>46238.585819236112</v>
      </c>
      <c r="C1732" s="13">
        <v>46238.585819236112</v>
      </c>
      <c r="D1732" s="2" t="s">
        <v>4550</v>
      </c>
      <c r="E1732" s="2" t="str">
        <f t="shared" si="83"/>
        <v>Email Available</v>
      </c>
      <c r="F1732" s="2" t="s">
        <v>1046</v>
      </c>
      <c r="G1732" s="2" t="s">
        <v>87</v>
      </c>
      <c r="H1732" s="2" t="s">
        <v>88</v>
      </c>
      <c r="I1732" s="2" t="s">
        <v>89</v>
      </c>
      <c r="J1732" s="2">
        <v>2</v>
      </c>
      <c r="K1732" s="2">
        <v>54.99</v>
      </c>
      <c r="L1732" s="2" t="s">
        <v>39</v>
      </c>
      <c r="M1732" s="2">
        <v>0</v>
      </c>
      <c r="N1732" s="2">
        <v>0</v>
      </c>
      <c r="O1732" s="2">
        <v>109.98</v>
      </c>
      <c r="P1732" s="2" t="s">
        <v>27</v>
      </c>
      <c r="Q1732" s="2" t="s">
        <v>41</v>
      </c>
      <c r="R1732" s="2" t="s">
        <v>52</v>
      </c>
      <c r="S1732" s="2" t="s">
        <v>30</v>
      </c>
      <c r="T1732" s="2" t="s">
        <v>347</v>
      </c>
      <c r="U1732" s="2" t="str">
        <f t="shared" si="82"/>
        <v>Valid</v>
      </c>
      <c r="V1732" s="2" t="s">
        <v>4551</v>
      </c>
    </row>
    <row r="1733" spans="1:22" hidden="1" x14ac:dyDescent="0.3">
      <c r="A1733" s="2" t="s">
        <v>4554</v>
      </c>
      <c r="B1733" s="12">
        <f t="shared" si="81"/>
        <v>46238.587087546293</v>
      </c>
      <c r="C1733" s="13">
        <v>46238.587087546293</v>
      </c>
      <c r="D1733" s="2" t="s">
        <v>416</v>
      </c>
      <c r="E1733" s="2" t="str">
        <f t="shared" si="83"/>
        <v>Email Available</v>
      </c>
      <c r="F1733" s="2" t="s">
        <v>417</v>
      </c>
      <c r="G1733" s="2" t="s">
        <v>112</v>
      </c>
      <c r="H1733" s="2" t="s">
        <v>81</v>
      </c>
      <c r="I1733" s="2" t="s">
        <v>113</v>
      </c>
      <c r="J1733" s="2">
        <v>1</v>
      </c>
      <c r="K1733" s="2">
        <v>22.99</v>
      </c>
      <c r="L1733" s="2"/>
      <c r="M1733" s="2" t="s">
        <v>189</v>
      </c>
      <c r="N1733" s="2">
        <v>5.99</v>
      </c>
      <c r="O1733" s="2">
        <v>28.98</v>
      </c>
      <c r="P1733" s="2" t="s">
        <v>68</v>
      </c>
      <c r="Q1733" s="2" t="s">
        <v>28</v>
      </c>
      <c r="R1733" s="2" t="s">
        <v>52</v>
      </c>
      <c r="S1733" s="2" t="s">
        <v>43</v>
      </c>
      <c r="T1733" s="2"/>
      <c r="U1733" s="2" t="str">
        <f t="shared" si="82"/>
        <v>Not Required</v>
      </c>
      <c r="V1733" s="2" t="s">
        <v>4555</v>
      </c>
    </row>
    <row r="1734" spans="1:22" hidden="1" x14ac:dyDescent="0.3">
      <c r="A1734" s="2" t="s">
        <v>4556</v>
      </c>
      <c r="B1734" s="12">
        <f t="shared" si="81"/>
        <v>46238.581236747683</v>
      </c>
      <c r="C1734" s="13">
        <v>46238.581236747683</v>
      </c>
      <c r="D1734" s="2" t="s">
        <v>825</v>
      </c>
      <c r="E1734" s="2" t="str">
        <f t="shared" si="83"/>
        <v>Email Available</v>
      </c>
      <c r="F1734" s="2" t="s">
        <v>826</v>
      </c>
      <c r="G1734" s="2" t="s">
        <v>65</v>
      </c>
      <c r="H1734" s="2" t="s">
        <v>49</v>
      </c>
      <c r="I1734" s="2" t="s">
        <v>453</v>
      </c>
      <c r="J1734" s="2">
        <v>1</v>
      </c>
      <c r="K1734" s="2">
        <v>14.99</v>
      </c>
      <c r="L1734" s="2"/>
      <c r="M1734" s="2">
        <v>0</v>
      </c>
      <c r="N1734" s="2">
        <v>4.99</v>
      </c>
      <c r="O1734" s="2">
        <v>19.98</v>
      </c>
      <c r="P1734" s="2" t="s">
        <v>40</v>
      </c>
      <c r="Q1734" s="2" t="s">
        <v>41</v>
      </c>
      <c r="R1734" s="2" t="s">
        <v>52</v>
      </c>
      <c r="S1734" s="2" t="s">
        <v>75</v>
      </c>
      <c r="T1734" s="2"/>
      <c r="U1734" s="2" t="str">
        <f t="shared" si="82"/>
        <v>Not Required</v>
      </c>
      <c r="V1734" s="2" t="s">
        <v>4557</v>
      </c>
    </row>
    <row r="1735" spans="1:22" hidden="1" x14ac:dyDescent="0.3">
      <c r="A1735" s="2" t="s">
        <v>4558</v>
      </c>
      <c r="B1735" s="12">
        <f t="shared" si="81"/>
        <v>46238.584043553237</v>
      </c>
      <c r="C1735" s="13">
        <v>46238.584043553237</v>
      </c>
      <c r="D1735" s="2" t="s">
        <v>1727</v>
      </c>
      <c r="E1735" s="2" t="str">
        <f t="shared" si="83"/>
        <v>Email Available</v>
      </c>
      <c r="F1735" s="2" t="s">
        <v>1728</v>
      </c>
      <c r="G1735" s="2" t="s">
        <v>3355</v>
      </c>
      <c r="H1735" s="2" t="s">
        <v>37</v>
      </c>
      <c r="I1735" s="2" t="s">
        <v>267</v>
      </c>
      <c r="J1735" s="2">
        <v>1</v>
      </c>
      <c r="K1735" s="2" t="s">
        <v>324</v>
      </c>
      <c r="L1735" s="2" t="s">
        <v>208</v>
      </c>
      <c r="M1735" s="2">
        <v>2.3199999999999998</v>
      </c>
      <c r="N1735" s="2">
        <v>7.99</v>
      </c>
      <c r="O1735" s="2">
        <v>21.16</v>
      </c>
      <c r="P1735" s="2" t="s">
        <v>74</v>
      </c>
      <c r="Q1735" s="2" t="s">
        <v>90</v>
      </c>
      <c r="R1735" s="2" t="s">
        <v>52</v>
      </c>
      <c r="S1735" s="2" t="s">
        <v>30</v>
      </c>
      <c r="T1735" s="2" t="s">
        <v>499</v>
      </c>
      <c r="U1735" s="2" t="str">
        <f t="shared" si="82"/>
        <v>Valid</v>
      </c>
      <c r="V1735" s="2" t="s">
        <v>4559</v>
      </c>
    </row>
    <row r="1736" spans="1:22" hidden="1" x14ac:dyDescent="0.3">
      <c r="A1736" s="2" t="s">
        <v>4560</v>
      </c>
      <c r="B1736" s="12">
        <f t="shared" si="81"/>
        <v>46238.587819247688</v>
      </c>
      <c r="C1736" s="13">
        <v>46238.587819247688</v>
      </c>
      <c r="D1736" s="2" t="s">
        <v>466</v>
      </c>
      <c r="E1736" s="2" t="str">
        <f t="shared" si="83"/>
        <v>Email Available</v>
      </c>
      <c r="F1736" s="2" t="s">
        <v>467</v>
      </c>
      <c r="G1736" s="2" t="s">
        <v>65</v>
      </c>
      <c r="H1736" s="2" t="s">
        <v>49</v>
      </c>
      <c r="I1736" s="2" t="s">
        <v>453</v>
      </c>
      <c r="J1736" s="2">
        <v>1</v>
      </c>
      <c r="K1736" s="2">
        <v>14.99</v>
      </c>
      <c r="L1736" s="2" t="s">
        <v>67</v>
      </c>
      <c r="M1736" s="2" t="s">
        <v>4561</v>
      </c>
      <c r="N1736" s="2">
        <v>4.99</v>
      </c>
      <c r="O1736" s="2">
        <v>18.48</v>
      </c>
      <c r="P1736" s="2" t="s">
        <v>51</v>
      </c>
      <c r="Q1736" s="2" t="s">
        <v>90</v>
      </c>
      <c r="R1736" s="2" t="s">
        <v>42</v>
      </c>
      <c r="S1736" s="2" t="s">
        <v>228</v>
      </c>
      <c r="T1736" s="2"/>
      <c r="U1736" s="2" t="str">
        <f t="shared" si="82"/>
        <v>Not Required</v>
      </c>
      <c r="V1736" s="2" t="s">
        <v>4562</v>
      </c>
    </row>
    <row r="1737" spans="1:22" hidden="1" x14ac:dyDescent="0.3">
      <c r="A1737" s="2" t="s">
        <v>4563</v>
      </c>
      <c r="B1737" s="12">
        <f t="shared" si="81"/>
        <v>46238.581140138893</v>
      </c>
      <c r="C1737" s="13">
        <v>46238.581140138893</v>
      </c>
      <c r="D1737" s="2" t="s">
        <v>496</v>
      </c>
      <c r="E1737" s="2" t="str">
        <f t="shared" si="83"/>
        <v>Email Available</v>
      </c>
      <c r="F1737" s="2" t="s">
        <v>497</v>
      </c>
      <c r="G1737" s="2" t="s">
        <v>206</v>
      </c>
      <c r="H1737" s="2" t="s">
        <v>196</v>
      </c>
      <c r="I1737" s="2" t="s">
        <v>207</v>
      </c>
      <c r="J1737" s="2">
        <v>1</v>
      </c>
      <c r="K1737" s="2">
        <v>24.99</v>
      </c>
      <c r="L1737" s="2"/>
      <c r="M1737" s="2">
        <v>0</v>
      </c>
      <c r="N1737" s="2">
        <v>7.99</v>
      </c>
      <c r="O1737" s="2">
        <v>32.979999999999997</v>
      </c>
      <c r="P1737" s="2" t="s">
        <v>27</v>
      </c>
      <c r="Q1737" s="2" t="s">
        <v>41</v>
      </c>
      <c r="R1737" s="2" t="s">
        <v>29</v>
      </c>
      <c r="S1737" s="2" t="s">
        <v>30</v>
      </c>
      <c r="T1737" s="2" t="s">
        <v>75</v>
      </c>
      <c r="U1737" s="2" t="str">
        <f t="shared" si="82"/>
        <v>Valid</v>
      </c>
      <c r="V1737" s="2" t="s">
        <v>4564</v>
      </c>
    </row>
    <row r="1738" spans="1:22" hidden="1" x14ac:dyDescent="0.3">
      <c r="A1738" s="2" t="s">
        <v>4565</v>
      </c>
      <c r="B1738" s="12">
        <f t="shared" si="81"/>
        <v>46238.58792111111</v>
      </c>
      <c r="C1738" s="13">
        <v>46238.58792111111</v>
      </c>
      <c r="D1738" s="2" t="s">
        <v>1007</v>
      </c>
      <c r="E1738" s="2" t="str">
        <f t="shared" si="83"/>
        <v>Email Available</v>
      </c>
      <c r="F1738" s="2" t="s">
        <v>1008</v>
      </c>
      <c r="G1738" s="2" t="s">
        <v>284</v>
      </c>
      <c r="H1738" s="2" t="s">
        <v>23</v>
      </c>
      <c r="I1738" s="2" t="s">
        <v>285</v>
      </c>
      <c r="J1738" s="2">
        <v>1</v>
      </c>
      <c r="K1738" s="2">
        <v>24.99</v>
      </c>
      <c r="L1738" s="2" t="s">
        <v>67</v>
      </c>
      <c r="M1738" s="2">
        <v>2.5</v>
      </c>
      <c r="N1738" s="2">
        <v>4.99</v>
      </c>
      <c r="O1738" s="2">
        <v>27.48</v>
      </c>
      <c r="P1738" s="2" t="s">
        <v>68</v>
      </c>
      <c r="Q1738" s="2" t="s">
        <v>41</v>
      </c>
      <c r="R1738" s="2" t="s">
        <v>52</v>
      </c>
      <c r="S1738" s="2" t="s">
        <v>43</v>
      </c>
      <c r="T1738" s="2"/>
      <c r="U1738" s="2" t="str">
        <f t="shared" si="82"/>
        <v>Not Required</v>
      </c>
      <c r="V1738" s="2" t="s">
        <v>4566</v>
      </c>
    </row>
    <row r="1739" spans="1:22" hidden="1" x14ac:dyDescent="0.3">
      <c r="A1739" s="2" t="s">
        <v>4567</v>
      </c>
      <c r="B1739" s="12">
        <f t="shared" si="81"/>
        <v>46238.581882395833</v>
      </c>
      <c r="C1739" s="13">
        <v>46238.581882395833</v>
      </c>
      <c r="D1739" s="2" t="s">
        <v>448</v>
      </c>
      <c r="E1739" s="2" t="str">
        <f t="shared" si="83"/>
        <v>Email Available</v>
      </c>
      <c r="F1739" s="2" t="s">
        <v>449</v>
      </c>
      <c r="G1739" s="2" t="s">
        <v>206</v>
      </c>
      <c r="H1739" s="2" t="s">
        <v>196</v>
      </c>
      <c r="I1739" s="2" t="s">
        <v>207</v>
      </c>
      <c r="J1739" s="2">
        <v>1</v>
      </c>
      <c r="K1739" s="2">
        <v>24.99</v>
      </c>
      <c r="L1739" s="2" t="s">
        <v>208</v>
      </c>
      <c r="M1739" s="2">
        <v>3.75</v>
      </c>
      <c r="N1739" s="2">
        <v>7.99</v>
      </c>
      <c r="O1739" s="2">
        <v>29.23</v>
      </c>
      <c r="P1739" s="2" t="s">
        <v>40</v>
      </c>
      <c r="Q1739" s="2" t="s">
        <v>90</v>
      </c>
      <c r="R1739" s="2" t="s">
        <v>99</v>
      </c>
      <c r="S1739" s="2" t="s">
        <v>30</v>
      </c>
      <c r="T1739" s="2" t="s">
        <v>53</v>
      </c>
      <c r="U1739" s="2" t="str">
        <f t="shared" si="82"/>
        <v>Valid</v>
      </c>
      <c r="V1739" s="2" t="s">
        <v>4568</v>
      </c>
    </row>
    <row r="1740" spans="1:22" hidden="1" x14ac:dyDescent="0.3">
      <c r="A1740" s="2" t="s">
        <v>4569</v>
      </c>
      <c r="B1740" s="12">
        <f t="shared" si="81"/>
        <v>46238.583423148149</v>
      </c>
      <c r="C1740" s="13">
        <v>46238.583423148149</v>
      </c>
      <c r="D1740" s="2" t="s">
        <v>1495</v>
      </c>
      <c r="E1740" s="2" t="str">
        <f t="shared" si="83"/>
        <v>Email Available</v>
      </c>
      <c r="F1740" s="2" t="s">
        <v>1496</v>
      </c>
      <c r="G1740" s="2" t="s">
        <v>58</v>
      </c>
      <c r="H1740" s="2" t="s">
        <v>23</v>
      </c>
      <c r="I1740" s="2" t="s">
        <v>59</v>
      </c>
      <c r="J1740" s="2">
        <v>1</v>
      </c>
      <c r="K1740" s="2" t="s">
        <v>213</v>
      </c>
      <c r="L1740" s="2"/>
      <c r="M1740" s="2">
        <v>0</v>
      </c>
      <c r="N1740" s="2">
        <v>7.99</v>
      </c>
      <c r="O1740" s="2">
        <v>17.98</v>
      </c>
      <c r="P1740" s="2" t="s">
        <v>74</v>
      </c>
      <c r="Q1740" s="2" t="s">
        <v>41</v>
      </c>
      <c r="R1740" s="2" t="s">
        <v>52</v>
      </c>
      <c r="S1740" s="2" t="s">
        <v>43</v>
      </c>
      <c r="T1740" s="2"/>
      <c r="U1740" s="2" t="str">
        <f t="shared" si="82"/>
        <v>Not Required</v>
      </c>
      <c r="V1740" s="2" t="s">
        <v>4570</v>
      </c>
    </row>
    <row r="1741" spans="1:22" hidden="1" x14ac:dyDescent="0.3">
      <c r="A1741" s="2" t="s">
        <v>4571</v>
      </c>
      <c r="B1741" s="12">
        <f t="shared" si="81"/>
        <v>46238.586595844907</v>
      </c>
      <c r="C1741" s="13">
        <v>46238.586595844907</v>
      </c>
      <c r="D1741" s="2" t="s">
        <v>3786</v>
      </c>
      <c r="E1741" s="2" t="str">
        <f t="shared" si="83"/>
        <v>Email Available</v>
      </c>
      <c r="F1741" s="2" t="s">
        <v>3787</v>
      </c>
      <c r="G1741" s="2" t="s">
        <v>266</v>
      </c>
      <c r="H1741" s="2" t="s">
        <v>37</v>
      </c>
      <c r="I1741" s="2" t="s">
        <v>267</v>
      </c>
      <c r="J1741" s="2">
        <v>2</v>
      </c>
      <c r="K1741" s="2">
        <v>15.49</v>
      </c>
      <c r="L1741" s="2" t="s">
        <v>208</v>
      </c>
      <c r="M1741" s="2">
        <v>4.6500000000000004</v>
      </c>
      <c r="N1741" s="2">
        <v>5.99</v>
      </c>
      <c r="O1741" s="2">
        <v>32.32</v>
      </c>
      <c r="P1741" s="2" t="s">
        <v>68</v>
      </c>
      <c r="Q1741" s="2" t="s">
        <v>28</v>
      </c>
      <c r="R1741" s="2" t="s">
        <v>52</v>
      </c>
      <c r="S1741" s="2" t="s">
        <v>228</v>
      </c>
      <c r="T1741" s="2"/>
      <c r="U1741" s="2" t="str">
        <f t="shared" si="82"/>
        <v>Not Required</v>
      </c>
      <c r="V1741" s="2" t="s">
        <v>4572</v>
      </c>
    </row>
    <row r="1742" spans="1:22" hidden="1" x14ac:dyDescent="0.3">
      <c r="A1742" s="2" t="s">
        <v>4573</v>
      </c>
      <c r="B1742" s="12">
        <f t="shared" si="81"/>
        <v>46238.584377476851</v>
      </c>
      <c r="C1742" s="13">
        <v>46238.584377476851</v>
      </c>
      <c r="D1742" s="2" t="s">
        <v>815</v>
      </c>
      <c r="E1742" s="2" t="str">
        <f t="shared" si="83"/>
        <v>Email Available</v>
      </c>
      <c r="F1742" s="2" t="s">
        <v>816</v>
      </c>
      <c r="G1742" s="2" t="s">
        <v>58</v>
      </c>
      <c r="H1742" s="2" t="s">
        <v>23</v>
      </c>
      <c r="I1742" s="2" t="s">
        <v>59</v>
      </c>
      <c r="J1742" s="2">
        <v>1</v>
      </c>
      <c r="K1742" s="2">
        <v>9.99</v>
      </c>
      <c r="L1742" s="2"/>
      <c r="M1742" s="2">
        <v>0</v>
      </c>
      <c r="N1742" s="2">
        <v>4.99</v>
      </c>
      <c r="O1742" s="2">
        <v>14.98</v>
      </c>
      <c r="P1742" s="2" t="s">
        <v>74</v>
      </c>
      <c r="Q1742" s="2" t="s">
        <v>90</v>
      </c>
      <c r="R1742" s="2" t="s">
        <v>99</v>
      </c>
      <c r="S1742" s="2" t="s">
        <v>30</v>
      </c>
      <c r="T1742" s="2" t="s">
        <v>145</v>
      </c>
      <c r="U1742" s="2" t="str">
        <f t="shared" si="82"/>
        <v>Valid</v>
      </c>
      <c r="V1742" s="2" t="s">
        <v>4574</v>
      </c>
    </row>
    <row r="1743" spans="1:22" hidden="1" x14ac:dyDescent="0.3">
      <c r="A1743" s="2" t="s">
        <v>4575</v>
      </c>
      <c r="B1743" s="12">
        <f t="shared" si="81"/>
        <v>46238.58142141204</v>
      </c>
      <c r="C1743" s="13">
        <v>46238.58142141204</v>
      </c>
      <c r="D1743" s="2" t="s">
        <v>3358</v>
      </c>
      <c r="E1743" s="2" t="str">
        <f t="shared" si="83"/>
        <v>Email Available</v>
      </c>
      <c r="F1743" s="2" t="s">
        <v>3359</v>
      </c>
      <c r="G1743" s="2" t="s">
        <v>120</v>
      </c>
      <c r="H1743" s="2" t="s">
        <v>23</v>
      </c>
      <c r="I1743" s="2" t="s">
        <v>24</v>
      </c>
      <c r="J1743" s="2">
        <v>2</v>
      </c>
      <c r="K1743" s="2">
        <v>12.99</v>
      </c>
      <c r="L1743" s="2" t="s">
        <v>67</v>
      </c>
      <c r="M1743" s="2" t="s">
        <v>26</v>
      </c>
      <c r="N1743" s="2">
        <v>5.99</v>
      </c>
      <c r="O1743" s="2">
        <v>29.37</v>
      </c>
      <c r="P1743" s="2" t="s">
        <v>68</v>
      </c>
      <c r="Q1743" s="2" t="s">
        <v>90</v>
      </c>
      <c r="R1743" s="2" t="s">
        <v>52</v>
      </c>
      <c r="S1743" s="2" t="s">
        <v>30</v>
      </c>
      <c r="T1743" s="2" t="s">
        <v>69</v>
      </c>
      <c r="U1743" s="2" t="str">
        <f t="shared" si="82"/>
        <v>Valid</v>
      </c>
      <c r="V1743" s="2" t="s">
        <v>4576</v>
      </c>
    </row>
    <row r="1744" spans="1:22" hidden="1" x14ac:dyDescent="0.3">
      <c r="A1744" s="2" t="s">
        <v>4577</v>
      </c>
      <c r="B1744" s="12">
        <f t="shared" si="81"/>
        <v>46238.581758067128</v>
      </c>
      <c r="C1744" s="13">
        <v>46238.581758067128</v>
      </c>
      <c r="D1744" s="2" t="s">
        <v>558</v>
      </c>
      <c r="E1744" s="2" t="str">
        <f t="shared" si="83"/>
        <v>Email Available</v>
      </c>
      <c r="F1744" s="2" t="s">
        <v>559</v>
      </c>
      <c r="G1744" s="2" t="s">
        <v>151</v>
      </c>
      <c r="H1744" s="2" t="s">
        <v>49</v>
      </c>
      <c r="I1744" s="2" t="s">
        <v>152</v>
      </c>
      <c r="J1744" s="2">
        <v>4</v>
      </c>
      <c r="K1744" s="2">
        <v>34.99</v>
      </c>
      <c r="L1744" s="2"/>
      <c r="M1744" s="2">
        <v>0</v>
      </c>
      <c r="N1744" s="2">
        <v>0</v>
      </c>
      <c r="O1744" s="2">
        <v>139.96</v>
      </c>
      <c r="P1744" s="2" t="s">
        <v>40</v>
      </c>
      <c r="Q1744" s="2" t="s">
        <v>114</v>
      </c>
      <c r="R1744" s="2" t="s">
        <v>52</v>
      </c>
      <c r="S1744" s="2" t="s">
        <v>30</v>
      </c>
      <c r="T1744" s="2" t="s">
        <v>53</v>
      </c>
      <c r="U1744" s="2" t="str">
        <f t="shared" si="82"/>
        <v>Valid</v>
      </c>
      <c r="V1744" s="2" t="s">
        <v>4578</v>
      </c>
    </row>
    <row r="1745" spans="1:22" x14ac:dyDescent="0.3">
      <c r="A1745" s="2" t="s">
        <v>4579</v>
      </c>
      <c r="B1745" s="12">
        <f t="shared" si="81"/>
        <v>46238.582718969898</v>
      </c>
      <c r="C1745" s="13">
        <v>46238.582718969898</v>
      </c>
      <c r="D1745" s="2" t="s">
        <v>2856</v>
      </c>
      <c r="E1745" s="2" t="str">
        <f t="shared" si="83"/>
        <v>Missing Email</v>
      </c>
      <c r="F1745" s="2"/>
      <c r="G1745" s="2" t="s">
        <v>112</v>
      </c>
      <c r="H1745" s="2" t="s">
        <v>81</v>
      </c>
      <c r="I1745" s="2" t="s">
        <v>113</v>
      </c>
      <c r="J1745" s="2">
        <v>1</v>
      </c>
      <c r="K1745" s="2">
        <v>22.99</v>
      </c>
      <c r="L1745" s="2"/>
      <c r="M1745" s="2">
        <v>0</v>
      </c>
      <c r="N1745" s="2">
        <v>5.99</v>
      </c>
      <c r="O1745" s="2">
        <v>28.98</v>
      </c>
      <c r="P1745" s="2" t="s">
        <v>40</v>
      </c>
      <c r="Q1745" s="2" t="s">
        <v>28</v>
      </c>
      <c r="R1745" s="2" t="s">
        <v>52</v>
      </c>
      <c r="S1745" s="2" t="s">
        <v>75</v>
      </c>
      <c r="T1745" s="2"/>
      <c r="U1745" s="2" t="str">
        <f t="shared" si="82"/>
        <v>Not Required</v>
      </c>
      <c r="V1745" s="2" t="s">
        <v>4580</v>
      </c>
    </row>
    <row r="1746" spans="1:22" hidden="1" x14ac:dyDescent="0.3">
      <c r="A1746" s="2" t="s">
        <v>4581</v>
      </c>
      <c r="B1746" s="12">
        <f t="shared" si="81"/>
        <v>46238.581492083344</v>
      </c>
      <c r="C1746" s="13">
        <v>46238.581492083344</v>
      </c>
      <c r="D1746" s="2" t="s">
        <v>165</v>
      </c>
      <c r="E1746" s="2" t="str">
        <f t="shared" si="83"/>
        <v>Email Available</v>
      </c>
      <c r="F1746" s="2" t="s">
        <v>166</v>
      </c>
      <c r="G1746" s="2" t="s">
        <v>151</v>
      </c>
      <c r="H1746" s="2" t="s">
        <v>49</v>
      </c>
      <c r="I1746" s="2" t="s">
        <v>152</v>
      </c>
      <c r="J1746" s="2">
        <v>1</v>
      </c>
      <c r="K1746" s="2">
        <v>34.99</v>
      </c>
      <c r="L1746" s="2" t="s">
        <v>39</v>
      </c>
      <c r="M1746" s="2" t="s">
        <v>189</v>
      </c>
      <c r="N1746" s="2">
        <v>0</v>
      </c>
      <c r="O1746" s="2">
        <v>34.99</v>
      </c>
      <c r="P1746" s="2" t="s">
        <v>68</v>
      </c>
      <c r="Q1746" s="2" t="s">
        <v>114</v>
      </c>
      <c r="R1746" s="2" t="s">
        <v>52</v>
      </c>
      <c r="S1746" s="2" t="s">
        <v>30</v>
      </c>
      <c r="T1746" s="2" t="s">
        <v>294</v>
      </c>
      <c r="U1746" s="2" t="str">
        <f t="shared" si="82"/>
        <v>Valid</v>
      </c>
      <c r="V1746" s="2" t="s">
        <v>4582</v>
      </c>
    </row>
    <row r="1747" spans="1:22" hidden="1" x14ac:dyDescent="0.3">
      <c r="A1747" s="2" t="s">
        <v>4583</v>
      </c>
      <c r="B1747" s="12">
        <f t="shared" si="81"/>
        <v>46238.579241817133</v>
      </c>
      <c r="C1747" s="13">
        <v>46238.579241817133</v>
      </c>
      <c r="D1747" s="2" t="s">
        <v>392</v>
      </c>
      <c r="E1747" s="2" t="str">
        <f t="shared" si="83"/>
        <v>Email Available</v>
      </c>
      <c r="F1747" s="2" t="s">
        <v>393</v>
      </c>
      <c r="G1747" s="2" t="s">
        <v>315</v>
      </c>
      <c r="H1747" s="2" t="s">
        <v>37</v>
      </c>
      <c r="I1747" s="2" t="s">
        <v>316</v>
      </c>
      <c r="J1747" s="2">
        <v>1</v>
      </c>
      <c r="K1747" s="2">
        <v>8.99</v>
      </c>
      <c r="L1747" s="2" t="s">
        <v>25</v>
      </c>
      <c r="M1747" s="2">
        <v>1.8</v>
      </c>
      <c r="N1747" s="2">
        <v>5.99</v>
      </c>
      <c r="O1747" s="2">
        <v>13.18</v>
      </c>
      <c r="P1747" s="2" t="s">
        <v>51</v>
      </c>
      <c r="Q1747" s="2" t="s">
        <v>41</v>
      </c>
      <c r="R1747" s="2" t="s">
        <v>52</v>
      </c>
      <c r="S1747" s="2" t="s">
        <v>108</v>
      </c>
      <c r="T1747" s="2"/>
      <c r="U1747" s="2" t="str">
        <f t="shared" si="82"/>
        <v>Not Required</v>
      </c>
      <c r="V1747" s="2" t="s">
        <v>4584</v>
      </c>
    </row>
    <row r="1748" spans="1:22" hidden="1" x14ac:dyDescent="0.3">
      <c r="A1748" s="2" t="s">
        <v>4585</v>
      </c>
      <c r="B1748" s="12">
        <f t="shared" si="81"/>
        <v>46238.582124560176</v>
      </c>
      <c r="C1748" s="13">
        <v>46238.582124560176</v>
      </c>
      <c r="D1748" s="2" t="s">
        <v>562</v>
      </c>
      <c r="E1748" s="2" t="str">
        <f t="shared" si="83"/>
        <v>Email Available</v>
      </c>
      <c r="F1748" s="2" t="s">
        <v>47</v>
      </c>
      <c r="G1748" s="2" t="s">
        <v>3305</v>
      </c>
      <c r="H1748" s="2" t="s">
        <v>81</v>
      </c>
      <c r="I1748" s="2" t="s">
        <v>113</v>
      </c>
      <c r="J1748" s="2">
        <v>2</v>
      </c>
      <c r="K1748" s="2">
        <v>22.99</v>
      </c>
      <c r="L1748" s="2"/>
      <c r="M1748" s="2">
        <v>0</v>
      </c>
      <c r="N1748" s="2">
        <v>5.99</v>
      </c>
      <c r="O1748" s="2">
        <v>51.97</v>
      </c>
      <c r="P1748" s="2" t="s">
        <v>51</v>
      </c>
      <c r="Q1748" s="2" t="s">
        <v>28</v>
      </c>
      <c r="R1748" s="2" t="s">
        <v>52</v>
      </c>
      <c r="S1748" s="2" t="s">
        <v>30</v>
      </c>
      <c r="T1748" s="2" t="s">
        <v>145</v>
      </c>
      <c r="U1748" s="2" t="str">
        <f t="shared" si="82"/>
        <v>Valid</v>
      </c>
      <c r="V1748" s="2" t="s">
        <v>4586</v>
      </c>
    </row>
    <row r="1749" spans="1:22" hidden="1" x14ac:dyDescent="0.3">
      <c r="A1749" s="2" t="s">
        <v>4589</v>
      </c>
      <c r="B1749" s="12">
        <f t="shared" si="81"/>
        <v>46238.587447337974</v>
      </c>
      <c r="C1749" s="13">
        <v>46238.587447337974</v>
      </c>
      <c r="D1749" s="2" t="s">
        <v>819</v>
      </c>
      <c r="E1749" s="2" t="str">
        <f t="shared" si="83"/>
        <v>Email Available</v>
      </c>
      <c r="F1749" s="2" t="s">
        <v>820</v>
      </c>
      <c r="G1749" s="2" t="s">
        <v>87</v>
      </c>
      <c r="H1749" s="2" t="s">
        <v>88</v>
      </c>
      <c r="I1749" s="2" t="s">
        <v>89</v>
      </c>
      <c r="J1749" s="2">
        <v>1</v>
      </c>
      <c r="K1749" s="2">
        <v>54.99</v>
      </c>
      <c r="L1749" s="2" t="s">
        <v>25</v>
      </c>
      <c r="M1749" s="2">
        <v>11</v>
      </c>
      <c r="N1749" s="2">
        <v>4.99</v>
      </c>
      <c r="O1749" s="2">
        <v>48.98</v>
      </c>
      <c r="P1749" s="2" t="s">
        <v>40</v>
      </c>
      <c r="Q1749" s="2" t="s">
        <v>28</v>
      </c>
      <c r="R1749" s="2" t="s">
        <v>52</v>
      </c>
      <c r="S1749" s="2" t="s">
        <v>30</v>
      </c>
      <c r="T1749" s="2" t="s">
        <v>115</v>
      </c>
      <c r="U1749" s="2" t="str">
        <f t="shared" si="82"/>
        <v>Valid</v>
      </c>
      <c r="V1749" s="2" t="s">
        <v>4590</v>
      </c>
    </row>
    <row r="1750" spans="1:22" hidden="1" x14ac:dyDescent="0.3">
      <c r="A1750" s="2" t="s">
        <v>4591</v>
      </c>
      <c r="B1750" s="12">
        <f t="shared" si="81"/>
        <v>46238.579907650463</v>
      </c>
      <c r="C1750" s="13">
        <v>46238.579907650463</v>
      </c>
      <c r="D1750" s="2" t="s">
        <v>1482</v>
      </c>
      <c r="E1750" s="2" t="str">
        <f t="shared" si="83"/>
        <v>Email Available</v>
      </c>
      <c r="F1750" s="2" t="s">
        <v>1483</v>
      </c>
      <c r="G1750" s="2" t="s">
        <v>241</v>
      </c>
      <c r="H1750" s="2" t="s">
        <v>242</v>
      </c>
      <c r="I1750" s="2" t="s">
        <v>243</v>
      </c>
      <c r="J1750" s="2">
        <v>1</v>
      </c>
      <c r="K1750" s="2">
        <v>27.99</v>
      </c>
      <c r="L1750" s="2"/>
      <c r="M1750" s="2">
        <v>0</v>
      </c>
      <c r="N1750" s="2">
        <v>4.99</v>
      </c>
      <c r="O1750" s="2">
        <v>32.979999999999997</v>
      </c>
      <c r="P1750" s="2" t="s">
        <v>40</v>
      </c>
      <c r="Q1750" s="2" t="s">
        <v>28</v>
      </c>
      <c r="R1750" s="2" t="s">
        <v>52</v>
      </c>
      <c r="S1750" s="2" t="s">
        <v>75</v>
      </c>
      <c r="T1750" s="2"/>
      <c r="U1750" s="2" t="str">
        <f t="shared" si="82"/>
        <v>Not Required</v>
      </c>
      <c r="V1750" s="2" t="s">
        <v>4592</v>
      </c>
    </row>
    <row r="1751" spans="1:22" hidden="1" x14ac:dyDescent="0.3">
      <c r="A1751" s="2" t="s">
        <v>4593</v>
      </c>
      <c r="B1751" s="12">
        <f t="shared" si="81"/>
        <v>46238.586730590279</v>
      </c>
      <c r="C1751" s="13">
        <v>46238.586730590279</v>
      </c>
      <c r="D1751" s="2" t="s">
        <v>4594</v>
      </c>
      <c r="E1751" s="2" t="str">
        <f t="shared" si="83"/>
        <v>Email Available</v>
      </c>
      <c r="F1751" s="2" t="s">
        <v>4595</v>
      </c>
      <c r="G1751" s="2" t="s">
        <v>195</v>
      </c>
      <c r="H1751" s="2" t="s">
        <v>196</v>
      </c>
      <c r="I1751" s="2" t="s">
        <v>197</v>
      </c>
      <c r="J1751" s="2">
        <v>1</v>
      </c>
      <c r="K1751" s="2">
        <v>13.49</v>
      </c>
      <c r="L1751" s="2" t="s">
        <v>25</v>
      </c>
      <c r="M1751" s="2">
        <v>2.7</v>
      </c>
      <c r="N1751" s="2">
        <v>7.99</v>
      </c>
      <c r="O1751" s="2">
        <v>18.78</v>
      </c>
      <c r="P1751" s="2" t="s">
        <v>27</v>
      </c>
      <c r="Q1751" s="2" t="s">
        <v>114</v>
      </c>
      <c r="R1751" s="2" t="s">
        <v>99</v>
      </c>
      <c r="S1751" s="2" t="s">
        <v>30</v>
      </c>
      <c r="T1751" s="2" t="s">
        <v>69</v>
      </c>
      <c r="U1751" s="2" t="str">
        <f t="shared" si="82"/>
        <v>Valid</v>
      </c>
      <c r="V1751" s="2" t="s">
        <v>4596</v>
      </c>
    </row>
    <row r="1752" spans="1:22" hidden="1" x14ac:dyDescent="0.3">
      <c r="A1752" s="2" t="s">
        <v>4597</v>
      </c>
      <c r="B1752" s="12">
        <f t="shared" si="81"/>
        <v>46238.584219375</v>
      </c>
      <c r="C1752" s="13">
        <v>46238.584219375</v>
      </c>
      <c r="D1752" s="2" t="s">
        <v>681</v>
      </c>
      <c r="E1752" s="2" t="str">
        <f t="shared" si="83"/>
        <v>Email Available</v>
      </c>
      <c r="F1752" s="2" t="s">
        <v>682</v>
      </c>
      <c r="G1752" s="2" t="s">
        <v>187</v>
      </c>
      <c r="H1752" s="2" t="s">
        <v>37</v>
      </c>
      <c r="I1752" s="2" t="s">
        <v>188</v>
      </c>
      <c r="J1752" s="2">
        <v>1</v>
      </c>
      <c r="K1752" s="2">
        <v>11.99</v>
      </c>
      <c r="L1752" s="2"/>
      <c r="M1752" s="2">
        <v>0</v>
      </c>
      <c r="N1752" s="2">
        <v>4.99</v>
      </c>
      <c r="O1752" s="2">
        <v>16.98</v>
      </c>
      <c r="P1752" s="2" t="s">
        <v>27</v>
      </c>
      <c r="Q1752" s="2" t="s">
        <v>28</v>
      </c>
      <c r="R1752" s="2" t="s">
        <v>99</v>
      </c>
      <c r="S1752" s="2" t="s">
        <v>75</v>
      </c>
      <c r="T1752" s="2"/>
      <c r="U1752" s="2" t="str">
        <f t="shared" si="82"/>
        <v>Not Required</v>
      </c>
      <c r="V1752" s="2" t="s">
        <v>4598</v>
      </c>
    </row>
    <row r="1753" spans="1:22" hidden="1" x14ac:dyDescent="0.3">
      <c r="A1753" s="2" t="s">
        <v>4599</v>
      </c>
      <c r="B1753" s="12">
        <f t="shared" si="81"/>
        <v>46238.588752430558</v>
      </c>
      <c r="C1753" s="13">
        <v>46238.588752430558</v>
      </c>
      <c r="D1753" s="2" t="s">
        <v>1007</v>
      </c>
      <c r="E1753" s="2" t="str">
        <f t="shared" si="83"/>
        <v>Email Available</v>
      </c>
      <c r="F1753" s="2" t="s">
        <v>1008</v>
      </c>
      <c r="G1753" s="2" t="s">
        <v>36</v>
      </c>
      <c r="H1753" s="2" t="s">
        <v>37</v>
      </c>
      <c r="I1753" s="2" t="s">
        <v>38</v>
      </c>
      <c r="J1753" s="2">
        <v>1</v>
      </c>
      <c r="K1753" s="2">
        <v>21.99</v>
      </c>
      <c r="L1753" s="2" t="s">
        <v>67</v>
      </c>
      <c r="M1753" s="2">
        <v>2.2000000000000002</v>
      </c>
      <c r="N1753" s="2">
        <v>5.99</v>
      </c>
      <c r="O1753" s="2">
        <v>25.78</v>
      </c>
      <c r="P1753" s="2" t="s">
        <v>51</v>
      </c>
      <c r="Q1753" s="2" t="s">
        <v>28</v>
      </c>
      <c r="R1753" s="2" t="s">
        <v>52</v>
      </c>
      <c r="S1753" s="2" t="s">
        <v>43</v>
      </c>
      <c r="T1753" s="2"/>
      <c r="U1753" s="2" t="str">
        <f t="shared" si="82"/>
        <v>Not Required</v>
      </c>
      <c r="V1753" s="2" t="s">
        <v>4600</v>
      </c>
    </row>
    <row r="1754" spans="1:22" hidden="1" x14ac:dyDescent="0.3">
      <c r="A1754" s="2" t="s">
        <v>4601</v>
      </c>
      <c r="B1754" s="12">
        <f t="shared" si="81"/>
        <v>46238.586550949083</v>
      </c>
      <c r="C1754" s="13">
        <v>46238.586550949083</v>
      </c>
      <c r="D1754" s="2" t="s">
        <v>63</v>
      </c>
      <c r="E1754" s="2" t="str">
        <f t="shared" si="83"/>
        <v>Email Available</v>
      </c>
      <c r="F1754" s="2" t="s">
        <v>64</v>
      </c>
      <c r="G1754" s="2" t="s">
        <v>272</v>
      </c>
      <c r="H1754" s="2" t="s">
        <v>23</v>
      </c>
      <c r="I1754" s="2" t="s">
        <v>273</v>
      </c>
      <c r="J1754" s="2">
        <v>1</v>
      </c>
      <c r="K1754" s="2">
        <v>18.989999999999998</v>
      </c>
      <c r="L1754" s="2"/>
      <c r="M1754" s="2">
        <v>0</v>
      </c>
      <c r="N1754" s="2">
        <v>4.99</v>
      </c>
      <c r="O1754" s="2" t="s">
        <v>3155</v>
      </c>
      <c r="P1754" s="2" t="s">
        <v>68</v>
      </c>
      <c r="Q1754" s="2" t="s">
        <v>28</v>
      </c>
      <c r="R1754" s="2" t="s">
        <v>52</v>
      </c>
      <c r="S1754" s="2" t="s">
        <v>30</v>
      </c>
      <c r="T1754" s="2" t="s">
        <v>31</v>
      </c>
      <c r="U1754" s="2" t="str">
        <f t="shared" si="82"/>
        <v>Valid</v>
      </c>
      <c r="V1754" s="2" t="s">
        <v>4602</v>
      </c>
    </row>
    <row r="1755" spans="1:22" hidden="1" x14ac:dyDescent="0.3">
      <c r="A1755" s="2" t="s">
        <v>4603</v>
      </c>
      <c r="B1755" s="12">
        <f t="shared" si="81"/>
        <v>46238.581215358798</v>
      </c>
      <c r="C1755" s="13">
        <v>46238.581215358798</v>
      </c>
      <c r="D1755" s="2" t="s">
        <v>733</v>
      </c>
      <c r="E1755" s="2" t="str">
        <f t="shared" si="83"/>
        <v>Email Available</v>
      </c>
      <c r="F1755" s="2" t="s">
        <v>734</v>
      </c>
      <c r="G1755" s="2" t="s">
        <v>272</v>
      </c>
      <c r="H1755" s="2" t="s">
        <v>23</v>
      </c>
      <c r="I1755" s="2" t="s">
        <v>273</v>
      </c>
      <c r="J1755" s="2">
        <v>3</v>
      </c>
      <c r="K1755" s="2">
        <v>18.989999999999998</v>
      </c>
      <c r="L1755" s="2"/>
      <c r="M1755" s="2">
        <v>0</v>
      </c>
      <c r="N1755" s="2">
        <v>7.99</v>
      </c>
      <c r="O1755" s="2">
        <v>64.959999999999994</v>
      </c>
      <c r="P1755" s="2" t="s">
        <v>27</v>
      </c>
      <c r="Q1755" s="2" t="s">
        <v>90</v>
      </c>
      <c r="R1755" s="2" t="s">
        <v>29</v>
      </c>
      <c r="S1755" s="2" t="s">
        <v>108</v>
      </c>
      <c r="T1755" s="2"/>
      <c r="U1755" s="2" t="str">
        <f t="shared" si="82"/>
        <v>Not Required</v>
      </c>
      <c r="V1755" s="2" t="s">
        <v>4604</v>
      </c>
    </row>
    <row r="1756" spans="1:22" hidden="1" x14ac:dyDescent="0.3">
      <c r="A1756" s="2" t="s">
        <v>4605</v>
      </c>
      <c r="B1756" s="12">
        <f t="shared" si="81"/>
        <v>46238.581473472223</v>
      </c>
      <c r="C1756" s="13">
        <v>46238.581473472223</v>
      </c>
      <c r="D1756" s="2" t="s">
        <v>1368</v>
      </c>
      <c r="E1756" s="2" t="str">
        <f t="shared" si="83"/>
        <v>Email Available</v>
      </c>
      <c r="F1756" s="2" t="s">
        <v>1369</v>
      </c>
      <c r="G1756" s="2" t="s">
        <v>315</v>
      </c>
      <c r="H1756" s="2" t="s">
        <v>37</v>
      </c>
      <c r="I1756" s="2" t="s">
        <v>316</v>
      </c>
      <c r="J1756" s="2">
        <v>1</v>
      </c>
      <c r="K1756" s="2">
        <v>8.99</v>
      </c>
      <c r="L1756" s="2" t="s">
        <v>25</v>
      </c>
      <c r="M1756" s="2">
        <v>1.8</v>
      </c>
      <c r="N1756" s="2">
        <v>4.99</v>
      </c>
      <c r="O1756" s="2">
        <v>12.18</v>
      </c>
      <c r="P1756" s="2" t="s">
        <v>40</v>
      </c>
      <c r="Q1756" s="2" t="s">
        <v>28</v>
      </c>
      <c r="R1756" s="2" t="s">
        <v>42</v>
      </c>
      <c r="S1756" s="2" t="s">
        <v>43</v>
      </c>
      <c r="T1756" s="2"/>
      <c r="U1756" s="2" t="str">
        <f t="shared" si="82"/>
        <v>Not Required</v>
      </c>
      <c r="V1756" s="2" t="s">
        <v>4606</v>
      </c>
    </row>
    <row r="1757" spans="1:22" hidden="1" x14ac:dyDescent="0.3">
      <c r="A1757" s="2" t="s">
        <v>4607</v>
      </c>
      <c r="B1757" s="12">
        <f t="shared" si="81"/>
        <v>46238.584981446758</v>
      </c>
      <c r="C1757" s="13">
        <v>46238.584981446758</v>
      </c>
      <c r="D1757" s="2" t="s">
        <v>193</v>
      </c>
      <c r="E1757" s="2" t="str">
        <f t="shared" si="83"/>
        <v>Email Available</v>
      </c>
      <c r="F1757" s="2" t="s">
        <v>194</v>
      </c>
      <c r="G1757" s="2" t="s">
        <v>284</v>
      </c>
      <c r="H1757" s="2" t="s">
        <v>23</v>
      </c>
      <c r="I1757" s="2" t="s">
        <v>285</v>
      </c>
      <c r="J1757" s="2">
        <v>1</v>
      </c>
      <c r="K1757" s="2">
        <v>24.99</v>
      </c>
      <c r="L1757" s="2"/>
      <c r="M1757" s="2">
        <v>0</v>
      </c>
      <c r="N1757" s="2">
        <v>7.99</v>
      </c>
      <c r="O1757" s="2">
        <v>32.979999999999997</v>
      </c>
      <c r="P1757" s="2" t="s">
        <v>27</v>
      </c>
      <c r="Q1757" s="2" t="s">
        <v>41</v>
      </c>
      <c r="R1757" s="2" t="s">
        <v>29</v>
      </c>
      <c r="S1757" s="2" t="s">
        <v>30</v>
      </c>
      <c r="T1757" s="2" t="s">
        <v>1412</v>
      </c>
      <c r="U1757" s="2" t="str">
        <f t="shared" si="82"/>
        <v>Valid</v>
      </c>
      <c r="V1757" s="2" t="s">
        <v>4608</v>
      </c>
    </row>
    <row r="1758" spans="1:22" hidden="1" x14ac:dyDescent="0.3">
      <c r="A1758" s="2" t="s">
        <v>4609</v>
      </c>
      <c r="B1758" s="12">
        <f t="shared" si="81"/>
        <v>46238.586637499997</v>
      </c>
      <c r="C1758" s="13">
        <v>46238.586637499997</v>
      </c>
      <c r="D1758" s="2" t="s">
        <v>825</v>
      </c>
      <c r="E1758" s="2" t="str">
        <f t="shared" si="83"/>
        <v>Email Available</v>
      </c>
      <c r="F1758" s="2" t="s">
        <v>826</v>
      </c>
      <c r="G1758" s="2" t="s">
        <v>48</v>
      </c>
      <c r="H1758" s="2" t="s">
        <v>49</v>
      </c>
      <c r="I1758" s="2" t="s">
        <v>50</v>
      </c>
      <c r="J1758" s="2">
        <v>2</v>
      </c>
      <c r="K1758" s="2" t="s">
        <v>1513</v>
      </c>
      <c r="L1758" s="2" t="s">
        <v>121</v>
      </c>
      <c r="M1758" s="2" t="s">
        <v>1815</v>
      </c>
      <c r="N1758" s="2">
        <v>0</v>
      </c>
      <c r="O1758" s="2">
        <v>59.98</v>
      </c>
      <c r="P1758" s="2" t="s">
        <v>40</v>
      </c>
      <c r="Q1758" s="2" t="s">
        <v>90</v>
      </c>
      <c r="R1758" s="2" t="s">
        <v>99</v>
      </c>
      <c r="S1758" s="2" t="s">
        <v>75</v>
      </c>
      <c r="T1758" s="2"/>
      <c r="U1758" s="2" t="str">
        <f t="shared" si="82"/>
        <v>Not Required</v>
      </c>
      <c r="V1758" s="2" t="s">
        <v>4610</v>
      </c>
    </row>
    <row r="1759" spans="1:22" hidden="1" x14ac:dyDescent="0.3">
      <c r="A1759" s="2" t="s">
        <v>4611</v>
      </c>
      <c r="B1759" s="12">
        <f t="shared" si="81"/>
        <v>46238.58322054398</v>
      </c>
      <c r="C1759" s="13">
        <v>46238.58322054398</v>
      </c>
      <c r="D1759" s="2" t="s">
        <v>476</v>
      </c>
      <c r="E1759" s="2" t="str">
        <f t="shared" si="83"/>
        <v>Email Available</v>
      </c>
      <c r="F1759" s="2" t="s">
        <v>477</v>
      </c>
      <c r="G1759" s="2" t="s">
        <v>171</v>
      </c>
      <c r="H1759" s="2" t="s">
        <v>106</v>
      </c>
      <c r="I1759" s="2" t="s">
        <v>172</v>
      </c>
      <c r="J1759" s="2">
        <v>1</v>
      </c>
      <c r="K1759" s="2">
        <v>32.99</v>
      </c>
      <c r="L1759" s="2" t="s">
        <v>208</v>
      </c>
      <c r="M1759" s="2">
        <v>4.95</v>
      </c>
      <c r="N1759" s="2">
        <v>7.99</v>
      </c>
      <c r="O1759" s="2">
        <v>36.03</v>
      </c>
      <c r="P1759" s="2" t="s">
        <v>51</v>
      </c>
      <c r="Q1759" s="2" t="s">
        <v>28</v>
      </c>
      <c r="R1759" s="2" t="s">
        <v>52</v>
      </c>
      <c r="S1759" s="2" t="s">
        <v>228</v>
      </c>
      <c r="T1759" s="2"/>
      <c r="U1759" s="2" t="str">
        <f t="shared" si="82"/>
        <v>Not Required</v>
      </c>
      <c r="V1759" s="2" t="s">
        <v>4612</v>
      </c>
    </row>
    <row r="1760" spans="1:22" hidden="1" x14ac:dyDescent="0.3">
      <c r="A1760" s="2" t="s">
        <v>4613</v>
      </c>
      <c r="B1760" s="12">
        <f t="shared" si="81"/>
        <v>46238.579244664354</v>
      </c>
      <c r="C1760" s="13">
        <v>46238.579244664354</v>
      </c>
      <c r="D1760" s="2" t="s">
        <v>496</v>
      </c>
      <c r="E1760" s="2" t="str">
        <f t="shared" si="83"/>
        <v>Email Available</v>
      </c>
      <c r="F1760" s="2" t="s">
        <v>497</v>
      </c>
      <c r="G1760" s="2" t="s">
        <v>266</v>
      </c>
      <c r="H1760" s="2" t="s">
        <v>37</v>
      </c>
      <c r="I1760" s="2" t="s">
        <v>267</v>
      </c>
      <c r="J1760" s="2">
        <v>1</v>
      </c>
      <c r="K1760" s="2">
        <v>15.49</v>
      </c>
      <c r="L1760" s="2"/>
      <c r="M1760" s="2">
        <v>0</v>
      </c>
      <c r="N1760" s="2">
        <v>7.99</v>
      </c>
      <c r="O1760" s="2">
        <v>23.48</v>
      </c>
      <c r="P1760" s="2" t="s">
        <v>27</v>
      </c>
      <c r="Q1760" s="2" t="s">
        <v>114</v>
      </c>
      <c r="R1760" s="2" t="s">
        <v>52</v>
      </c>
      <c r="S1760" s="2" t="s">
        <v>30</v>
      </c>
      <c r="T1760" s="2" t="s">
        <v>766</v>
      </c>
      <c r="U1760" s="2" t="str">
        <f t="shared" si="82"/>
        <v>Valid</v>
      </c>
      <c r="V1760" s="2" t="s">
        <v>4614</v>
      </c>
    </row>
    <row r="1761" spans="1:22" hidden="1" x14ac:dyDescent="0.3">
      <c r="A1761" s="2" t="s">
        <v>4615</v>
      </c>
      <c r="B1761" s="12">
        <f t="shared" si="81"/>
        <v>46238.583734305546</v>
      </c>
      <c r="C1761" s="13">
        <v>46238.583734305546</v>
      </c>
      <c r="D1761" s="2" t="s">
        <v>1227</v>
      </c>
      <c r="E1761" s="2" t="str">
        <f t="shared" si="83"/>
        <v>Email Available</v>
      </c>
      <c r="F1761" s="2" t="s">
        <v>1228</v>
      </c>
      <c r="G1761" s="2" t="s">
        <v>65</v>
      </c>
      <c r="H1761" s="2" t="s">
        <v>49</v>
      </c>
      <c r="I1761" s="2" t="s">
        <v>66</v>
      </c>
      <c r="J1761" s="2">
        <v>1</v>
      </c>
      <c r="K1761" s="2">
        <v>14.99</v>
      </c>
      <c r="L1761" s="2"/>
      <c r="M1761" s="2">
        <v>0</v>
      </c>
      <c r="N1761" s="2">
        <v>5.99</v>
      </c>
      <c r="O1761" s="2">
        <v>20.98</v>
      </c>
      <c r="P1761" s="2" t="s">
        <v>51</v>
      </c>
      <c r="Q1761" s="2" t="s">
        <v>41</v>
      </c>
      <c r="R1761" s="2" t="s">
        <v>99</v>
      </c>
      <c r="S1761" s="2" t="s">
        <v>30</v>
      </c>
      <c r="T1761" s="2" t="s">
        <v>454</v>
      </c>
      <c r="U1761" s="2" t="str">
        <f t="shared" si="82"/>
        <v>Valid</v>
      </c>
      <c r="V1761" s="2" t="s">
        <v>4616</v>
      </c>
    </row>
    <row r="1762" spans="1:22" hidden="1" x14ac:dyDescent="0.3">
      <c r="A1762" s="2" t="s">
        <v>4617</v>
      </c>
      <c r="B1762" s="12">
        <f t="shared" si="81"/>
        <v>46238.587669143519</v>
      </c>
      <c r="C1762" s="13">
        <v>46238.587669143519</v>
      </c>
      <c r="D1762" s="2" t="s">
        <v>3512</v>
      </c>
      <c r="E1762" s="2" t="str">
        <f t="shared" si="83"/>
        <v>Email Available</v>
      </c>
      <c r="F1762" s="2" t="s">
        <v>3513</v>
      </c>
      <c r="G1762" s="2" t="s">
        <v>105</v>
      </c>
      <c r="H1762" s="2" t="s">
        <v>106</v>
      </c>
      <c r="I1762" s="2" t="s">
        <v>107</v>
      </c>
      <c r="J1762" s="2">
        <v>1</v>
      </c>
      <c r="K1762" s="2">
        <v>19.989999999999998</v>
      </c>
      <c r="L1762" s="2" t="s">
        <v>208</v>
      </c>
      <c r="M1762" s="2">
        <v>3</v>
      </c>
      <c r="N1762" s="2">
        <v>4.99</v>
      </c>
      <c r="O1762" s="2">
        <v>21.98</v>
      </c>
      <c r="P1762" s="2" t="s">
        <v>74</v>
      </c>
      <c r="Q1762" s="2" t="s">
        <v>114</v>
      </c>
      <c r="R1762" s="2" t="s">
        <v>52</v>
      </c>
      <c r="S1762" s="2" t="s">
        <v>108</v>
      </c>
      <c r="T1762" s="2"/>
      <c r="U1762" s="2" t="str">
        <f t="shared" si="82"/>
        <v>Not Required</v>
      </c>
      <c r="V1762" s="2" t="s">
        <v>4618</v>
      </c>
    </row>
    <row r="1763" spans="1:22" x14ac:dyDescent="0.3">
      <c r="A1763" s="2" t="s">
        <v>4619</v>
      </c>
      <c r="B1763" s="12">
        <f t="shared" si="81"/>
        <v>46238</v>
      </c>
      <c r="C1763" s="13" t="s">
        <v>344</v>
      </c>
      <c r="D1763" s="2" t="s">
        <v>169</v>
      </c>
      <c r="E1763" s="2" t="str">
        <f t="shared" si="83"/>
        <v>Missing Email</v>
      </c>
      <c r="F1763" s="2"/>
      <c r="G1763" s="2" t="s">
        <v>195</v>
      </c>
      <c r="H1763" s="2" t="s">
        <v>196</v>
      </c>
      <c r="I1763" s="2" t="s">
        <v>197</v>
      </c>
      <c r="J1763" s="2">
        <v>1</v>
      </c>
      <c r="K1763" s="2" t="s">
        <v>957</v>
      </c>
      <c r="L1763" s="2"/>
      <c r="M1763" s="2">
        <v>0</v>
      </c>
      <c r="N1763" s="2">
        <v>5.99</v>
      </c>
      <c r="O1763" s="2">
        <v>19.48</v>
      </c>
      <c r="P1763" s="2" t="s">
        <v>27</v>
      </c>
      <c r="Q1763" s="2" t="s">
        <v>41</v>
      </c>
      <c r="R1763" s="2" t="s">
        <v>52</v>
      </c>
      <c r="S1763" s="2" t="s">
        <v>108</v>
      </c>
      <c r="T1763" s="2"/>
      <c r="U1763" s="2" t="str">
        <f t="shared" si="82"/>
        <v>Not Required</v>
      </c>
      <c r="V1763" s="2" t="s">
        <v>4620</v>
      </c>
    </row>
    <row r="1764" spans="1:22" hidden="1" x14ac:dyDescent="0.3">
      <c r="A1764" s="2" t="s">
        <v>4621</v>
      </c>
      <c r="B1764" s="12">
        <f t="shared" si="81"/>
        <v>46238.580891805563</v>
      </c>
      <c r="C1764" s="13">
        <v>46238.580891805563</v>
      </c>
      <c r="D1764" s="2" t="s">
        <v>443</v>
      </c>
      <c r="E1764" s="2" t="str">
        <f t="shared" si="83"/>
        <v>Email Available</v>
      </c>
      <c r="F1764" s="2" t="s">
        <v>444</v>
      </c>
      <c r="G1764" s="2" t="s">
        <v>171</v>
      </c>
      <c r="H1764" s="2" t="s">
        <v>106</v>
      </c>
      <c r="I1764" s="2" t="s">
        <v>172</v>
      </c>
      <c r="J1764" s="2">
        <v>3</v>
      </c>
      <c r="K1764" s="2">
        <v>32.99</v>
      </c>
      <c r="L1764" s="2"/>
      <c r="M1764" s="2">
        <v>0</v>
      </c>
      <c r="N1764" s="2">
        <v>0</v>
      </c>
      <c r="O1764" s="2">
        <v>98.97</v>
      </c>
      <c r="P1764" s="2" t="s">
        <v>27</v>
      </c>
      <c r="Q1764" s="2" t="s">
        <v>28</v>
      </c>
      <c r="R1764" s="2" t="s">
        <v>52</v>
      </c>
      <c r="S1764" s="2" t="s">
        <v>43</v>
      </c>
      <c r="T1764" s="2"/>
      <c r="U1764" s="2" t="str">
        <f t="shared" si="82"/>
        <v>Not Required</v>
      </c>
      <c r="V1764" s="2" t="s">
        <v>4622</v>
      </c>
    </row>
    <row r="1765" spans="1:22" hidden="1" x14ac:dyDescent="0.3">
      <c r="A1765" s="2" t="s">
        <v>4623</v>
      </c>
      <c r="B1765" s="12">
        <f t="shared" si="81"/>
        <v>46238.580943055553</v>
      </c>
      <c r="C1765" s="13">
        <v>46238.580943055553</v>
      </c>
      <c r="D1765" s="2" t="s">
        <v>470</v>
      </c>
      <c r="E1765" s="2" t="str">
        <f t="shared" si="83"/>
        <v>Email Available</v>
      </c>
      <c r="F1765" s="2" t="s">
        <v>471</v>
      </c>
      <c r="G1765" s="2" t="s">
        <v>65</v>
      </c>
      <c r="H1765" s="2" t="s">
        <v>49</v>
      </c>
      <c r="I1765" s="2" t="s">
        <v>453</v>
      </c>
      <c r="J1765" s="2">
        <v>1</v>
      </c>
      <c r="K1765" s="2">
        <v>14.99</v>
      </c>
      <c r="L1765" s="2" t="s">
        <v>25</v>
      </c>
      <c r="M1765" s="2" t="s">
        <v>4624</v>
      </c>
      <c r="N1765" s="2">
        <v>4.99</v>
      </c>
      <c r="O1765" s="2">
        <v>16.98</v>
      </c>
      <c r="P1765" s="2" t="s">
        <v>51</v>
      </c>
      <c r="Q1765" s="2" t="s">
        <v>28</v>
      </c>
      <c r="R1765" s="2" t="s">
        <v>29</v>
      </c>
      <c r="S1765" s="2" t="s">
        <v>43</v>
      </c>
      <c r="T1765" s="2"/>
      <c r="U1765" s="2" t="str">
        <f t="shared" si="82"/>
        <v>Not Required</v>
      </c>
      <c r="V1765" s="2" t="s">
        <v>4625</v>
      </c>
    </row>
    <row r="1766" spans="1:22" hidden="1" x14ac:dyDescent="0.3">
      <c r="A1766" s="2" t="s">
        <v>4626</v>
      </c>
      <c r="B1766" s="12">
        <f t="shared" si="81"/>
        <v>46238.587462939817</v>
      </c>
      <c r="C1766" s="13">
        <v>46238.587462939817</v>
      </c>
      <c r="D1766" s="2" t="s">
        <v>1936</v>
      </c>
      <c r="E1766" s="2" t="str">
        <f t="shared" si="83"/>
        <v>Email Available</v>
      </c>
      <c r="F1766" s="2" t="s">
        <v>1937</v>
      </c>
      <c r="G1766" s="2" t="s">
        <v>195</v>
      </c>
      <c r="H1766" s="2" t="s">
        <v>196</v>
      </c>
      <c r="I1766" s="2" t="s">
        <v>197</v>
      </c>
      <c r="J1766" s="2">
        <v>2</v>
      </c>
      <c r="K1766" s="2">
        <v>13.49</v>
      </c>
      <c r="L1766" s="2" t="s">
        <v>25</v>
      </c>
      <c r="M1766" s="2">
        <v>5.4</v>
      </c>
      <c r="N1766" s="2">
        <v>7.99</v>
      </c>
      <c r="O1766" s="2">
        <v>29.57</v>
      </c>
      <c r="P1766" s="2" t="s">
        <v>27</v>
      </c>
      <c r="Q1766" s="2" t="s">
        <v>114</v>
      </c>
      <c r="R1766" s="2" t="s">
        <v>52</v>
      </c>
      <c r="S1766" s="2" t="s">
        <v>108</v>
      </c>
      <c r="T1766" s="2"/>
      <c r="U1766" s="2" t="str">
        <f t="shared" si="82"/>
        <v>Not Required</v>
      </c>
      <c r="V1766" s="2" t="s">
        <v>4627</v>
      </c>
    </row>
    <row r="1767" spans="1:22" hidden="1" x14ac:dyDescent="0.3">
      <c r="A1767" s="2" t="s">
        <v>4628</v>
      </c>
      <c r="B1767" s="12">
        <f t="shared" si="81"/>
        <v>46238.580673692129</v>
      </c>
      <c r="C1767" s="13">
        <v>46238.580673692129</v>
      </c>
      <c r="D1767" s="2" t="s">
        <v>4629</v>
      </c>
      <c r="E1767" s="2" t="str">
        <f t="shared" si="83"/>
        <v>Email Available</v>
      </c>
      <c r="F1767" s="2" t="s">
        <v>4630</v>
      </c>
      <c r="G1767" s="2" t="s">
        <v>65</v>
      </c>
      <c r="H1767" s="2" t="s">
        <v>49</v>
      </c>
      <c r="I1767" s="2" t="s">
        <v>66</v>
      </c>
      <c r="J1767" s="2">
        <v>1</v>
      </c>
      <c r="K1767" s="2">
        <v>14.99</v>
      </c>
      <c r="L1767" s="2" t="s">
        <v>208</v>
      </c>
      <c r="M1767" s="2">
        <v>2.25</v>
      </c>
      <c r="N1767" s="2">
        <v>7.99</v>
      </c>
      <c r="O1767" s="2">
        <v>20.73</v>
      </c>
      <c r="P1767" s="2" t="s">
        <v>40</v>
      </c>
      <c r="Q1767" s="2" t="s">
        <v>114</v>
      </c>
      <c r="R1767" s="2" t="s">
        <v>42</v>
      </c>
      <c r="S1767" s="2" t="s">
        <v>108</v>
      </c>
      <c r="T1767" s="2"/>
      <c r="U1767" s="2" t="str">
        <f t="shared" si="82"/>
        <v>Not Required</v>
      </c>
      <c r="V1767" s="2" t="s">
        <v>4631</v>
      </c>
    </row>
    <row r="1768" spans="1:22" hidden="1" x14ac:dyDescent="0.3">
      <c r="A1768" s="2" t="s">
        <v>4632</v>
      </c>
      <c r="B1768" s="12">
        <f t="shared" si="81"/>
        <v>46238.580896157408</v>
      </c>
      <c r="C1768" s="13">
        <v>46238.580896157408</v>
      </c>
      <c r="D1768" s="2" t="s">
        <v>345</v>
      </c>
      <c r="E1768" s="2" t="str">
        <f t="shared" si="83"/>
        <v>Email Available</v>
      </c>
      <c r="F1768" s="2" t="s">
        <v>452</v>
      </c>
      <c r="G1768" s="2" t="s">
        <v>133</v>
      </c>
      <c r="H1768" s="2" t="s">
        <v>106</v>
      </c>
      <c r="I1768" s="2" t="s">
        <v>134</v>
      </c>
      <c r="J1768" s="2">
        <v>1</v>
      </c>
      <c r="K1768" s="2">
        <v>16.989999999999998</v>
      </c>
      <c r="L1768" s="2"/>
      <c r="M1768" s="2" t="s">
        <v>189</v>
      </c>
      <c r="N1768" s="2">
        <v>7.99</v>
      </c>
      <c r="O1768" s="2">
        <v>24.98</v>
      </c>
      <c r="P1768" s="2" t="s">
        <v>68</v>
      </c>
      <c r="Q1768" s="2" t="s">
        <v>114</v>
      </c>
      <c r="R1768" s="2" t="s">
        <v>52</v>
      </c>
      <c r="S1768" s="2" t="s">
        <v>30</v>
      </c>
      <c r="T1768" s="2" t="s">
        <v>454</v>
      </c>
      <c r="U1768" s="2" t="str">
        <f t="shared" si="82"/>
        <v>Valid</v>
      </c>
      <c r="V1768" s="2" t="s">
        <v>4633</v>
      </c>
    </row>
    <row r="1769" spans="1:22" hidden="1" x14ac:dyDescent="0.3">
      <c r="A1769" s="2" t="s">
        <v>4634</v>
      </c>
      <c r="B1769" s="12">
        <f t="shared" si="81"/>
        <v>46238.58448957176</v>
      </c>
      <c r="C1769" s="13">
        <v>46238.58448957176</v>
      </c>
      <c r="D1769" s="2" t="s">
        <v>4635</v>
      </c>
      <c r="E1769" s="2" t="str">
        <f t="shared" si="83"/>
        <v>Email Available</v>
      </c>
      <c r="F1769" s="2" t="s">
        <v>4636</v>
      </c>
      <c r="G1769" s="2" t="s">
        <v>171</v>
      </c>
      <c r="H1769" s="2" t="s">
        <v>106</v>
      </c>
      <c r="I1769" s="2" t="s">
        <v>172</v>
      </c>
      <c r="J1769" s="2">
        <v>1</v>
      </c>
      <c r="K1769" s="2">
        <v>32.99</v>
      </c>
      <c r="L1769" s="2"/>
      <c r="M1769" s="2">
        <v>0</v>
      </c>
      <c r="N1769" s="2">
        <v>5.99</v>
      </c>
      <c r="O1769" s="2">
        <v>38.979999999999997</v>
      </c>
      <c r="P1769" s="2" t="s">
        <v>68</v>
      </c>
      <c r="Q1769" s="2" t="s">
        <v>28</v>
      </c>
      <c r="R1769" s="2" t="s">
        <v>29</v>
      </c>
      <c r="S1769" s="2" t="s">
        <v>337</v>
      </c>
      <c r="T1769" s="2"/>
      <c r="U1769" s="2" t="str">
        <f t="shared" si="82"/>
        <v>Not Required</v>
      </c>
      <c r="V1769" s="2" t="s">
        <v>4637</v>
      </c>
    </row>
    <row r="1770" spans="1:22" hidden="1" x14ac:dyDescent="0.3">
      <c r="A1770" s="2" t="s">
        <v>4638</v>
      </c>
      <c r="B1770" s="12">
        <f t="shared" si="81"/>
        <v>46120</v>
      </c>
      <c r="C1770" s="13" t="s">
        <v>142</v>
      </c>
      <c r="D1770" s="2" t="s">
        <v>4639</v>
      </c>
      <c r="E1770" s="2" t="str">
        <f t="shared" si="83"/>
        <v>Email Available</v>
      </c>
      <c r="F1770" s="2" t="s">
        <v>425</v>
      </c>
      <c r="G1770" s="2" t="s">
        <v>65</v>
      </c>
      <c r="H1770" s="2" t="s">
        <v>49</v>
      </c>
      <c r="I1770" s="2" t="s">
        <v>453</v>
      </c>
      <c r="J1770" s="2">
        <v>1</v>
      </c>
      <c r="K1770" s="2">
        <v>14.99</v>
      </c>
      <c r="L1770" s="2" t="s">
        <v>39</v>
      </c>
      <c r="M1770" s="2">
        <v>0</v>
      </c>
      <c r="N1770" s="2">
        <v>0</v>
      </c>
      <c r="O1770" s="2">
        <v>14.99</v>
      </c>
      <c r="P1770" s="2" t="s">
        <v>68</v>
      </c>
      <c r="Q1770" s="2" t="s">
        <v>28</v>
      </c>
      <c r="R1770" s="2" t="s">
        <v>52</v>
      </c>
      <c r="S1770" s="2" t="s">
        <v>30</v>
      </c>
      <c r="T1770" s="2" t="s">
        <v>31</v>
      </c>
      <c r="U1770" s="2" t="str">
        <f t="shared" si="82"/>
        <v>Valid</v>
      </c>
      <c r="V1770" s="2" t="s">
        <v>4640</v>
      </c>
    </row>
    <row r="1771" spans="1:22" hidden="1" x14ac:dyDescent="0.3">
      <c r="A1771" s="2" t="s">
        <v>4641</v>
      </c>
      <c r="B1771" s="12">
        <f t="shared" si="81"/>
        <v>46238.583980578704</v>
      </c>
      <c r="C1771" s="13">
        <v>46238.583980578704</v>
      </c>
      <c r="D1771" s="2" t="s">
        <v>1631</v>
      </c>
      <c r="E1771" s="2" t="str">
        <f t="shared" si="83"/>
        <v>Email Available</v>
      </c>
      <c r="F1771" s="2" t="s">
        <v>1632</v>
      </c>
      <c r="G1771" s="2" t="s">
        <v>272</v>
      </c>
      <c r="H1771" s="2" t="s">
        <v>23</v>
      </c>
      <c r="I1771" s="2" t="s">
        <v>273</v>
      </c>
      <c r="J1771" s="2">
        <v>1</v>
      </c>
      <c r="K1771" s="2">
        <v>18.989999999999998</v>
      </c>
      <c r="L1771" s="2" t="s">
        <v>67</v>
      </c>
      <c r="M1771" s="2">
        <v>1.9</v>
      </c>
      <c r="N1771" s="2">
        <v>5.99</v>
      </c>
      <c r="O1771" s="2">
        <v>23.08</v>
      </c>
      <c r="P1771" s="2" t="s">
        <v>27</v>
      </c>
      <c r="Q1771" s="2" t="s">
        <v>41</v>
      </c>
      <c r="R1771" s="2" t="s">
        <v>52</v>
      </c>
      <c r="S1771" s="2" t="s">
        <v>30</v>
      </c>
      <c r="T1771" s="2" t="s">
        <v>31</v>
      </c>
      <c r="U1771" s="2" t="str">
        <f t="shared" si="82"/>
        <v>Valid</v>
      </c>
      <c r="V1771" s="2" t="s">
        <v>4642</v>
      </c>
    </row>
    <row r="1772" spans="1:22" hidden="1" x14ac:dyDescent="0.3">
      <c r="A1772" s="2" t="s">
        <v>4643</v>
      </c>
      <c r="B1772" s="12">
        <f t="shared" si="81"/>
        <v>46238.588715162034</v>
      </c>
      <c r="C1772" s="13">
        <v>46238.588715162034</v>
      </c>
      <c r="D1772" s="2" t="s">
        <v>420</v>
      </c>
      <c r="E1772" s="2" t="str">
        <f t="shared" si="83"/>
        <v>Email Available</v>
      </c>
      <c r="F1772" s="2" t="s">
        <v>421</v>
      </c>
      <c r="G1772" s="2" t="s">
        <v>105</v>
      </c>
      <c r="H1772" s="2" t="s">
        <v>106</v>
      </c>
      <c r="I1772" s="2" t="s">
        <v>107</v>
      </c>
      <c r="J1772" s="2">
        <v>1</v>
      </c>
      <c r="K1772" s="2">
        <v>19.989999999999998</v>
      </c>
      <c r="L1772" s="2"/>
      <c r="M1772" s="2" t="s">
        <v>189</v>
      </c>
      <c r="N1772" s="2">
        <v>7.99</v>
      </c>
      <c r="O1772" s="2">
        <v>27.98</v>
      </c>
      <c r="P1772" s="2" t="s">
        <v>51</v>
      </c>
      <c r="Q1772" s="2" t="s">
        <v>41</v>
      </c>
      <c r="R1772" s="2" t="s">
        <v>99</v>
      </c>
      <c r="S1772" s="2" t="s">
        <v>337</v>
      </c>
      <c r="T1772" s="2"/>
      <c r="U1772" s="2" t="str">
        <f t="shared" si="82"/>
        <v>Not Required</v>
      </c>
      <c r="V1772" s="2" t="s">
        <v>4644</v>
      </c>
    </row>
    <row r="1773" spans="1:22" hidden="1" x14ac:dyDescent="0.3">
      <c r="A1773" s="2" t="s">
        <v>4645</v>
      </c>
      <c r="B1773" s="12">
        <f t="shared" si="81"/>
        <v>46238.584720833343</v>
      </c>
      <c r="C1773" s="13">
        <v>46238.584720833343</v>
      </c>
      <c r="D1773" s="2" t="s">
        <v>236</v>
      </c>
      <c r="E1773" s="2" t="str">
        <f t="shared" si="83"/>
        <v>Email Available</v>
      </c>
      <c r="F1773" s="2" t="s">
        <v>1026</v>
      </c>
      <c r="G1773" s="2" t="s">
        <v>65</v>
      </c>
      <c r="H1773" s="2" t="s">
        <v>49</v>
      </c>
      <c r="I1773" s="2" t="s">
        <v>66</v>
      </c>
      <c r="J1773" s="2">
        <v>1</v>
      </c>
      <c r="K1773" s="2">
        <v>14.99</v>
      </c>
      <c r="L1773" s="2" t="s">
        <v>121</v>
      </c>
      <c r="M1773" s="2">
        <v>3.75</v>
      </c>
      <c r="N1773" s="2">
        <v>7.99</v>
      </c>
      <c r="O1773" s="2">
        <v>19.23</v>
      </c>
      <c r="P1773" s="2" t="s">
        <v>68</v>
      </c>
      <c r="Q1773" s="2" t="s">
        <v>28</v>
      </c>
      <c r="R1773" s="2" t="s">
        <v>52</v>
      </c>
      <c r="S1773" s="2" t="s">
        <v>43</v>
      </c>
      <c r="T1773" s="2"/>
      <c r="U1773" s="2" t="str">
        <f t="shared" si="82"/>
        <v>Not Required</v>
      </c>
      <c r="V1773" s="2" t="s">
        <v>4646</v>
      </c>
    </row>
    <row r="1774" spans="1:22" hidden="1" x14ac:dyDescent="0.3">
      <c r="A1774" s="2" t="s">
        <v>4647</v>
      </c>
      <c r="B1774" s="12">
        <f t="shared" si="81"/>
        <v>46238.588603506942</v>
      </c>
      <c r="C1774" s="13">
        <v>46238.588603506942</v>
      </c>
      <c r="D1774" s="2" t="s">
        <v>396</v>
      </c>
      <c r="E1774" s="2" t="str">
        <f t="shared" si="83"/>
        <v>Email Available</v>
      </c>
      <c r="F1774" s="2" t="s">
        <v>397</v>
      </c>
      <c r="G1774" s="2" t="s">
        <v>36</v>
      </c>
      <c r="H1774" s="2" t="s">
        <v>37</v>
      </c>
      <c r="I1774" s="2" t="s">
        <v>38</v>
      </c>
      <c r="J1774" s="2">
        <v>1</v>
      </c>
      <c r="K1774" s="2">
        <v>21.99</v>
      </c>
      <c r="L1774" s="2"/>
      <c r="M1774" s="2">
        <v>0</v>
      </c>
      <c r="N1774" s="2">
        <v>4.99</v>
      </c>
      <c r="O1774" s="2" t="s">
        <v>591</v>
      </c>
      <c r="P1774" s="2" t="s">
        <v>27</v>
      </c>
      <c r="Q1774" s="2" t="s">
        <v>28</v>
      </c>
      <c r="R1774" s="2" t="s">
        <v>99</v>
      </c>
      <c r="S1774" s="2" t="s">
        <v>337</v>
      </c>
      <c r="T1774" s="2"/>
      <c r="U1774" s="2" t="str">
        <f t="shared" si="82"/>
        <v>Not Required</v>
      </c>
      <c r="V1774" s="2" t="s">
        <v>4648</v>
      </c>
    </row>
    <row r="1775" spans="1:22" hidden="1" x14ac:dyDescent="0.3">
      <c r="A1775" s="2" t="s">
        <v>4649</v>
      </c>
      <c r="B1775" s="12">
        <f t="shared" si="81"/>
        <v>46120</v>
      </c>
      <c r="C1775" s="13" t="s">
        <v>142</v>
      </c>
      <c r="D1775" s="2" t="s">
        <v>1280</v>
      </c>
      <c r="E1775" s="2" t="str">
        <f t="shared" si="83"/>
        <v>Email Available</v>
      </c>
      <c r="F1775" s="2" t="s">
        <v>1281</v>
      </c>
      <c r="G1775" s="2" t="s">
        <v>368</v>
      </c>
      <c r="H1775" s="2" t="s">
        <v>88</v>
      </c>
      <c r="I1775" s="2" t="s">
        <v>369</v>
      </c>
      <c r="J1775" s="2">
        <v>1</v>
      </c>
      <c r="K1775" s="2">
        <v>54.99</v>
      </c>
      <c r="L1775" s="2" t="s">
        <v>121</v>
      </c>
      <c r="M1775" s="2">
        <v>13.75</v>
      </c>
      <c r="N1775" s="2">
        <v>4.99</v>
      </c>
      <c r="O1775" s="2">
        <v>46.23</v>
      </c>
      <c r="P1775" s="2" t="s">
        <v>68</v>
      </c>
      <c r="Q1775" s="2" t="s">
        <v>41</v>
      </c>
      <c r="R1775" s="2" t="s">
        <v>52</v>
      </c>
      <c r="S1775" s="2" t="s">
        <v>337</v>
      </c>
      <c r="T1775" s="2"/>
      <c r="U1775" s="2" t="str">
        <f t="shared" si="82"/>
        <v>Not Required</v>
      </c>
      <c r="V1775" s="2" t="s">
        <v>4650</v>
      </c>
    </row>
    <row r="1776" spans="1:22" hidden="1" x14ac:dyDescent="0.3">
      <c r="A1776" s="2" t="s">
        <v>4651</v>
      </c>
      <c r="B1776" s="12">
        <f t="shared" si="81"/>
        <v>46238.587208622688</v>
      </c>
      <c r="C1776" s="13">
        <v>46238.587208622688</v>
      </c>
      <c r="D1776" s="2" t="s">
        <v>2270</v>
      </c>
      <c r="E1776" s="2" t="str">
        <f t="shared" si="83"/>
        <v>Email Available</v>
      </c>
      <c r="F1776" s="2" t="s">
        <v>2271</v>
      </c>
      <c r="G1776" s="2" t="s">
        <v>112</v>
      </c>
      <c r="H1776" s="2" t="s">
        <v>81</v>
      </c>
      <c r="I1776" s="2" t="s">
        <v>113</v>
      </c>
      <c r="J1776" s="2">
        <v>1</v>
      </c>
      <c r="K1776" s="2">
        <v>22.99</v>
      </c>
      <c r="L1776" s="2" t="s">
        <v>67</v>
      </c>
      <c r="M1776" s="2">
        <v>2.2999999999999998</v>
      </c>
      <c r="N1776" s="2">
        <v>7.99</v>
      </c>
      <c r="O1776" s="2">
        <v>28.68</v>
      </c>
      <c r="P1776" s="2" t="s">
        <v>27</v>
      </c>
      <c r="Q1776" s="2" t="s">
        <v>114</v>
      </c>
      <c r="R1776" s="2" t="s">
        <v>42</v>
      </c>
      <c r="S1776" s="2" t="s">
        <v>228</v>
      </c>
      <c r="T1776" s="2"/>
      <c r="U1776" s="2" t="str">
        <f t="shared" si="82"/>
        <v>Not Required</v>
      </c>
      <c r="V1776" s="2" t="s">
        <v>4652</v>
      </c>
    </row>
    <row r="1777" spans="1:22" x14ac:dyDescent="0.3">
      <c r="A1777" s="2" t="s">
        <v>4653</v>
      </c>
      <c r="B1777" s="12">
        <f t="shared" si="81"/>
        <v>46238.588953321763</v>
      </c>
      <c r="C1777" s="13">
        <v>46238.588953321763</v>
      </c>
      <c r="D1777" s="2" t="s">
        <v>4654</v>
      </c>
      <c r="E1777" s="2" t="str">
        <f t="shared" si="83"/>
        <v>Missing Email</v>
      </c>
      <c r="F1777" s="2"/>
      <c r="G1777" s="2" t="s">
        <v>133</v>
      </c>
      <c r="H1777" s="2" t="s">
        <v>106</v>
      </c>
      <c r="I1777" s="2" t="s">
        <v>134</v>
      </c>
      <c r="J1777" s="2">
        <v>1</v>
      </c>
      <c r="K1777" s="2">
        <v>16.989999999999998</v>
      </c>
      <c r="L1777" s="2" t="s">
        <v>121</v>
      </c>
      <c r="M1777" s="2">
        <v>4.25</v>
      </c>
      <c r="N1777" s="2">
        <v>5.99</v>
      </c>
      <c r="O1777" s="2">
        <v>18.73</v>
      </c>
      <c r="P1777" s="2" t="s">
        <v>74</v>
      </c>
      <c r="Q1777" s="2" t="s">
        <v>28</v>
      </c>
      <c r="R1777" s="2" t="s">
        <v>42</v>
      </c>
      <c r="S1777" s="2" t="s">
        <v>75</v>
      </c>
      <c r="T1777" s="2"/>
      <c r="U1777" s="2" t="str">
        <f t="shared" si="82"/>
        <v>Not Required</v>
      </c>
      <c r="V1777" s="2" t="s">
        <v>4655</v>
      </c>
    </row>
    <row r="1778" spans="1:22" hidden="1" x14ac:dyDescent="0.3">
      <c r="A1778" s="2" t="s">
        <v>4656</v>
      </c>
      <c r="B1778" s="12">
        <f t="shared" si="81"/>
        <v>46238.582935405087</v>
      </c>
      <c r="C1778" s="13">
        <v>46238.582935405087</v>
      </c>
      <c r="D1778" s="2" t="s">
        <v>565</v>
      </c>
      <c r="E1778" s="2" t="str">
        <f t="shared" si="83"/>
        <v>Email Available</v>
      </c>
      <c r="F1778" s="2" t="s">
        <v>566</v>
      </c>
      <c r="G1778" s="2" t="s">
        <v>195</v>
      </c>
      <c r="H1778" s="2" t="s">
        <v>196</v>
      </c>
      <c r="I1778" s="2" t="s">
        <v>197</v>
      </c>
      <c r="J1778" s="2">
        <v>1</v>
      </c>
      <c r="K1778" s="2">
        <v>13.49</v>
      </c>
      <c r="L1778" s="2"/>
      <c r="M1778" s="2">
        <v>0</v>
      </c>
      <c r="N1778" s="2">
        <v>4.99</v>
      </c>
      <c r="O1778" s="2">
        <v>18.48</v>
      </c>
      <c r="P1778" s="2" t="s">
        <v>74</v>
      </c>
      <c r="Q1778" s="2" t="s">
        <v>90</v>
      </c>
      <c r="R1778" s="2" t="s">
        <v>52</v>
      </c>
      <c r="S1778" s="2" t="s">
        <v>43</v>
      </c>
      <c r="T1778" s="2"/>
      <c r="U1778" s="2" t="str">
        <f t="shared" si="82"/>
        <v>Not Required</v>
      </c>
      <c r="V1778" s="2" t="s">
        <v>4657</v>
      </c>
    </row>
    <row r="1779" spans="1:22" hidden="1" x14ac:dyDescent="0.3">
      <c r="A1779" s="2" t="s">
        <v>4658</v>
      </c>
      <c r="B1779" s="12">
        <f t="shared" si="81"/>
        <v>46238.583024560183</v>
      </c>
      <c r="C1779" s="13">
        <v>46238.583024560183</v>
      </c>
      <c r="D1779" s="2" t="s">
        <v>204</v>
      </c>
      <c r="E1779" s="2" t="str">
        <f t="shared" si="83"/>
        <v>Email Available</v>
      </c>
      <c r="F1779" s="2" t="s">
        <v>205</v>
      </c>
      <c r="G1779" s="2" t="s">
        <v>127</v>
      </c>
      <c r="H1779" s="2" t="s">
        <v>81</v>
      </c>
      <c r="I1779" s="2" t="s">
        <v>128</v>
      </c>
      <c r="J1779" s="2">
        <v>1</v>
      </c>
      <c r="K1779" s="2" t="s">
        <v>1100</v>
      </c>
      <c r="L1779" s="2"/>
      <c r="M1779" s="2">
        <v>0</v>
      </c>
      <c r="N1779" s="2">
        <v>4.99</v>
      </c>
      <c r="O1779" s="2">
        <v>18.98</v>
      </c>
      <c r="P1779" s="2" t="s">
        <v>68</v>
      </c>
      <c r="Q1779" s="2" t="s">
        <v>28</v>
      </c>
      <c r="R1779" s="2" t="s">
        <v>52</v>
      </c>
      <c r="S1779" s="2" t="s">
        <v>75</v>
      </c>
      <c r="T1779" s="2"/>
      <c r="U1779" s="2" t="str">
        <f t="shared" si="82"/>
        <v>Not Required</v>
      </c>
      <c r="V1779" s="2" t="s">
        <v>4659</v>
      </c>
    </row>
    <row r="1780" spans="1:22" hidden="1" x14ac:dyDescent="0.3">
      <c r="A1780" s="2" t="s">
        <v>4660</v>
      </c>
      <c r="B1780" s="12">
        <f t="shared" si="81"/>
        <v>46238.586839444448</v>
      </c>
      <c r="C1780" s="13">
        <v>46238.586839444448</v>
      </c>
      <c r="D1780" s="2" t="s">
        <v>1645</v>
      </c>
      <c r="E1780" s="2" t="str">
        <f t="shared" si="83"/>
        <v>Email Available</v>
      </c>
      <c r="F1780" s="2" t="s">
        <v>1553</v>
      </c>
      <c r="G1780" s="2" t="s">
        <v>187</v>
      </c>
      <c r="H1780" s="2" t="s">
        <v>37</v>
      </c>
      <c r="I1780" s="2" t="s">
        <v>188</v>
      </c>
      <c r="J1780" s="2">
        <v>4</v>
      </c>
      <c r="K1780" s="2">
        <v>11.99</v>
      </c>
      <c r="L1780" s="2"/>
      <c r="M1780" s="2">
        <v>0</v>
      </c>
      <c r="N1780" s="2">
        <v>5.99</v>
      </c>
      <c r="O1780" s="2">
        <v>53.95</v>
      </c>
      <c r="P1780" s="2" t="s">
        <v>40</v>
      </c>
      <c r="Q1780" s="2" t="s">
        <v>90</v>
      </c>
      <c r="R1780" s="2" t="s">
        <v>99</v>
      </c>
      <c r="S1780" s="2" t="s">
        <v>75</v>
      </c>
      <c r="T1780" s="2"/>
      <c r="U1780" s="2" t="str">
        <f t="shared" si="82"/>
        <v>Not Required</v>
      </c>
      <c r="V1780" s="2" t="s">
        <v>4661</v>
      </c>
    </row>
    <row r="1781" spans="1:22" hidden="1" x14ac:dyDescent="0.3">
      <c r="A1781" s="2" t="s">
        <v>4664</v>
      </c>
      <c r="B1781" s="12">
        <f t="shared" si="81"/>
        <v>46120</v>
      </c>
      <c r="C1781" s="13" t="s">
        <v>142</v>
      </c>
      <c r="D1781" s="2" t="s">
        <v>4665</v>
      </c>
      <c r="E1781" s="2" t="str">
        <f t="shared" si="83"/>
        <v>Email Available</v>
      </c>
      <c r="F1781" s="2" t="s">
        <v>4666</v>
      </c>
      <c r="G1781" s="2" t="s">
        <v>65</v>
      </c>
      <c r="H1781" s="2" t="s">
        <v>49</v>
      </c>
      <c r="I1781" s="2" t="s">
        <v>453</v>
      </c>
      <c r="J1781" s="2">
        <v>2</v>
      </c>
      <c r="K1781" s="2">
        <v>14.99</v>
      </c>
      <c r="L1781" s="2" t="s">
        <v>25</v>
      </c>
      <c r="M1781" s="2">
        <v>6</v>
      </c>
      <c r="N1781" s="2">
        <v>4.99</v>
      </c>
      <c r="O1781" s="2">
        <v>28.97</v>
      </c>
      <c r="P1781" s="2" t="s">
        <v>74</v>
      </c>
      <c r="Q1781" s="2" t="s">
        <v>41</v>
      </c>
      <c r="R1781" s="2" t="s">
        <v>52</v>
      </c>
      <c r="S1781" s="2" t="s">
        <v>30</v>
      </c>
      <c r="T1781" s="2" t="s">
        <v>347</v>
      </c>
      <c r="U1781" s="2" t="str">
        <f t="shared" si="82"/>
        <v>Valid</v>
      </c>
      <c r="V1781" s="2" t="s">
        <v>2603</v>
      </c>
    </row>
    <row r="1782" spans="1:22" hidden="1" x14ac:dyDescent="0.3">
      <c r="A1782" s="2" t="s">
        <v>4667</v>
      </c>
      <c r="B1782" s="12">
        <f t="shared" si="81"/>
        <v>46120</v>
      </c>
      <c r="C1782" s="13" t="s">
        <v>142</v>
      </c>
      <c r="D1782" s="2" t="s">
        <v>443</v>
      </c>
      <c r="E1782" s="2" t="str">
        <f t="shared" si="83"/>
        <v>Email Available</v>
      </c>
      <c r="F1782" s="2" t="s">
        <v>444</v>
      </c>
      <c r="G1782" s="2" t="s">
        <v>65</v>
      </c>
      <c r="H1782" s="2" t="s">
        <v>49</v>
      </c>
      <c r="I1782" s="2" t="s">
        <v>66</v>
      </c>
      <c r="J1782" s="2">
        <v>1</v>
      </c>
      <c r="K1782" s="2">
        <v>14.99</v>
      </c>
      <c r="L1782" s="2"/>
      <c r="M1782" s="2">
        <v>0</v>
      </c>
      <c r="N1782" s="2">
        <v>7.99</v>
      </c>
      <c r="O1782" s="2" t="s">
        <v>4668</v>
      </c>
      <c r="P1782" s="2" t="s">
        <v>68</v>
      </c>
      <c r="Q1782" s="2" t="s">
        <v>114</v>
      </c>
      <c r="R1782" s="2" t="s">
        <v>52</v>
      </c>
      <c r="S1782" s="2" t="s">
        <v>43</v>
      </c>
      <c r="T1782" s="2"/>
      <c r="U1782" s="2" t="str">
        <f t="shared" si="82"/>
        <v>Not Required</v>
      </c>
      <c r="V1782" s="2" t="s">
        <v>4669</v>
      </c>
    </row>
    <row r="1783" spans="1:22" hidden="1" x14ac:dyDescent="0.3">
      <c r="A1783" s="2" t="s">
        <v>4670</v>
      </c>
      <c r="B1783" s="12">
        <f t="shared" si="81"/>
        <v>46238.585805497692</v>
      </c>
      <c r="C1783" s="13">
        <v>46238.585805497692</v>
      </c>
      <c r="D1783" s="2" t="s">
        <v>536</v>
      </c>
      <c r="E1783" s="2" t="str">
        <f t="shared" si="83"/>
        <v>Email Available</v>
      </c>
      <c r="F1783" s="2" t="s">
        <v>537</v>
      </c>
      <c r="G1783" s="2" t="s">
        <v>127</v>
      </c>
      <c r="H1783" s="2" t="s">
        <v>81</v>
      </c>
      <c r="I1783" s="2" t="s">
        <v>128</v>
      </c>
      <c r="J1783" s="2">
        <v>1</v>
      </c>
      <c r="K1783" s="2">
        <v>13.99</v>
      </c>
      <c r="L1783" s="2"/>
      <c r="M1783" s="2">
        <v>0</v>
      </c>
      <c r="N1783" s="2">
        <v>7.99</v>
      </c>
      <c r="O1783" s="2">
        <v>21.98</v>
      </c>
      <c r="P1783" s="2" t="s">
        <v>68</v>
      </c>
      <c r="Q1783" s="2" t="s">
        <v>90</v>
      </c>
      <c r="R1783" s="2" t="s">
        <v>52</v>
      </c>
      <c r="S1783" s="2" t="s">
        <v>30</v>
      </c>
      <c r="T1783" s="2" t="s">
        <v>145</v>
      </c>
      <c r="U1783" s="2" t="str">
        <f t="shared" si="82"/>
        <v>Valid</v>
      </c>
      <c r="V1783" s="2" t="s">
        <v>4671</v>
      </c>
    </row>
    <row r="1784" spans="1:22" x14ac:dyDescent="0.3">
      <c r="A1784" s="2" t="s">
        <v>4672</v>
      </c>
      <c r="B1784" s="12">
        <f t="shared" si="81"/>
        <v>46238.58071642361</v>
      </c>
      <c r="C1784" s="13">
        <v>46238.58071642361</v>
      </c>
      <c r="D1784" s="2" t="s">
        <v>1645</v>
      </c>
      <c r="E1784" s="2" t="str">
        <f t="shared" si="83"/>
        <v>Missing Email</v>
      </c>
      <c r="F1784" s="2"/>
      <c r="G1784" s="2" t="s">
        <v>151</v>
      </c>
      <c r="H1784" s="2" t="s">
        <v>49</v>
      </c>
      <c r="I1784" s="2" t="s">
        <v>152</v>
      </c>
      <c r="J1784" s="2">
        <v>1</v>
      </c>
      <c r="K1784" s="2">
        <v>34.99</v>
      </c>
      <c r="L1784" s="2"/>
      <c r="M1784" s="2">
        <v>0</v>
      </c>
      <c r="N1784" s="2">
        <v>7.99</v>
      </c>
      <c r="O1784" s="2">
        <v>42.98</v>
      </c>
      <c r="P1784" s="2" t="s">
        <v>27</v>
      </c>
      <c r="Q1784" s="2" t="s">
        <v>28</v>
      </c>
      <c r="R1784" s="2" t="s">
        <v>52</v>
      </c>
      <c r="S1784" s="2" t="s">
        <v>75</v>
      </c>
      <c r="T1784" s="2"/>
      <c r="U1784" s="2" t="str">
        <f t="shared" si="82"/>
        <v>Not Required</v>
      </c>
      <c r="V1784" s="2" t="s">
        <v>4673</v>
      </c>
    </row>
    <row r="1785" spans="1:22" hidden="1" x14ac:dyDescent="0.3">
      <c r="A1785" s="2" t="s">
        <v>4674</v>
      </c>
      <c r="B1785" s="12">
        <f t="shared" si="81"/>
        <v>46238.587070266207</v>
      </c>
      <c r="C1785" s="13">
        <v>46238.587070266207</v>
      </c>
      <c r="D1785" s="2" t="s">
        <v>1495</v>
      </c>
      <c r="E1785" s="2" t="str">
        <f t="shared" si="83"/>
        <v>Email Available</v>
      </c>
      <c r="F1785" s="2" t="s">
        <v>1496</v>
      </c>
      <c r="G1785" s="2" t="s">
        <v>1993</v>
      </c>
      <c r="H1785" s="2" t="s">
        <v>88</v>
      </c>
      <c r="I1785" s="2" t="s">
        <v>369</v>
      </c>
      <c r="J1785" s="2">
        <v>1</v>
      </c>
      <c r="K1785" s="2">
        <v>54.99</v>
      </c>
      <c r="L1785" s="2"/>
      <c r="M1785" s="2">
        <v>0</v>
      </c>
      <c r="N1785" s="2">
        <v>5.99</v>
      </c>
      <c r="O1785" s="2">
        <v>60.98</v>
      </c>
      <c r="P1785" s="2" t="s">
        <v>40</v>
      </c>
      <c r="Q1785" s="2" t="s">
        <v>28</v>
      </c>
      <c r="R1785" s="2" t="s">
        <v>52</v>
      </c>
      <c r="S1785" s="2" t="s">
        <v>43</v>
      </c>
      <c r="T1785" s="2"/>
      <c r="U1785" s="2" t="str">
        <f t="shared" si="82"/>
        <v>Not Required</v>
      </c>
      <c r="V1785" s="2" t="s">
        <v>4675</v>
      </c>
    </row>
    <row r="1786" spans="1:22" hidden="1" x14ac:dyDescent="0.3">
      <c r="A1786" s="2" t="s">
        <v>4676</v>
      </c>
      <c r="B1786" s="12">
        <f t="shared" si="81"/>
        <v>46238.586992407407</v>
      </c>
      <c r="C1786" s="13">
        <v>46238.586992407407</v>
      </c>
      <c r="D1786" s="2" t="s">
        <v>853</v>
      </c>
      <c r="E1786" s="2" t="str">
        <f t="shared" si="83"/>
        <v>Email Available</v>
      </c>
      <c r="F1786" s="2" t="s">
        <v>854</v>
      </c>
      <c r="G1786" s="2" t="s">
        <v>65</v>
      </c>
      <c r="H1786" s="2" t="s">
        <v>49</v>
      </c>
      <c r="I1786" s="2" t="s">
        <v>453</v>
      </c>
      <c r="J1786" s="2">
        <v>2</v>
      </c>
      <c r="K1786" s="2">
        <v>14.99</v>
      </c>
      <c r="L1786" s="2"/>
      <c r="M1786" s="2">
        <v>0</v>
      </c>
      <c r="N1786" s="2">
        <v>4.99</v>
      </c>
      <c r="O1786" s="2">
        <v>34.97</v>
      </c>
      <c r="P1786" s="2" t="s">
        <v>40</v>
      </c>
      <c r="Q1786" s="2" t="s">
        <v>28</v>
      </c>
      <c r="R1786" s="2" t="s">
        <v>52</v>
      </c>
      <c r="S1786" s="2" t="s">
        <v>30</v>
      </c>
      <c r="T1786" s="2" t="s">
        <v>60</v>
      </c>
      <c r="U1786" s="2" t="str">
        <f t="shared" si="82"/>
        <v>Valid</v>
      </c>
      <c r="V1786" s="2" t="s">
        <v>4677</v>
      </c>
    </row>
    <row r="1787" spans="1:22" hidden="1" x14ac:dyDescent="0.3">
      <c r="A1787" s="2" t="s">
        <v>4678</v>
      </c>
      <c r="B1787" s="12">
        <f t="shared" ref="B1787:B1850" si="84">IF(ISNUMBER(C1787),C1787,DATEVALUE(SUBSTITUTE(TRIM(C1787),CHAR(160)," ")))</f>
        <v>46238.582144108797</v>
      </c>
      <c r="C1787" s="13">
        <v>46238.582144108797</v>
      </c>
      <c r="D1787" s="2" t="s">
        <v>94</v>
      </c>
      <c r="E1787" s="2" t="str">
        <f t="shared" si="83"/>
        <v>Email Available</v>
      </c>
      <c r="F1787" s="2" t="s">
        <v>95</v>
      </c>
      <c r="G1787" s="2" t="s">
        <v>284</v>
      </c>
      <c r="H1787" s="2" t="s">
        <v>23</v>
      </c>
      <c r="I1787" s="2" t="s">
        <v>285</v>
      </c>
      <c r="J1787" s="2">
        <v>2</v>
      </c>
      <c r="K1787" s="2">
        <v>24.99</v>
      </c>
      <c r="L1787" s="2"/>
      <c r="M1787" s="2">
        <v>0</v>
      </c>
      <c r="N1787" s="2">
        <v>5.99</v>
      </c>
      <c r="O1787" s="2" t="s">
        <v>4679</v>
      </c>
      <c r="P1787" s="2" t="s">
        <v>74</v>
      </c>
      <c r="Q1787" s="2" t="s">
        <v>28</v>
      </c>
      <c r="R1787" s="2" t="s">
        <v>29</v>
      </c>
      <c r="S1787" s="2" t="s">
        <v>43</v>
      </c>
      <c r="T1787" s="2"/>
      <c r="U1787" s="2" t="str">
        <f t="shared" ref="U1787:U1850" si="85">IF(AND(S1787="United States",T1787=""),"Missing state",IF(T1787="","Not Required","Valid"))</f>
        <v>Not Required</v>
      </c>
      <c r="V1787" s="2" t="s">
        <v>4680</v>
      </c>
    </row>
    <row r="1788" spans="1:22" hidden="1" x14ac:dyDescent="0.3">
      <c r="A1788" s="2" t="s">
        <v>4681</v>
      </c>
      <c r="B1788" s="12">
        <f t="shared" si="84"/>
        <v>46238.580650532407</v>
      </c>
      <c r="C1788" s="13">
        <v>46238.580650532407</v>
      </c>
      <c r="D1788" s="2" t="s">
        <v>502</v>
      </c>
      <c r="E1788" s="2" t="str">
        <f t="shared" si="83"/>
        <v>Email Available</v>
      </c>
      <c r="F1788" s="2" t="s">
        <v>503</v>
      </c>
      <c r="G1788" s="2" t="s">
        <v>127</v>
      </c>
      <c r="H1788" s="2" t="s">
        <v>81</v>
      </c>
      <c r="I1788" s="2" t="s">
        <v>128</v>
      </c>
      <c r="J1788" s="2">
        <v>2</v>
      </c>
      <c r="K1788" s="2">
        <v>13.99</v>
      </c>
      <c r="L1788" s="2" t="s">
        <v>121</v>
      </c>
      <c r="M1788" s="2">
        <v>7</v>
      </c>
      <c r="N1788" s="2">
        <v>4.99</v>
      </c>
      <c r="O1788" s="2">
        <v>25.97</v>
      </c>
      <c r="P1788" s="2" t="s">
        <v>27</v>
      </c>
      <c r="Q1788" s="2" t="s">
        <v>28</v>
      </c>
      <c r="R1788" s="2" t="s">
        <v>52</v>
      </c>
      <c r="S1788" s="2" t="s">
        <v>108</v>
      </c>
      <c r="T1788" s="2"/>
      <c r="U1788" s="2" t="str">
        <f t="shared" si="85"/>
        <v>Not Required</v>
      </c>
      <c r="V1788" s="2" t="s">
        <v>4682</v>
      </c>
    </row>
    <row r="1789" spans="1:22" hidden="1" x14ac:dyDescent="0.3">
      <c r="A1789" s="2" t="s">
        <v>4683</v>
      </c>
      <c r="B1789" s="12">
        <f t="shared" si="84"/>
        <v>46238.586294791668</v>
      </c>
      <c r="C1789" s="13">
        <v>46238.586294791668</v>
      </c>
      <c r="D1789" s="2" t="s">
        <v>396</v>
      </c>
      <c r="E1789" s="2" t="str">
        <f t="shared" si="83"/>
        <v>Email Available</v>
      </c>
      <c r="F1789" s="2" t="s">
        <v>397</v>
      </c>
      <c r="G1789" s="2" t="s">
        <v>65</v>
      </c>
      <c r="H1789" s="2" t="s">
        <v>49</v>
      </c>
      <c r="I1789" s="2" t="s">
        <v>453</v>
      </c>
      <c r="J1789" s="2">
        <v>2</v>
      </c>
      <c r="K1789" s="2" t="s">
        <v>1485</v>
      </c>
      <c r="L1789" s="2"/>
      <c r="M1789" s="2">
        <v>0</v>
      </c>
      <c r="N1789" s="2">
        <v>5.99</v>
      </c>
      <c r="O1789" s="2">
        <v>35.97</v>
      </c>
      <c r="P1789" s="2" t="s">
        <v>27</v>
      </c>
      <c r="Q1789" s="2" t="s">
        <v>90</v>
      </c>
      <c r="R1789" s="2" t="s">
        <v>52</v>
      </c>
      <c r="S1789" s="2" t="s">
        <v>337</v>
      </c>
      <c r="T1789" s="2"/>
      <c r="U1789" s="2" t="str">
        <f t="shared" si="85"/>
        <v>Not Required</v>
      </c>
      <c r="V1789" s="2" t="s">
        <v>4684</v>
      </c>
    </row>
    <row r="1790" spans="1:22" hidden="1" x14ac:dyDescent="0.3">
      <c r="A1790" s="2" t="s">
        <v>4685</v>
      </c>
      <c r="B1790" s="12">
        <f t="shared" si="84"/>
        <v>46120</v>
      </c>
      <c r="C1790" s="13" t="s">
        <v>142</v>
      </c>
      <c r="D1790" s="2" t="s">
        <v>4686</v>
      </c>
      <c r="E1790" s="2" t="str">
        <f t="shared" si="83"/>
        <v>Email Available</v>
      </c>
      <c r="F1790" s="2" t="s">
        <v>186</v>
      </c>
      <c r="G1790" s="2" t="s">
        <v>206</v>
      </c>
      <c r="H1790" s="2" t="s">
        <v>196</v>
      </c>
      <c r="I1790" s="2" t="s">
        <v>207</v>
      </c>
      <c r="J1790" s="2">
        <v>1</v>
      </c>
      <c r="K1790" s="2">
        <v>24.99</v>
      </c>
      <c r="L1790" s="2" t="s">
        <v>121</v>
      </c>
      <c r="M1790" s="2">
        <v>6.25</v>
      </c>
      <c r="N1790" s="2">
        <v>4.99</v>
      </c>
      <c r="O1790" s="2">
        <v>23.73</v>
      </c>
      <c r="P1790" s="2" t="s">
        <v>51</v>
      </c>
      <c r="Q1790" s="2" t="s">
        <v>41</v>
      </c>
      <c r="R1790" s="2" t="s">
        <v>42</v>
      </c>
      <c r="S1790" s="2" t="s">
        <v>30</v>
      </c>
      <c r="T1790" s="2" t="s">
        <v>31</v>
      </c>
      <c r="U1790" s="2" t="str">
        <f t="shared" si="85"/>
        <v>Valid</v>
      </c>
      <c r="V1790" s="2" t="s">
        <v>4687</v>
      </c>
    </row>
    <row r="1791" spans="1:22" hidden="1" x14ac:dyDescent="0.3">
      <c r="A1791" s="2" t="s">
        <v>4688</v>
      </c>
      <c r="B1791" s="12">
        <f t="shared" si="84"/>
        <v>46238.585610115741</v>
      </c>
      <c r="C1791" s="13">
        <v>46238.585610115741</v>
      </c>
      <c r="D1791" s="2" t="s">
        <v>218</v>
      </c>
      <c r="E1791" s="2" t="str">
        <f t="shared" si="83"/>
        <v>Email Available</v>
      </c>
      <c r="F1791" s="2" t="s">
        <v>219</v>
      </c>
      <c r="G1791" s="2" t="s">
        <v>151</v>
      </c>
      <c r="H1791" s="2" t="s">
        <v>49</v>
      </c>
      <c r="I1791" s="2" t="s">
        <v>152</v>
      </c>
      <c r="J1791" s="2">
        <v>1</v>
      </c>
      <c r="K1791" s="2">
        <v>34.99</v>
      </c>
      <c r="L1791" s="2" t="s">
        <v>25</v>
      </c>
      <c r="M1791" s="2">
        <v>7</v>
      </c>
      <c r="N1791" s="2">
        <v>4.99</v>
      </c>
      <c r="O1791" s="2">
        <v>32.979999999999997</v>
      </c>
      <c r="P1791" s="2" t="s">
        <v>68</v>
      </c>
      <c r="Q1791" s="2" t="s">
        <v>41</v>
      </c>
      <c r="R1791" s="2" t="s">
        <v>99</v>
      </c>
      <c r="S1791" s="2" t="s">
        <v>30</v>
      </c>
      <c r="T1791" s="2" t="s">
        <v>145</v>
      </c>
      <c r="U1791" s="2" t="str">
        <f t="shared" si="85"/>
        <v>Valid</v>
      </c>
      <c r="V1791" s="2" t="s">
        <v>2681</v>
      </c>
    </row>
    <row r="1792" spans="1:22" hidden="1" x14ac:dyDescent="0.3">
      <c r="A1792" s="2" t="s">
        <v>4689</v>
      </c>
      <c r="B1792" s="12">
        <f t="shared" si="84"/>
        <v>46238.587343171297</v>
      </c>
      <c r="C1792" s="13">
        <v>46238.587343171297</v>
      </c>
      <c r="D1792" s="2" t="s">
        <v>562</v>
      </c>
      <c r="E1792" s="2" t="str">
        <f t="shared" si="83"/>
        <v>Email Available</v>
      </c>
      <c r="F1792" s="2" t="s">
        <v>47</v>
      </c>
      <c r="G1792" s="2" t="s">
        <v>315</v>
      </c>
      <c r="H1792" s="2" t="s">
        <v>37</v>
      </c>
      <c r="I1792" s="2" t="s">
        <v>316</v>
      </c>
      <c r="J1792" s="2">
        <v>1</v>
      </c>
      <c r="K1792" s="2">
        <v>8.99</v>
      </c>
      <c r="L1792" s="2" t="s">
        <v>121</v>
      </c>
      <c r="M1792" s="2">
        <v>2.25</v>
      </c>
      <c r="N1792" s="2">
        <v>5.99</v>
      </c>
      <c r="O1792" s="2">
        <v>12.73</v>
      </c>
      <c r="P1792" s="2" t="s">
        <v>27</v>
      </c>
      <c r="Q1792" s="2" t="s">
        <v>28</v>
      </c>
      <c r="R1792" s="2" t="s">
        <v>52</v>
      </c>
      <c r="S1792" s="2" t="s">
        <v>30</v>
      </c>
      <c r="T1792" s="2" t="s">
        <v>115</v>
      </c>
      <c r="U1792" s="2" t="str">
        <f t="shared" si="85"/>
        <v>Valid</v>
      </c>
      <c r="V1792" s="2" t="s">
        <v>4690</v>
      </c>
    </row>
    <row r="1793" spans="1:22" hidden="1" x14ac:dyDescent="0.3">
      <c r="A1793" s="2" t="s">
        <v>4691</v>
      </c>
      <c r="B1793" s="12">
        <f t="shared" si="84"/>
        <v>46238.58646903935</v>
      </c>
      <c r="C1793" s="13">
        <v>46238.58646903935</v>
      </c>
      <c r="D1793" s="2" t="s">
        <v>384</v>
      </c>
      <c r="E1793" s="2" t="str">
        <f t="shared" si="83"/>
        <v>Email Available</v>
      </c>
      <c r="F1793" s="2" t="s">
        <v>385</v>
      </c>
      <c r="G1793" s="2" t="s">
        <v>133</v>
      </c>
      <c r="H1793" s="2" t="s">
        <v>106</v>
      </c>
      <c r="I1793" s="2" t="s">
        <v>134</v>
      </c>
      <c r="J1793" s="2">
        <v>4</v>
      </c>
      <c r="K1793" s="2">
        <v>16.989999999999998</v>
      </c>
      <c r="L1793" s="2" t="s">
        <v>121</v>
      </c>
      <c r="M1793" s="2">
        <v>16.989999999999998</v>
      </c>
      <c r="N1793" s="2">
        <v>7.99</v>
      </c>
      <c r="O1793" s="2">
        <v>58.96</v>
      </c>
      <c r="P1793" s="2" t="s">
        <v>40</v>
      </c>
      <c r="Q1793" s="2" t="s">
        <v>90</v>
      </c>
      <c r="R1793" s="2" t="s">
        <v>52</v>
      </c>
      <c r="S1793" s="2" t="s">
        <v>75</v>
      </c>
      <c r="T1793" s="2"/>
      <c r="U1793" s="2" t="str">
        <f t="shared" si="85"/>
        <v>Not Required</v>
      </c>
      <c r="V1793" s="2" t="s">
        <v>4692</v>
      </c>
    </row>
    <row r="1794" spans="1:22" hidden="1" x14ac:dyDescent="0.3">
      <c r="A1794" s="2" t="s">
        <v>4695</v>
      </c>
      <c r="B1794" s="12">
        <f t="shared" si="84"/>
        <v>46238.586757870369</v>
      </c>
      <c r="C1794" s="13">
        <v>46238.586757870369</v>
      </c>
      <c r="D1794" s="2" t="s">
        <v>643</v>
      </c>
      <c r="E1794" s="2" t="str">
        <f t="shared" si="83"/>
        <v>Email Available</v>
      </c>
      <c r="F1794" s="2" t="s">
        <v>644</v>
      </c>
      <c r="G1794" s="2" t="s">
        <v>187</v>
      </c>
      <c r="H1794" s="2" t="s">
        <v>37</v>
      </c>
      <c r="I1794" s="2" t="s">
        <v>188</v>
      </c>
      <c r="J1794" s="2">
        <v>2</v>
      </c>
      <c r="K1794" s="2">
        <v>11.99</v>
      </c>
      <c r="L1794" s="2"/>
      <c r="M1794" s="2">
        <v>0</v>
      </c>
      <c r="N1794" s="2">
        <v>5.99</v>
      </c>
      <c r="O1794" s="2" t="s">
        <v>4696</v>
      </c>
      <c r="P1794" s="2" t="s">
        <v>51</v>
      </c>
      <c r="Q1794" s="2" t="s">
        <v>28</v>
      </c>
      <c r="R1794" s="2" t="s">
        <v>52</v>
      </c>
      <c r="S1794" s="2" t="s">
        <v>30</v>
      </c>
      <c r="T1794" s="2" t="s">
        <v>145</v>
      </c>
      <c r="U1794" s="2" t="str">
        <f t="shared" si="85"/>
        <v>Valid</v>
      </c>
      <c r="V1794" s="2" t="s">
        <v>253</v>
      </c>
    </row>
    <row r="1795" spans="1:22" hidden="1" x14ac:dyDescent="0.3">
      <c r="A1795" s="2" t="s">
        <v>4697</v>
      </c>
      <c r="B1795" s="12">
        <f t="shared" si="84"/>
        <v>46238.587649907407</v>
      </c>
      <c r="C1795" s="13">
        <v>46238.587649907407</v>
      </c>
      <c r="D1795" s="2" t="s">
        <v>733</v>
      </c>
      <c r="E1795" s="2" t="str">
        <f t="shared" ref="E1795:E1858" si="86">IF(TRIM(F1795)="","Missing Email","Email Available")</f>
        <v>Email Available</v>
      </c>
      <c r="F1795" s="2" t="s">
        <v>734</v>
      </c>
      <c r="G1795" s="2" t="s">
        <v>206</v>
      </c>
      <c r="H1795" s="2" t="s">
        <v>196</v>
      </c>
      <c r="I1795" s="2" t="s">
        <v>207</v>
      </c>
      <c r="J1795" s="2">
        <v>2</v>
      </c>
      <c r="K1795" s="2">
        <v>24.99</v>
      </c>
      <c r="L1795" s="2" t="s">
        <v>25</v>
      </c>
      <c r="M1795" s="2" t="s">
        <v>4698</v>
      </c>
      <c r="N1795" s="2">
        <v>4.99</v>
      </c>
      <c r="O1795" s="2">
        <v>44.97</v>
      </c>
      <c r="P1795" s="2" t="s">
        <v>68</v>
      </c>
      <c r="Q1795" s="2" t="s">
        <v>41</v>
      </c>
      <c r="R1795" s="2" t="s">
        <v>42</v>
      </c>
      <c r="S1795" s="2" t="s">
        <v>108</v>
      </c>
      <c r="T1795" s="2"/>
      <c r="U1795" s="2" t="str">
        <f t="shared" si="85"/>
        <v>Not Required</v>
      </c>
      <c r="V1795" s="2" t="s">
        <v>4699</v>
      </c>
    </row>
    <row r="1796" spans="1:22" hidden="1" x14ac:dyDescent="0.3">
      <c r="A1796" s="2" t="s">
        <v>4700</v>
      </c>
      <c r="B1796" s="12">
        <f t="shared" si="84"/>
        <v>46238.579988032398</v>
      </c>
      <c r="C1796" s="13">
        <v>46238.579988032398</v>
      </c>
      <c r="D1796" s="2" t="s">
        <v>4701</v>
      </c>
      <c r="E1796" s="2" t="str">
        <f t="shared" si="86"/>
        <v>Email Available</v>
      </c>
      <c r="F1796" s="2" t="s">
        <v>374</v>
      </c>
      <c r="G1796" s="2" t="s">
        <v>195</v>
      </c>
      <c r="H1796" s="2" t="s">
        <v>196</v>
      </c>
      <c r="I1796" s="2" t="s">
        <v>197</v>
      </c>
      <c r="J1796" s="2">
        <v>1</v>
      </c>
      <c r="K1796" s="2" t="s">
        <v>957</v>
      </c>
      <c r="L1796" s="2" t="s">
        <v>121</v>
      </c>
      <c r="M1796" s="2">
        <v>3.37</v>
      </c>
      <c r="N1796" s="2">
        <v>4.99</v>
      </c>
      <c r="O1796" s="2">
        <v>15.11</v>
      </c>
      <c r="P1796" s="2" t="s">
        <v>40</v>
      </c>
      <c r="Q1796" s="2" t="s">
        <v>28</v>
      </c>
      <c r="R1796" s="2" t="s">
        <v>29</v>
      </c>
      <c r="S1796" s="2" t="s">
        <v>337</v>
      </c>
      <c r="T1796" s="2"/>
      <c r="U1796" s="2" t="str">
        <f t="shared" si="85"/>
        <v>Not Required</v>
      </c>
      <c r="V1796" s="2" t="s">
        <v>1156</v>
      </c>
    </row>
    <row r="1797" spans="1:22" hidden="1" x14ac:dyDescent="0.3">
      <c r="A1797" s="2" t="s">
        <v>4702</v>
      </c>
      <c r="B1797" s="12">
        <f t="shared" si="84"/>
        <v>46120</v>
      </c>
      <c r="C1797" s="13" t="s">
        <v>142</v>
      </c>
      <c r="D1797" s="2" t="s">
        <v>4703</v>
      </c>
      <c r="E1797" s="2" t="str">
        <f t="shared" si="86"/>
        <v>Email Available</v>
      </c>
      <c r="F1797" s="2" t="s">
        <v>47</v>
      </c>
      <c r="G1797" s="2" t="s">
        <v>112</v>
      </c>
      <c r="H1797" s="2" t="s">
        <v>81</v>
      </c>
      <c r="I1797" s="2" t="s">
        <v>113</v>
      </c>
      <c r="J1797" s="2">
        <v>2</v>
      </c>
      <c r="K1797" s="2">
        <v>22.99</v>
      </c>
      <c r="L1797" s="2" t="s">
        <v>121</v>
      </c>
      <c r="M1797" s="2">
        <v>11.49</v>
      </c>
      <c r="N1797" s="2">
        <v>7.99</v>
      </c>
      <c r="O1797" s="2">
        <v>42.48</v>
      </c>
      <c r="P1797" s="2" t="s">
        <v>68</v>
      </c>
      <c r="Q1797" s="2" t="s">
        <v>90</v>
      </c>
      <c r="R1797" s="2" t="s">
        <v>52</v>
      </c>
      <c r="S1797" s="2" t="s">
        <v>30</v>
      </c>
      <c r="T1797" s="2" t="s">
        <v>145</v>
      </c>
      <c r="U1797" s="2" t="str">
        <f t="shared" si="85"/>
        <v>Valid</v>
      </c>
      <c r="V1797" s="2" t="s">
        <v>4704</v>
      </c>
    </row>
    <row r="1798" spans="1:22" hidden="1" x14ac:dyDescent="0.3">
      <c r="A1798" s="2" t="s">
        <v>4705</v>
      </c>
      <c r="B1798" s="12">
        <f t="shared" si="84"/>
        <v>46238.58118458333</v>
      </c>
      <c r="C1798" s="13">
        <v>46238.58118458333</v>
      </c>
      <c r="D1798" s="2" t="s">
        <v>896</v>
      </c>
      <c r="E1798" s="2" t="str">
        <f t="shared" si="86"/>
        <v>Email Available</v>
      </c>
      <c r="F1798" s="2" t="s">
        <v>897</v>
      </c>
      <c r="G1798" s="2" t="s">
        <v>65</v>
      </c>
      <c r="H1798" s="2" t="s">
        <v>49</v>
      </c>
      <c r="I1798" s="2" t="s">
        <v>66</v>
      </c>
      <c r="J1798" s="2">
        <v>1</v>
      </c>
      <c r="K1798" s="2">
        <v>14.99</v>
      </c>
      <c r="L1798" s="2"/>
      <c r="M1798" s="2">
        <v>0</v>
      </c>
      <c r="N1798" s="2">
        <v>5.99</v>
      </c>
      <c r="O1798" s="2">
        <v>20.98</v>
      </c>
      <c r="P1798" s="2" t="s">
        <v>51</v>
      </c>
      <c r="Q1798" s="2" t="s">
        <v>28</v>
      </c>
      <c r="R1798" s="2" t="s">
        <v>52</v>
      </c>
      <c r="S1798" s="2" t="s">
        <v>337</v>
      </c>
      <c r="T1798" s="2"/>
      <c r="U1798" s="2" t="str">
        <f t="shared" si="85"/>
        <v>Not Required</v>
      </c>
      <c r="V1798" s="2" t="s">
        <v>4706</v>
      </c>
    </row>
    <row r="1799" spans="1:22" hidden="1" x14ac:dyDescent="0.3">
      <c r="A1799" s="2" t="s">
        <v>4707</v>
      </c>
      <c r="B1799" s="12">
        <f t="shared" si="84"/>
        <v>46238.582336701387</v>
      </c>
      <c r="C1799" s="13">
        <v>46238.582336701387</v>
      </c>
      <c r="D1799" s="2" t="s">
        <v>4708</v>
      </c>
      <c r="E1799" s="2" t="str">
        <f t="shared" si="86"/>
        <v>Email Available</v>
      </c>
      <c r="F1799" s="2" t="s">
        <v>4709</v>
      </c>
      <c r="G1799" s="2" t="s">
        <v>368</v>
      </c>
      <c r="H1799" s="2" t="s">
        <v>88</v>
      </c>
      <c r="I1799" s="2" t="s">
        <v>369</v>
      </c>
      <c r="J1799" s="2">
        <v>2</v>
      </c>
      <c r="K1799" s="2">
        <v>54.99</v>
      </c>
      <c r="L1799" s="2"/>
      <c r="M1799" s="2">
        <v>0</v>
      </c>
      <c r="N1799" s="2">
        <v>0</v>
      </c>
      <c r="O1799" s="2">
        <v>109.98</v>
      </c>
      <c r="P1799" s="2" t="s">
        <v>40</v>
      </c>
      <c r="Q1799" s="2" t="s">
        <v>28</v>
      </c>
      <c r="R1799" s="2" t="s">
        <v>52</v>
      </c>
      <c r="S1799" s="2" t="s">
        <v>108</v>
      </c>
      <c r="T1799" s="2"/>
      <c r="U1799" s="2" t="str">
        <f t="shared" si="85"/>
        <v>Not Required</v>
      </c>
      <c r="V1799" s="2" t="s">
        <v>4710</v>
      </c>
    </row>
    <row r="1800" spans="1:22" hidden="1" x14ac:dyDescent="0.3">
      <c r="A1800" s="2" t="s">
        <v>4711</v>
      </c>
      <c r="B1800" s="12">
        <f t="shared" si="84"/>
        <v>46238.583040659723</v>
      </c>
      <c r="C1800" s="13">
        <v>46238.583040659723</v>
      </c>
      <c r="D1800" s="2" t="s">
        <v>1280</v>
      </c>
      <c r="E1800" s="2" t="str">
        <f t="shared" si="86"/>
        <v>Email Available</v>
      </c>
      <c r="F1800" s="2" t="s">
        <v>1281</v>
      </c>
      <c r="G1800" s="2" t="s">
        <v>127</v>
      </c>
      <c r="H1800" s="2" t="s">
        <v>81</v>
      </c>
      <c r="I1800" s="2" t="s">
        <v>128</v>
      </c>
      <c r="J1800" s="2">
        <v>1</v>
      </c>
      <c r="K1800" s="2">
        <v>13.99</v>
      </c>
      <c r="L1800" s="2"/>
      <c r="M1800" s="2">
        <v>0</v>
      </c>
      <c r="N1800" s="2">
        <v>5.99</v>
      </c>
      <c r="O1800" s="2">
        <v>19.98</v>
      </c>
      <c r="P1800" s="2" t="s">
        <v>27</v>
      </c>
      <c r="Q1800" s="2" t="s">
        <v>41</v>
      </c>
      <c r="R1800" s="2" t="s">
        <v>52</v>
      </c>
      <c r="S1800" s="2" t="s">
        <v>337</v>
      </c>
      <c r="T1800" s="2"/>
      <c r="U1800" s="2" t="str">
        <f t="shared" si="85"/>
        <v>Not Required</v>
      </c>
      <c r="V1800" s="2" t="s">
        <v>4712</v>
      </c>
    </row>
    <row r="1801" spans="1:22" hidden="1" x14ac:dyDescent="0.3">
      <c r="A1801" s="2" t="s">
        <v>4713</v>
      </c>
      <c r="B1801" s="12">
        <f t="shared" si="84"/>
        <v>46238.579962881937</v>
      </c>
      <c r="C1801" s="13">
        <v>46238.579962881937</v>
      </c>
      <c r="D1801" s="2" t="s">
        <v>647</v>
      </c>
      <c r="E1801" s="2" t="str">
        <f t="shared" si="86"/>
        <v>Email Available</v>
      </c>
      <c r="F1801" s="2" t="s">
        <v>648</v>
      </c>
      <c r="G1801" s="2" t="s">
        <v>187</v>
      </c>
      <c r="H1801" s="2" t="s">
        <v>37</v>
      </c>
      <c r="I1801" s="2" t="s">
        <v>188</v>
      </c>
      <c r="J1801" s="2">
        <v>1</v>
      </c>
      <c r="K1801" s="2">
        <v>11.99</v>
      </c>
      <c r="L1801" s="2" t="s">
        <v>39</v>
      </c>
      <c r="M1801" s="2">
        <v>0</v>
      </c>
      <c r="N1801" s="2">
        <v>0</v>
      </c>
      <c r="O1801" s="2">
        <v>11.99</v>
      </c>
      <c r="P1801" s="2" t="s">
        <v>68</v>
      </c>
      <c r="Q1801" s="2" t="s">
        <v>41</v>
      </c>
      <c r="R1801" s="2" t="s">
        <v>99</v>
      </c>
      <c r="S1801" s="2" t="s">
        <v>30</v>
      </c>
      <c r="T1801" s="2" t="s">
        <v>69</v>
      </c>
      <c r="U1801" s="2" t="str">
        <f t="shared" si="85"/>
        <v>Valid</v>
      </c>
      <c r="V1801" s="2" t="s">
        <v>4714</v>
      </c>
    </row>
    <row r="1802" spans="1:22" hidden="1" x14ac:dyDescent="0.3">
      <c r="A1802" s="2" t="s">
        <v>4715</v>
      </c>
      <c r="B1802" s="12">
        <f t="shared" si="84"/>
        <v>46238.587316111109</v>
      </c>
      <c r="C1802" s="13">
        <v>46238.587316111109</v>
      </c>
      <c r="D1802" s="2" t="s">
        <v>4716</v>
      </c>
      <c r="E1802" s="2" t="str">
        <f t="shared" si="86"/>
        <v>Email Available</v>
      </c>
      <c r="F1802" s="2" t="s">
        <v>2307</v>
      </c>
      <c r="G1802" s="2" t="s">
        <v>284</v>
      </c>
      <c r="H1802" s="2" t="s">
        <v>23</v>
      </c>
      <c r="I1802" s="2" t="s">
        <v>285</v>
      </c>
      <c r="J1802" s="2">
        <v>1</v>
      </c>
      <c r="K1802" s="2">
        <v>24.99</v>
      </c>
      <c r="L1802" s="2"/>
      <c r="M1802" s="2">
        <v>0</v>
      </c>
      <c r="N1802" s="2">
        <v>4.99</v>
      </c>
      <c r="O1802" s="2">
        <v>29.98</v>
      </c>
      <c r="P1802" s="2" t="s">
        <v>68</v>
      </c>
      <c r="Q1802" s="2" t="s">
        <v>114</v>
      </c>
      <c r="R1802" s="2" t="s">
        <v>52</v>
      </c>
      <c r="S1802" s="2" t="s">
        <v>30</v>
      </c>
      <c r="T1802" s="2" t="s">
        <v>145</v>
      </c>
      <c r="U1802" s="2" t="str">
        <f t="shared" si="85"/>
        <v>Valid</v>
      </c>
      <c r="V1802" s="2" t="s">
        <v>4717</v>
      </c>
    </row>
    <row r="1803" spans="1:22" hidden="1" x14ac:dyDescent="0.3">
      <c r="A1803" s="2" t="s">
        <v>4718</v>
      </c>
      <c r="B1803" s="12">
        <f t="shared" si="84"/>
        <v>46238.585607511573</v>
      </c>
      <c r="C1803" s="13">
        <v>46238.585607511573</v>
      </c>
      <c r="D1803" s="2" t="s">
        <v>3381</v>
      </c>
      <c r="E1803" s="2" t="str">
        <f t="shared" si="86"/>
        <v>Email Available</v>
      </c>
      <c r="F1803" s="2" t="s">
        <v>3382</v>
      </c>
      <c r="G1803" s="2" t="s">
        <v>127</v>
      </c>
      <c r="H1803" s="2" t="s">
        <v>81</v>
      </c>
      <c r="I1803" s="2" t="s">
        <v>128</v>
      </c>
      <c r="J1803" s="2">
        <v>2</v>
      </c>
      <c r="K1803" s="2">
        <v>13.99</v>
      </c>
      <c r="L1803" s="2" t="s">
        <v>121</v>
      </c>
      <c r="M1803" s="2">
        <v>7</v>
      </c>
      <c r="N1803" s="2">
        <v>7.99</v>
      </c>
      <c r="O1803" s="2">
        <v>28.97</v>
      </c>
      <c r="P1803" s="2" t="s">
        <v>40</v>
      </c>
      <c r="Q1803" s="2" t="s">
        <v>114</v>
      </c>
      <c r="R1803" s="2" t="s">
        <v>29</v>
      </c>
      <c r="S1803" s="2" t="s">
        <v>75</v>
      </c>
      <c r="T1803" s="2"/>
      <c r="U1803" s="2" t="str">
        <f t="shared" si="85"/>
        <v>Not Required</v>
      </c>
      <c r="V1803" s="2" t="s">
        <v>4719</v>
      </c>
    </row>
    <row r="1804" spans="1:22" hidden="1" x14ac:dyDescent="0.3">
      <c r="A1804" s="2" t="s">
        <v>4720</v>
      </c>
      <c r="B1804" s="12">
        <f t="shared" si="84"/>
        <v>46238.581853981479</v>
      </c>
      <c r="C1804" s="13">
        <v>46238.581853981479</v>
      </c>
      <c r="D1804" s="2" t="s">
        <v>1645</v>
      </c>
      <c r="E1804" s="2" t="str">
        <f t="shared" si="86"/>
        <v>Email Available</v>
      </c>
      <c r="F1804" s="2" t="s">
        <v>1553</v>
      </c>
      <c r="G1804" s="2" t="s">
        <v>241</v>
      </c>
      <c r="H1804" s="2" t="s">
        <v>242</v>
      </c>
      <c r="I1804" s="2" t="s">
        <v>243</v>
      </c>
      <c r="J1804" s="2">
        <v>1</v>
      </c>
      <c r="K1804" s="2">
        <v>27.99</v>
      </c>
      <c r="L1804" s="2" t="s">
        <v>121</v>
      </c>
      <c r="M1804" s="2">
        <v>7</v>
      </c>
      <c r="N1804" s="2">
        <v>7.99</v>
      </c>
      <c r="O1804" s="2">
        <v>28.98</v>
      </c>
      <c r="P1804" s="2" t="s">
        <v>51</v>
      </c>
      <c r="Q1804" s="2" t="s">
        <v>90</v>
      </c>
      <c r="R1804" s="2" t="s">
        <v>29</v>
      </c>
      <c r="S1804" s="2" t="s">
        <v>75</v>
      </c>
      <c r="T1804" s="2"/>
      <c r="U1804" s="2" t="str">
        <f t="shared" si="85"/>
        <v>Not Required</v>
      </c>
      <c r="V1804" s="2" t="s">
        <v>4721</v>
      </c>
    </row>
    <row r="1805" spans="1:22" hidden="1" x14ac:dyDescent="0.3">
      <c r="A1805" s="2" t="s">
        <v>4722</v>
      </c>
      <c r="B1805" s="12">
        <f t="shared" si="84"/>
        <v>46238</v>
      </c>
      <c r="C1805" s="13" t="s">
        <v>148</v>
      </c>
      <c r="D1805" s="2" t="s">
        <v>4723</v>
      </c>
      <c r="E1805" s="2" t="str">
        <f t="shared" si="86"/>
        <v>Email Available</v>
      </c>
      <c r="F1805" s="2" t="s">
        <v>1117</v>
      </c>
      <c r="G1805" s="2" t="s">
        <v>284</v>
      </c>
      <c r="H1805" s="2" t="s">
        <v>23</v>
      </c>
      <c r="I1805" s="2" t="s">
        <v>285</v>
      </c>
      <c r="J1805" s="2">
        <v>2</v>
      </c>
      <c r="K1805" s="2" t="s">
        <v>1229</v>
      </c>
      <c r="L1805" s="2"/>
      <c r="M1805" s="2">
        <v>0</v>
      </c>
      <c r="N1805" s="2">
        <v>4.99</v>
      </c>
      <c r="O1805" s="2">
        <v>54.97</v>
      </c>
      <c r="P1805" s="2" t="s">
        <v>51</v>
      </c>
      <c r="Q1805" s="2" t="s">
        <v>41</v>
      </c>
      <c r="R1805" s="2" t="s">
        <v>99</v>
      </c>
      <c r="S1805" s="2" t="s">
        <v>108</v>
      </c>
      <c r="T1805" s="2"/>
      <c r="U1805" s="2" t="str">
        <f t="shared" si="85"/>
        <v>Not Required</v>
      </c>
      <c r="V1805" s="2" t="s">
        <v>4724</v>
      </c>
    </row>
    <row r="1806" spans="1:22" hidden="1" x14ac:dyDescent="0.3">
      <c r="A1806" s="2" t="s">
        <v>4725</v>
      </c>
      <c r="B1806" s="12">
        <f t="shared" si="84"/>
        <v>46238.583686111109</v>
      </c>
      <c r="C1806" s="13">
        <v>46238.583686111109</v>
      </c>
      <c r="D1806" s="2" t="s">
        <v>392</v>
      </c>
      <c r="E1806" s="2" t="str">
        <f t="shared" si="86"/>
        <v>Email Available</v>
      </c>
      <c r="F1806" s="2" t="s">
        <v>393</v>
      </c>
      <c r="G1806" s="2" t="s">
        <v>105</v>
      </c>
      <c r="H1806" s="2" t="s">
        <v>106</v>
      </c>
      <c r="I1806" s="2" t="s">
        <v>107</v>
      </c>
      <c r="J1806" s="2">
        <v>1</v>
      </c>
      <c r="K1806" s="2">
        <v>19.989999999999998</v>
      </c>
      <c r="L1806" s="2" t="s">
        <v>67</v>
      </c>
      <c r="M1806" s="2">
        <v>2</v>
      </c>
      <c r="N1806" s="2">
        <v>5.99</v>
      </c>
      <c r="O1806" s="2">
        <v>23.98</v>
      </c>
      <c r="P1806" s="2" t="s">
        <v>27</v>
      </c>
      <c r="Q1806" s="2" t="s">
        <v>90</v>
      </c>
      <c r="R1806" s="2" t="s">
        <v>52</v>
      </c>
      <c r="S1806" s="2" t="s">
        <v>108</v>
      </c>
      <c r="T1806" s="2"/>
      <c r="U1806" s="2" t="str">
        <f t="shared" si="85"/>
        <v>Not Required</v>
      </c>
      <c r="V1806" s="2" t="s">
        <v>4726</v>
      </c>
    </row>
    <row r="1807" spans="1:22" hidden="1" x14ac:dyDescent="0.3">
      <c r="A1807" s="2" t="s">
        <v>4727</v>
      </c>
      <c r="B1807" s="12">
        <f t="shared" si="84"/>
        <v>46120</v>
      </c>
      <c r="C1807" s="13" t="s">
        <v>142</v>
      </c>
      <c r="D1807" s="2" t="s">
        <v>562</v>
      </c>
      <c r="E1807" s="2" t="str">
        <f t="shared" si="86"/>
        <v>Email Available</v>
      </c>
      <c r="F1807" s="2" t="s">
        <v>47</v>
      </c>
      <c r="G1807" s="2" t="s">
        <v>65</v>
      </c>
      <c r="H1807" s="2" t="s">
        <v>49</v>
      </c>
      <c r="I1807" s="2" t="s">
        <v>453</v>
      </c>
      <c r="J1807" s="2">
        <v>1</v>
      </c>
      <c r="K1807" s="2">
        <v>14.99</v>
      </c>
      <c r="L1807" s="2" t="s">
        <v>25</v>
      </c>
      <c r="M1807" s="2">
        <v>3</v>
      </c>
      <c r="N1807" s="2">
        <v>4.99</v>
      </c>
      <c r="O1807" s="2">
        <v>16.98</v>
      </c>
      <c r="P1807" s="2" t="s">
        <v>68</v>
      </c>
      <c r="Q1807" s="2" t="s">
        <v>28</v>
      </c>
      <c r="R1807" s="2" t="s">
        <v>52</v>
      </c>
      <c r="S1807" s="2" t="s">
        <v>30</v>
      </c>
      <c r="T1807" s="2" t="s">
        <v>115</v>
      </c>
      <c r="U1807" s="2" t="str">
        <f t="shared" si="85"/>
        <v>Valid</v>
      </c>
      <c r="V1807" s="2" t="s">
        <v>4728</v>
      </c>
    </row>
    <row r="1808" spans="1:22" hidden="1" x14ac:dyDescent="0.3">
      <c r="A1808" s="2" t="s">
        <v>4729</v>
      </c>
      <c r="B1808" s="12">
        <f t="shared" si="84"/>
        <v>46238</v>
      </c>
      <c r="C1808" s="13" t="s">
        <v>148</v>
      </c>
      <c r="D1808" s="2" t="s">
        <v>681</v>
      </c>
      <c r="E1808" s="2" t="str">
        <f t="shared" si="86"/>
        <v>Email Available</v>
      </c>
      <c r="F1808" s="2" t="s">
        <v>682</v>
      </c>
      <c r="G1808" s="2" t="s">
        <v>105</v>
      </c>
      <c r="H1808" s="2" t="s">
        <v>106</v>
      </c>
      <c r="I1808" s="2" t="s">
        <v>107</v>
      </c>
      <c r="J1808" s="2">
        <v>1</v>
      </c>
      <c r="K1808" s="2">
        <v>19.989999999999998</v>
      </c>
      <c r="L1808" s="2"/>
      <c r="M1808" s="2">
        <v>0</v>
      </c>
      <c r="N1808" s="2">
        <v>4.99</v>
      </c>
      <c r="O1808" s="2">
        <v>24.98</v>
      </c>
      <c r="P1808" s="2" t="s">
        <v>51</v>
      </c>
      <c r="Q1808" s="2" t="s">
        <v>41</v>
      </c>
      <c r="R1808" s="2" t="s">
        <v>99</v>
      </c>
      <c r="S1808" s="2" t="s">
        <v>75</v>
      </c>
      <c r="T1808" s="2"/>
      <c r="U1808" s="2" t="str">
        <f t="shared" si="85"/>
        <v>Not Required</v>
      </c>
      <c r="V1808" s="2" t="s">
        <v>4730</v>
      </c>
    </row>
    <row r="1809" spans="1:22" hidden="1" x14ac:dyDescent="0.3">
      <c r="A1809" s="2" t="s">
        <v>4731</v>
      </c>
      <c r="B1809" s="12">
        <f t="shared" si="84"/>
        <v>46120</v>
      </c>
      <c r="C1809" s="13" t="s">
        <v>142</v>
      </c>
      <c r="D1809" s="2" t="s">
        <v>1098</v>
      </c>
      <c r="E1809" s="2" t="str">
        <f t="shared" si="86"/>
        <v>Email Available</v>
      </c>
      <c r="F1809" s="2" t="s">
        <v>1099</v>
      </c>
      <c r="G1809" s="2" t="s">
        <v>266</v>
      </c>
      <c r="H1809" s="2" t="s">
        <v>37</v>
      </c>
      <c r="I1809" s="2" t="s">
        <v>267</v>
      </c>
      <c r="J1809" s="2">
        <v>2</v>
      </c>
      <c r="K1809" s="2">
        <v>15.49</v>
      </c>
      <c r="L1809" s="2"/>
      <c r="M1809" s="2">
        <v>0</v>
      </c>
      <c r="N1809" s="2">
        <v>7.99</v>
      </c>
      <c r="O1809" s="2">
        <v>38.97</v>
      </c>
      <c r="P1809" s="2" t="s">
        <v>74</v>
      </c>
      <c r="Q1809" s="2" t="s">
        <v>28</v>
      </c>
      <c r="R1809" s="2" t="s">
        <v>52</v>
      </c>
      <c r="S1809" s="2" t="s">
        <v>30</v>
      </c>
      <c r="T1809" s="2" t="s">
        <v>1135</v>
      </c>
      <c r="U1809" s="2" t="str">
        <f t="shared" si="85"/>
        <v>Valid</v>
      </c>
      <c r="V1809" s="2" t="s">
        <v>4732</v>
      </c>
    </row>
    <row r="1810" spans="1:22" hidden="1" x14ac:dyDescent="0.3">
      <c r="A1810" s="2" t="s">
        <v>4733</v>
      </c>
      <c r="B1810" s="12">
        <f t="shared" si="84"/>
        <v>46238.582550497682</v>
      </c>
      <c r="C1810" s="13">
        <v>46238.582550497682</v>
      </c>
      <c r="D1810" s="2" t="s">
        <v>2185</v>
      </c>
      <c r="E1810" s="2" t="str">
        <f t="shared" si="86"/>
        <v>Email Available</v>
      </c>
      <c r="F1810" s="2" t="s">
        <v>2798</v>
      </c>
      <c r="G1810" s="2" t="s">
        <v>65</v>
      </c>
      <c r="H1810" s="2" t="s">
        <v>49</v>
      </c>
      <c r="I1810" s="2" t="s">
        <v>453</v>
      </c>
      <c r="J1810" s="2">
        <v>2</v>
      </c>
      <c r="K1810" s="2">
        <v>14.99</v>
      </c>
      <c r="L1810" s="2"/>
      <c r="M1810" s="2">
        <v>0</v>
      </c>
      <c r="N1810" s="2">
        <v>5.99</v>
      </c>
      <c r="O1810" s="2">
        <v>35.97</v>
      </c>
      <c r="P1810" s="2" t="s">
        <v>74</v>
      </c>
      <c r="Q1810" s="2" t="s">
        <v>90</v>
      </c>
      <c r="R1810" s="2" t="s">
        <v>42</v>
      </c>
      <c r="S1810" s="2" t="s">
        <v>30</v>
      </c>
      <c r="T1810" s="2" t="s">
        <v>145</v>
      </c>
      <c r="U1810" s="2" t="str">
        <f t="shared" si="85"/>
        <v>Valid</v>
      </c>
      <c r="V1810" s="2" t="s">
        <v>4734</v>
      </c>
    </row>
    <row r="1811" spans="1:22" hidden="1" x14ac:dyDescent="0.3">
      <c r="A1811" s="2" t="s">
        <v>4735</v>
      </c>
      <c r="B1811" s="12">
        <f t="shared" si="84"/>
        <v>46238.580885578704</v>
      </c>
      <c r="C1811" s="13">
        <v>46238.580885578704</v>
      </c>
      <c r="D1811" s="2" t="s">
        <v>651</v>
      </c>
      <c r="E1811" s="2" t="str">
        <f t="shared" si="86"/>
        <v>Email Available</v>
      </c>
      <c r="F1811" s="2" t="s">
        <v>652</v>
      </c>
      <c r="G1811" s="2" t="s">
        <v>133</v>
      </c>
      <c r="H1811" s="2" t="s">
        <v>106</v>
      </c>
      <c r="I1811" s="2" t="s">
        <v>134</v>
      </c>
      <c r="J1811" s="2">
        <v>1</v>
      </c>
      <c r="K1811" s="2">
        <v>16.989999999999998</v>
      </c>
      <c r="L1811" s="2"/>
      <c r="M1811" s="2">
        <v>0</v>
      </c>
      <c r="N1811" s="2">
        <v>7.99</v>
      </c>
      <c r="O1811" s="2">
        <v>24.98</v>
      </c>
      <c r="P1811" s="2" t="s">
        <v>51</v>
      </c>
      <c r="Q1811" s="2" t="s">
        <v>114</v>
      </c>
      <c r="R1811" s="2" t="s">
        <v>52</v>
      </c>
      <c r="S1811" s="2" t="s">
        <v>30</v>
      </c>
      <c r="T1811" s="2" t="s">
        <v>347</v>
      </c>
      <c r="U1811" s="2" t="str">
        <f t="shared" si="85"/>
        <v>Valid</v>
      </c>
      <c r="V1811" s="2" t="s">
        <v>4736</v>
      </c>
    </row>
    <row r="1812" spans="1:22" hidden="1" x14ac:dyDescent="0.3">
      <c r="A1812" s="2" t="s">
        <v>4737</v>
      </c>
      <c r="B1812" s="12">
        <f t="shared" si="84"/>
        <v>46238.584892569437</v>
      </c>
      <c r="C1812" s="13">
        <v>46238.584892569437</v>
      </c>
      <c r="D1812" s="2" t="s">
        <v>1306</v>
      </c>
      <c r="E1812" s="2" t="str">
        <f t="shared" si="86"/>
        <v>Email Available</v>
      </c>
      <c r="F1812" s="2" t="s">
        <v>1307</v>
      </c>
      <c r="G1812" s="2" t="s">
        <v>133</v>
      </c>
      <c r="H1812" s="2" t="s">
        <v>106</v>
      </c>
      <c r="I1812" s="2" t="s">
        <v>134</v>
      </c>
      <c r="J1812" s="2">
        <v>1</v>
      </c>
      <c r="K1812" s="2">
        <v>16.989999999999998</v>
      </c>
      <c r="L1812" s="2"/>
      <c r="M1812" s="2">
        <v>0</v>
      </c>
      <c r="N1812" s="2">
        <v>5.99</v>
      </c>
      <c r="O1812" s="2">
        <v>22.98</v>
      </c>
      <c r="P1812" s="2" t="s">
        <v>74</v>
      </c>
      <c r="Q1812" s="2" t="s">
        <v>41</v>
      </c>
      <c r="R1812" s="2" t="s">
        <v>52</v>
      </c>
      <c r="S1812" s="2" t="s">
        <v>75</v>
      </c>
      <c r="T1812" s="2"/>
      <c r="U1812" s="2" t="str">
        <f t="shared" si="85"/>
        <v>Not Required</v>
      </c>
      <c r="V1812" s="2" t="s">
        <v>4738</v>
      </c>
    </row>
    <row r="1813" spans="1:22" hidden="1" x14ac:dyDescent="0.3">
      <c r="A1813" s="2" t="s">
        <v>4739</v>
      </c>
      <c r="B1813" s="12">
        <f t="shared" si="84"/>
        <v>46238.582948888892</v>
      </c>
      <c r="C1813" s="13">
        <v>46238.582948888892</v>
      </c>
      <c r="D1813" s="2" t="s">
        <v>218</v>
      </c>
      <c r="E1813" s="2" t="str">
        <f t="shared" si="86"/>
        <v>Email Available</v>
      </c>
      <c r="F1813" s="2" t="s">
        <v>219</v>
      </c>
      <c r="G1813" s="2" t="s">
        <v>127</v>
      </c>
      <c r="H1813" s="2" t="s">
        <v>81</v>
      </c>
      <c r="I1813" s="2" t="s">
        <v>128</v>
      </c>
      <c r="J1813" s="2">
        <v>1</v>
      </c>
      <c r="K1813" s="2">
        <v>13.99</v>
      </c>
      <c r="L1813" s="2"/>
      <c r="M1813" s="2">
        <v>0</v>
      </c>
      <c r="N1813" s="2">
        <v>5.99</v>
      </c>
      <c r="O1813" s="2">
        <v>19.98</v>
      </c>
      <c r="P1813" s="2" t="s">
        <v>27</v>
      </c>
      <c r="Q1813" s="2" t="s">
        <v>114</v>
      </c>
      <c r="R1813" s="2" t="s">
        <v>52</v>
      </c>
      <c r="S1813" s="2" t="s">
        <v>30</v>
      </c>
      <c r="T1813" s="2" t="s">
        <v>31</v>
      </c>
      <c r="U1813" s="2" t="str">
        <f t="shared" si="85"/>
        <v>Valid</v>
      </c>
      <c r="V1813" s="2" t="s">
        <v>4740</v>
      </c>
    </row>
    <row r="1814" spans="1:22" hidden="1" x14ac:dyDescent="0.3">
      <c r="A1814" s="2" t="s">
        <v>4741</v>
      </c>
      <c r="B1814" s="12">
        <f t="shared" si="84"/>
        <v>46238.581985381941</v>
      </c>
      <c r="C1814" s="13">
        <v>46238.581985381941</v>
      </c>
      <c r="D1814" s="2" t="s">
        <v>384</v>
      </c>
      <c r="E1814" s="2" t="str">
        <f t="shared" si="86"/>
        <v>Email Available</v>
      </c>
      <c r="F1814" s="2" t="s">
        <v>385</v>
      </c>
      <c r="G1814" s="2" t="s">
        <v>127</v>
      </c>
      <c r="H1814" s="2" t="s">
        <v>81</v>
      </c>
      <c r="I1814" s="2" t="s">
        <v>128</v>
      </c>
      <c r="J1814" s="2">
        <v>2</v>
      </c>
      <c r="K1814" s="2" t="s">
        <v>1100</v>
      </c>
      <c r="L1814" s="2" t="s">
        <v>208</v>
      </c>
      <c r="M1814" s="2">
        <v>4.2</v>
      </c>
      <c r="N1814" s="2">
        <v>4.99</v>
      </c>
      <c r="O1814" s="2">
        <v>28.77</v>
      </c>
      <c r="P1814" s="2" t="s">
        <v>40</v>
      </c>
      <c r="Q1814" s="2" t="s">
        <v>28</v>
      </c>
      <c r="R1814" s="2" t="s">
        <v>52</v>
      </c>
      <c r="S1814" s="2" t="s">
        <v>75</v>
      </c>
      <c r="T1814" s="2"/>
      <c r="U1814" s="2" t="str">
        <f t="shared" si="85"/>
        <v>Not Required</v>
      </c>
      <c r="V1814" s="2" t="s">
        <v>4742</v>
      </c>
    </row>
    <row r="1815" spans="1:22" x14ac:dyDescent="0.3">
      <c r="A1815" s="2" t="s">
        <v>4743</v>
      </c>
      <c r="B1815" s="12">
        <f>DATE(VALUE(RIGHT(C1815,4)),MATCH(LEFT(C1815,3),{"Jan","Feb","Mar","Apr","May","Jun","Jul","Aug","Sep","Oct","Nov","Dec"},0),VALUE(MID(C1815,5,2)))</f>
        <v>46238</v>
      </c>
      <c r="C1815" s="13" t="s">
        <v>176</v>
      </c>
      <c r="D1815" s="2" t="s">
        <v>915</v>
      </c>
      <c r="E1815" s="2" t="str">
        <f t="shared" si="86"/>
        <v>Missing Email</v>
      </c>
      <c r="F1815" s="2"/>
      <c r="G1815" s="2" t="s">
        <v>133</v>
      </c>
      <c r="H1815" s="2" t="s">
        <v>106</v>
      </c>
      <c r="I1815" s="2" t="s">
        <v>134</v>
      </c>
      <c r="J1815" s="2">
        <v>1</v>
      </c>
      <c r="K1815" s="2">
        <v>16.989999999999998</v>
      </c>
      <c r="L1815" s="2" t="s">
        <v>121</v>
      </c>
      <c r="M1815" s="2">
        <v>4.25</v>
      </c>
      <c r="N1815" s="2">
        <v>4.99</v>
      </c>
      <c r="O1815" s="2">
        <v>17.73</v>
      </c>
      <c r="P1815" s="2" t="s">
        <v>51</v>
      </c>
      <c r="Q1815" s="2" t="s">
        <v>41</v>
      </c>
      <c r="R1815" s="2" t="s">
        <v>29</v>
      </c>
      <c r="S1815" s="2" t="s">
        <v>30</v>
      </c>
      <c r="T1815" s="2" t="s">
        <v>31</v>
      </c>
      <c r="U1815" s="2" t="str">
        <f t="shared" si="85"/>
        <v>Valid</v>
      </c>
      <c r="V1815" s="2" t="s">
        <v>4744</v>
      </c>
    </row>
    <row r="1816" spans="1:22" hidden="1" x14ac:dyDescent="0.3">
      <c r="A1816" s="2" t="s">
        <v>4745</v>
      </c>
      <c r="B1816" s="12">
        <f t="shared" si="84"/>
        <v>46238.580926655093</v>
      </c>
      <c r="C1816" s="13">
        <v>46238.580926655093</v>
      </c>
      <c r="D1816" s="2" t="s">
        <v>492</v>
      </c>
      <c r="E1816" s="2" t="str">
        <f t="shared" si="86"/>
        <v>Email Available</v>
      </c>
      <c r="F1816" s="2" t="s">
        <v>493</v>
      </c>
      <c r="G1816" s="2" t="s">
        <v>272</v>
      </c>
      <c r="H1816" s="2" t="s">
        <v>23</v>
      </c>
      <c r="I1816" s="2" t="s">
        <v>273</v>
      </c>
      <c r="J1816" s="2">
        <v>1</v>
      </c>
      <c r="K1816" s="2">
        <v>18.989999999999998</v>
      </c>
      <c r="L1816" s="2" t="s">
        <v>121</v>
      </c>
      <c r="M1816" s="2">
        <v>4.75</v>
      </c>
      <c r="N1816" s="2">
        <v>7.99</v>
      </c>
      <c r="O1816" s="2">
        <v>22.23</v>
      </c>
      <c r="P1816" s="2" t="s">
        <v>51</v>
      </c>
      <c r="Q1816" s="2" t="s">
        <v>28</v>
      </c>
      <c r="R1816" s="2" t="s">
        <v>42</v>
      </c>
      <c r="S1816" s="2" t="s">
        <v>75</v>
      </c>
      <c r="T1816" s="2"/>
      <c r="U1816" s="2" t="str">
        <f t="shared" si="85"/>
        <v>Not Required</v>
      </c>
      <c r="V1816" s="2" t="s">
        <v>4746</v>
      </c>
    </row>
    <row r="1817" spans="1:22" hidden="1" x14ac:dyDescent="0.3">
      <c r="A1817" s="2" t="s">
        <v>4747</v>
      </c>
      <c r="B1817" s="12">
        <f t="shared" si="84"/>
        <v>46238.586033414351</v>
      </c>
      <c r="C1817" s="13">
        <v>46238.586033414351</v>
      </c>
      <c r="D1817" s="2" t="s">
        <v>1113</v>
      </c>
      <c r="E1817" s="2" t="str">
        <f t="shared" si="86"/>
        <v>Email Available</v>
      </c>
      <c r="F1817" s="2" t="s">
        <v>1114</v>
      </c>
      <c r="G1817" s="2" t="s">
        <v>368</v>
      </c>
      <c r="H1817" s="2" t="s">
        <v>88</v>
      </c>
      <c r="I1817" s="2" t="s">
        <v>369</v>
      </c>
      <c r="J1817" s="2">
        <v>2</v>
      </c>
      <c r="K1817" s="2">
        <v>54.99</v>
      </c>
      <c r="L1817" s="2" t="s">
        <v>208</v>
      </c>
      <c r="M1817" s="2">
        <v>16.5</v>
      </c>
      <c r="N1817" s="2">
        <v>0</v>
      </c>
      <c r="O1817" s="2">
        <v>93.48</v>
      </c>
      <c r="P1817" s="2" t="s">
        <v>68</v>
      </c>
      <c r="Q1817" s="2" t="s">
        <v>41</v>
      </c>
      <c r="R1817" s="2" t="s">
        <v>52</v>
      </c>
      <c r="S1817" s="2" t="s">
        <v>30</v>
      </c>
      <c r="T1817" s="2" t="s">
        <v>31</v>
      </c>
      <c r="U1817" s="2" t="str">
        <f t="shared" si="85"/>
        <v>Valid</v>
      </c>
      <c r="V1817" s="2" t="s">
        <v>4748</v>
      </c>
    </row>
    <row r="1818" spans="1:22" hidden="1" x14ac:dyDescent="0.3">
      <c r="A1818" s="2" t="s">
        <v>4749</v>
      </c>
      <c r="B1818" s="12">
        <f t="shared" si="84"/>
        <v>46238</v>
      </c>
      <c r="C1818" s="13" t="s">
        <v>148</v>
      </c>
      <c r="D1818" s="2" t="s">
        <v>2904</v>
      </c>
      <c r="E1818" s="2" t="str">
        <f t="shared" si="86"/>
        <v>Email Available</v>
      </c>
      <c r="F1818" s="2" t="s">
        <v>2905</v>
      </c>
      <c r="G1818" s="2" t="s">
        <v>206</v>
      </c>
      <c r="H1818" s="2" t="s">
        <v>196</v>
      </c>
      <c r="I1818" s="2" t="s">
        <v>207</v>
      </c>
      <c r="J1818" s="2">
        <v>1</v>
      </c>
      <c r="K1818" s="2">
        <v>24.99</v>
      </c>
      <c r="L1818" s="2"/>
      <c r="M1818" s="2">
        <v>0</v>
      </c>
      <c r="N1818" s="2">
        <v>7.99</v>
      </c>
      <c r="O1818" s="2">
        <v>32.979999999999997</v>
      </c>
      <c r="P1818" s="2" t="s">
        <v>51</v>
      </c>
      <c r="Q1818" s="2" t="s">
        <v>90</v>
      </c>
      <c r="R1818" s="2" t="s">
        <v>52</v>
      </c>
      <c r="S1818" s="2" t="s">
        <v>30</v>
      </c>
      <c r="T1818" s="2" t="s">
        <v>139</v>
      </c>
      <c r="U1818" s="2" t="str">
        <f t="shared" si="85"/>
        <v>Valid</v>
      </c>
      <c r="V1818" s="2" t="s">
        <v>4750</v>
      </c>
    </row>
    <row r="1819" spans="1:22" hidden="1" x14ac:dyDescent="0.3">
      <c r="A1819" s="2" t="s">
        <v>4751</v>
      </c>
      <c r="B1819" s="12">
        <f t="shared" si="84"/>
        <v>46120</v>
      </c>
      <c r="C1819" s="13" t="s">
        <v>142</v>
      </c>
      <c r="D1819" s="2" t="s">
        <v>1220</v>
      </c>
      <c r="E1819" s="2" t="str">
        <f t="shared" si="86"/>
        <v>Email Available</v>
      </c>
      <c r="F1819" s="2" t="s">
        <v>1221</v>
      </c>
      <c r="G1819" s="2" t="s">
        <v>187</v>
      </c>
      <c r="H1819" s="2" t="s">
        <v>37</v>
      </c>
      <c r="I1819" s="2" t="s">
        <v>188</v>
      </c>
      <c r="J1819" s="2">
        <v>1</v>
      </c>
      <c r="K1819" s="2">
        <v>11.99</v>
      </c>
      <c r="L1819" s="2"/>
      <c r="M1819" s="2">
        <v>0</v>
      </c>
      <c r="N1819" s="2">
        <v>7.99</v>
      </c>
      <c r="O1819" s="2" t="s">
        <v>1834</v>
      </c>
      <c r="P1819" s="2" t="s">
        <v>51</v>
      </c>
      <c r="Q1819" s="2" t="s">
        <v>114</v>
      </c>
      <c r="R1819" s="2" t="s">
        <v>52</v>
      </c>
      <c r="S1819" s="2" t="s">
        <v>75</v>
      </c>
      <c r="T1819" s="2"/>
      <c r="U1819" s="2" t="str">
        <f t="shared" si="85"/>
        <v>Not Required</v>
      </c>
      <c r="V1819" s="2" t="s">
        <v>4752</v>
      </c>
    </row>
    <row r="1820" spans="1:22" hidden="1" x14ac:dyDescent="0.3">
      <c r="A1820" s="2" t="s">
        <v>4753</v>
      </c>
      <c r="B1820" s="12">
        <f t="shared" si="84"/>
        <v>46238.58847884259</v>
      </c>
      <c r="C1820" s="13">
        <v>46238.58847884259</v>
      </c>
      <c r="D1820" s="2" t="s">
        <v>1252</v>
      </c>
      <c r="E1820" s="2" t="str">
        <f t="shared" si="86"/>
        <v>Email Available</v>
      </c>
      <c r="F1820" s="2" t="s">
        <v>1253</v>
      </c>
      <c r="G1820" s="2" t="s">
        <v>272</v>
      </c>
      <c r="H1820" s="2" t="s">
        <v>23</v>
      </c>
      <c r="I1820" s="2" t="s">
        <v>273</v>
      </c>
      <c r="J1820" s="2">
        <v>1</v>
      </c>
      <c r="K1820" s="2">
        <v>18.989999999999998</v>
      </c>
      <c r="L1820" s="2" t="s">
        <v>67</v>
      </c>
      <c r="M1820" s="2">
        <v>1.9</v>
      </c>
      <c r="N1820" s="2">
        <v>4.99</v>
      </c>
      <c r="O1820" s="2">
        <v>22.08</v>
      </c>
      <c r="P1820" s="2" t="s">
        <v>40</v>
      </c>
      <c r="Q1820" s="2" t="s">
        <v>28</v>
      </c>
      <c r="R1820" s="2" t="s">
        <v>42</v>
      </c>
      <c r="S1820" s="2" t="s">
        <v>108</v>
      </c>
      <c r="T1820" s="2"/>
      <c r="U1820" s="2" t="str">
        <f t="shared" si="85"/>
        <v>Not Required</v>
      </c>
      <c r="V1820" s="2" t="s">
        <v>4754</v>
      </c>
    </row>
    <row r="1821" spans="1:22" hidden="1" x14ac:dyDescent="0.3">
      <c r="A1821" s="2" t="s">
        <v>4755</v>
      </c>
      <c r="B1821" s="12">
        <f t="shared" si="84"/>
        <v>46238.587262280103</v>
      </c>
      <c r="C1821" s="13">
        <v>46238.587262280103</v>
      </c>
      <c r="D1821" s="2" t="s">
        <v>1368</v>
      </c>
      <c r="E1821" s="2" t="str">
        <f t="shared" si="86"/>
        <v>Email Available</v>
      </c>
      <c r="F1821" s="2" t="s">
        <v>1369</v>
      </c>
      <c r="G1821" s="2" t="s">
        <v>120</v>
      </c>
      <c r="H1821" s="2" t="s">
        <v>23</v>
      </c>
      <c r="I1821" s="2" t="s">
        <v>24</v>
      </c>
      <c r="J1821" s="2">
        <v>1</v>
      </c>
      <c r="K1821" s="2">
        <v>12.99</v>
      </c>
      <c r="L1821" s="2" t="s">
        <v>208</v>
      </c>
      <c r="M1821" s="2">
        <v>1.95</v>
      </c>
      <c r="N1821" s="2">
        <v>5.99</v>
      </c>
      <c r="O1821" s="2">
        <v>17.03</v>
      </c>
      <c r="P1821" s="2" t="s">
        <v>27</v>
      </c>
      <c r="Q1821" s="2" t="s">
        <v>41</v>
      </c>
      <c r="R1821" s="2" t="s">
        <v>42</v>
      </c>
      <c r="S1821" s="2" t="s">
        <v>43</v>
      </c>
      <c r="T1821" s="2"/>
      <c r="U1821" s="2" t="str">
        <f t="shared" si="85"/>
        <v>Not Required</v>
      </c>
      <c r="V1821" s="2" t="s">
        <v>4756</v>
      </c>
    </row>
    <row r="1822" spans="1:22" hidden="1" x14ac:dyDescent="0.3">
      <c r="A1822" s="2" t="s">
        <v>4757</v>
      </c>
      <c r="B1822" s="12">
        <f t="shared" si="84"/>
        <v>46238.586742835651</v>
      </c>
      <c r="C1822" s="13">
        <v>46238.586742835651</v>
      </c>
      <c r="D1822" s="2" t="s">
        <v>1495</v>
      </c>
      <c r="E1822" s="2" t="str">
        <f t="shared" si="86"/>
        <v>Email Available</v>
      </c>
      <c r="F1822" s="2" t="s">
        <v>1496</v>
      </c>
      <c r="G1822" s="2" t="s">
        <v>105</v>
      </c>
      <c r="H1822" s="2" t="s">
        <v>106</v>
      </c>
      <c r="I1822" s="2" t="s">
        <v>107</v>
      </c>
      <c r="J1822" s="2">
        <v>1</v>
      </c>
      <c r="K1822" s="2">
        <v>19.989999999999998</v>
      </c>
      <c r="L1822" s="2" t="s">
        <v>208</v>
      </c>
      <c r="M1822" s="2">
        <v>3</v>
      </c>
      <c r="N1822" s="2">
        <v>7.99</v>
      </c>
      <c r="O1822" s="2">
        <v>24.98</v>
      </c>
      <c r="P1822" s="2" t="s">
        <v>51</v>
      </c>
      <c r="Q1822" s="2" t="s">
        <v>28</v>
      </c>
      <c r="R1822" s="2" t="s">
        <v>42</v>
      </c>
      <c r="S1822" s="2" t="s">
        <v>43</v>
      </c>
      <c r="T1822" s="2"/>
      <c r="U1822" s="2" t="str">
        <f t="shared" si="85"/>
        <v>Not Required</v>
      </c>
      <c r="V1822" s="2" t="s">
        <v>4758</v>
      </c>
    </row>
    <row r="1823" spans="1:22" hidden="1" x14ac:dyDescent="0.3">
      <c r="A1823" s="2" t="s">
        <v>4759</v>
      </c>
      <c r="B1823" s="12">
        <f t="shared" si="84"/>
        <v>46238.588169189818</v>
      </c>
      <c r="C1823" s="13">
        <v>46238.588169189818</v>
      </c>
      <c r="D1823" s="2"/>
      <c r="E1823" s="2" t="str">
        <f t="shared" si="86"/>
        <v>Email Available</v>
      </c>
      <c r="F1823" s="2" t="s">
        <v>734</v>
      </c>
      <c r="G1823" s="2" t="s">
        <v>266</v>
      </c>
      <c r="H1823" s="2" t="s">
        <v>37</v>
      </c>
      <c r="I1823" s="2" t="s">
        <v>267</v>
      </c>
      <c r="J1823" s="2">
        <v>1</v>
      </c>
      <c r="K1823" s="2">
        <v>15.49</v>
      </c>
      <c r="L1823" s="2"/>
      <c r="M1823" s="2">
        <v>0</v>
      </c>
      <c r="N1823" s="2">
        <v>5.99</v>
      </c>
      <c r="O1823" s="2">
        <v>21.48</v>
      </c>
      <c r="P1823" s="2" t="s">
        <v>40</v>
      </c>
      <c r="Q1823" s="2" t="s">
        <v>28</v>
      </c>
      <c r="R1823" s="2" t="s">
        <v>52</v>
      </c>
      <c r="S1823" s="2" t="s">
        <v>108</v>
      </c>
      <c r="T1823" s="2"/>
      <c r="U1823" s="2" t="str">
        <f t="shared" si="85"/>
        <v>Not Required</v>
      </c>
      <c r="V1823" s="2" t="s">
        <v>4760</v>
      </c>
    </row>
    <row r="1824" spans="1:22" hidden="1" x14ac:dyDescent="0.3">
      <c r="A1824" s="2" t="s">
        <v>4761</v>
      </c>
      <c r="B1824" s="12">
        <f t="shared" si="84"/>
        <v>46238.581343634258</v>
      </c>
      <c r="C1824" s="13">
        <v>46238.581343634258</v>
      </c>
      <c r="D1824" s="2" t="s">
        <v>1552</v>
      </c>
      <c r="E1824" s="2" t="str">
        <f t="shared" si="86"/>
        <v>Email Available</v>
      </c>
      <c r="F1824" s="2" t="s">
        <v>1553</v>
      </c>
      <c r="G1824" s="2" t="s">
        <v>80</v>
      </c>
      <c r="H1824" s="2" t="s">
        <v>81</v>
      </c>
      <c r="I1824" s="2" t="s">
        <v>82</v>
      </c>
      <c r="J1824" s="2">
        <v>2</v>
      </c>
      <c r="K1824" s="2">
        <v>89.99</v>
      </c>
      <c r="L1824" s="2"/>
      <c r="M1824" s="2">
        <v>0</v>
      </c>
      <c r="N1824" s="2">
        <v>0</v>
      </c>
      <c r="O1824" s="2" t="s">
        <v>2153</v>
      </c>
      <c r="P1824" s="2" t="s">
        <v>51</v>
      </c>
      <c r="Q1824" s="2" t="s">
        <v>28</v>
      </c>
      <c r="R1824" s="2" t="s">
        <v>42</v>
      </c>
      <c r="S1824" s="2" t="s">
        <v>75</v>
      </c>
      <c r="T1824" s="2"/>
      <c r="U1824" s="2" t="str">
        <f t="shared" si="85"/>
        <v>Not Required</v>
      </c>
      <c r="V1824" s="2" t="s">
        <v>4762</v>
      </c>
    </row>
    <row r="1825" spans="1:22" hidden="1" x14ac:dyDescent="0.3">
      <c r="A1825" s="2" t="s">
        <v>4763</v>
      </c>
      <c r="B1825" s="12">
        <f t="shared" si="84"/>
        <v>46120</v>
      </c>
      <c r="C1825" s="13" t="s">
        <v>142</v>
      </c>
      <c r="D1825" s="2" t="s">
        <v>193</v>
      </c>
      <c r="E1825" s="2" t="str">
        <f t="shared" si="86"/>
        <v>Email Available</v>
      </c>
      <c r="F1825" s="2" t="s">
        <v>194</v>
      </c>
      <c r="G1825" s="2" t="s">
        <v>87</v>
      </c>
      <c r="H1825" s="2" t="s">
        <v>88</v>
      </c>
      <c r="I1825" s="2" t="s">
        <v>89</v>
      </c>
      <c r="J1825" s="2">
        <v>1</v>
      </c>
      <c r="K1825" s="2">
        <v>54.99</v>
      </c>
      <c r="L1825" s="2"/>
      <c r="M1825" s="2">
        <v>0</v>
      </c>
      <c r="N1825" s="2">
        <v>5.99</v>
      </c>
      <c r="O1825" s="2">
        <v>60.98</v>
      </c>
      <c r="P1825" s="2" t="s">
        <v>68</v>
      </c>
      <c r="Q1825" s="2" t="s">
        <v>28</v>
      </c>
      <c r="R1825" s="2" t="s">
        <v>52</v>
      </c>
      <c r="S1825" s="2" t="s">
        <v>30</v>
      </c>
      <c r="T1825" s="2" t="s">
        <v>248</v>
      </c>
      <c r="U1825" s="2" t="str">
        <f t="shared" si="85"/>
        <v>Valid</v>
      </c>
      <c r="V1825" s="2" t="s">
        <v>4764</v>
      </c>
    </row>
    <row r="1826" spans="1:22" hidden="1" x14ac:dyDescent="0.3">
      <c r="A1826" s="2" t="s">
        <v>4765</v>
      </c>
      <c r="B1826" s="12">
        <f t="shared" si="84"/>
        <v>46238.581125925928</v>
      </c>
      <c r="C1826" s="13">
        <v>46238.581125925928</v>
      </c>
      <c r="D1826" s="2" t="s">
        <v>614</v>
      </c>
      <c r="E1826" s="2" t="str">
        <f t="shared" si="86"/>
        <v>Email Available</v>
      </c>
      <c r="F1826" s="2" t="s">
        <v>615</v>
      </c>
      <c r="G1826" s="2" t="s">
        <v>206</v>
      </c>
      <c r="H1826" s="2" t="s">
        <v>196</v>
      </c>
      <c r="I1826" s="2" t="s">
        <v>207</v>
      </c>
      <c r="J1826" s="2">
        <v>1</v>
      </c>
      <c r="K1826" s="2">
        <v>24.99</v>
      </c>
      <c r="L1826" s="2"/>
      <c r="M1826" s="2">
        <v>0</v>
      </c>
      <c r="N1826" s="2">
        <v>5.99</v>
      </c>
      <c r="O1826" s="2">
        <v>30.98</v>
      </c>
      <c r="P1826" s="2" t="s">
        <v>68</v>
      </c>
      <c r="Q1826" s="2" t="s">
        <v>90</v>
      </c>
      <c r="R1826" s="2" t="s">
        <v>99</v>
      </c>
      <c r="S1826" s="2" t="s">
        <v>43</v>
      </c>
      <c r="T1826" s="2"/>
      <c r="U1826" s="2" t="str">
        <f t="shared" si="85"/>
        <v>Not Required</v>
      </c>
      <c r="V1826" s="2" t="s">
        <v>4766</v>
      </c>
    </row>
    <row r="1827" spans="1:22" hidden="1" x14ac:dyDescent="0.3">
      <c r="A1827" s="2" t="s">
        <v>4767</v>
      </c>
      <c r="B1827" s="12">
        <f t="shared" si="84"/>
        <v>46238.585126724538</v>
      </c>
      <c r="C1827" s="13">
        <v>46238.585126724538</v>
      </c>
      <c r="D1827" s="2" t="s">
        <v>790</v>
      </c>
      <c r="E1827" s="2" t="str">
        <f t="shared" si="86"/>
        <v>Email Available</v>
      </c>
      <c r="F1827" s="2" t="s">
        <v>791</v>
      </c>
      <c r="G1827" s="2" t="s">
        <v>48</v>
      </c>
      <c r="H1827" s="2" t="s">
        <v>49</v>
      </c>
      <c r="I1827" s="2" t="s">
        <v>50</v>
      </c>
      <c r="J1827" s="2">
        <v>1</v>
      </c>
      <c r="K1827" s="2">
        <v>39.99</v>
      </c>
      <c r="L1827" s="2"/>
      <c r="M1827" s="2">
        <v>0</v>
      </c>
      <c r="N1827" s="2">
        <v>5.99</v>
      </c>
      <c r="O1827" s="2">
        <v>45.98</v>
      </c>
      <c r="P1827" s="2" t="s">
        <v>51</v>
      </c>
      <c r="Q1827" s="2" t="s">
        <v>41</v>
      </c>
      <c r="R1827" s="2" t="s">
        <v>52</v>
      </c>
      <c r="S1827" s="2" t="s">
        <v>228</v>
      </c>
      <c r="T1827" s="2"/>
      <c r="U1827" s="2" t="str">
        <f t="shared" si="85"/>
        <v>Not Required</v>
      </c>
      <c r="V1827" s="2" t="s">
        <v>4768</v>
      </c>
    </row>
    <row r="1828" spans="1:22" x14ac:dyDescent="0.3">
      <c r="A1828" s="2" t="s">
        <v>4769</v>
      </c>
      <c r="B1828" s="12">
        <f t="shared" si="84"/>
        <v>46238.583528009258</v>
      </c>
      <c r="C1828" s="13">
        <v>46238.583528009258</v>
      </c>
      <c r="D1828" s="2" t="s">
        <v>1098</v>
      </c>
      <c r="E1828" s="2" t="str">
        <f t="shared" si="86"/>
        <v>Missing Email</v>
      </c>
      <c r="F1828" s="2"/>
      <c r="G1828" s="2" t="s">
        <v>284</v>
      </c>
      <c r="H1828" s="2" t="s">
        <v>23</v>
      </c>
      <c r="I1828" s="2" t="s">
        <v>285</v>
      </c>
      <c r="J1828" s="2">
        <v>1</v>
      </c>
      <c r="K1828" s="2">
        <v>24.99</v>
      </c>
      <c r="L1828" s="2" t="s">
        <v>39</v>
      </c>
      <c r="M1828" s="2">
        <v>0</v>
      </c>
      <c r="N1828" s="2">
        <v>0</v>
      </c>
      <c r="O1828" s="2">
        <v>24.99</v>
      </c>
      <c r="P1828" s="2" t="s">
        <v>68</v>
      </c>
      <c r="Q1828" s="2" t="s">
        <v>90</v>
      </c>
      <c r="R1828" s="2" t="s">
        <v>99</v>
      </c>
      <c r="S1828" s="2" t="s">
        <v>30</v>
      </c>
      <c r="T1828" s="2" t="s">
        <v>69</v>
      </c>
      <c r="U1828" s="2" t="str">
        <f t="shared" si="85"/>
        <v>Valid</v>
      </c>
      <c r="V1828" s="2" t="s">
        <v>4770</v>
      </c>
    </row>
    <row r="1829" spans="1:22" hidden="1" x14ac:dyDescent="0.3">
      <c r="A1829" s="2" t="s">
        <v>4771</v>
      </c>
      <c r="B1829" s="12">
        <f t="shared" si="84"/>
        <v>46238.586725972222</v>
      </c>
      <c r="C1829" s="13">
        <v>46238.586725972222</v>
      </c>
      <c r="D1829" s="2" t="s">
        <v>502</v>
      </c>
      <c r="E1829" s="2" t="str">
        <f t="shared" si="86"/>
        <v>Email Available</v>
      </c>
      <c r="F1829" s="2" t="s">
        <v>503</v>
      </c>
      <c r="G1829" s="2" t="s">
        <v>133</v>
      </c>
      <c r="H1829" s="2" t="s">
        <v>106</v>
      </c>
      <c r="I1829" s="2" t="s">
        <v>134</v>
      </c>
      <c r="J1829" s="2">
        <v>1</v>
      </c>
      <c r="K1829" s="2">
        <v>16.989999999999998</v>
      </c>
      <c r="L1829" s="2" t="s">
        <v>121</v>
      </c>
      <c r="M1829" s="2">
        <v>4.25</v>
      </c>
      <c r="N1829" s="2">
        <v>7.99</v>
      </c>
      <c r="O1829" s="2">
        <v>20.73</v>
      </c>
      <c r="P1829" s="2" t="s">
        <v>27</v>
      </c>
      <c r="Q1829" s="2" t="s">
        <v>114</v>
      </c>
      <c r="R1829" s="2" t="s">
        <v>52</v>
      </c>
      <c r="S1829" s="2" t="s">
        <v>108</v>
      </c>
      <c r="T1829" s="2"/>
      <c r="U1829" s="2" t="str">
        <f t="shared" si="85"/>
        <v>Not Required</v>
      </c>
      <c r="V1829" s="2" t="s">
        <v>4772</v>
      </c>
    </row>
    <row r="1830" spans="1:22" hidden="1" x14ac:dyDescent="0.3">
      <c r="A1830" s="2" t="s">
        <v>4773</v>
      </c>
      <c r="B1830" s="12">
        <f t="shared" si="84"/>
        <v>46238.578977372686</v>
      </c>
      <c r="C1830" s="13">
        <v>46238.578977372686</v>
      </c>
      <c r="D1830" s="2" t="s">
        <v>1113</v>
      </c>
      <c r="E1830" s="2" t="str">
        <f t="shared" si="86"/>
        <v>Email Available</v>
      </c>
      <c r="F1830" s="2" t="s">
        <v>1114</v>
      </c>
      <c r="G1830" s="2" t="s">
        <v>127</v>
      </c>
      <c r="H1830" s="2" t="s">
        <v>81</v>
      </c>
      <c r="I1830" s="2" t="s">
        <v>128</v>
      </c>
      <c r="J1830" s="2">
        <v>1</v>
      </c>
      <c r="K1830" s="2">
        <v>13.99</v>
      </c>
      <c r="L1830" s="2" t="s">
        <v>25</v>
      </c>
      <c r="M1830" s="2">
        <v>2.8</v>
      </c>
      <c r="N1830" s="2">
        <v>4.99</v>
      </c>
      <c r="O1830" s="2">
        <v>16.18</v>
      </c>
      <c r="P1830" s="2" t="s">
        <v>74</v>
      </c>
      <c r="Q1830" s="2" t="s">
        <v>28</v>
      </c>
      <c r="R1830" s="2" t="s">
        <v>52</v>
      </c>
      <c r="S1830" s="2" t="s">
        <v>30</v>
      </c>
      <c r="T1830" s="2" t="s">
        <v>91</v>
      </c>
      <c r="U1830" s="2" t="str">
        <f t="shared" si="85"/>
        <v>Valid</v>
      </c>
      <c r="V1830" s="2" t="s">
        <v>4774</v>
      </c>
    </row>
    <row r="1831" spans="1:22" hidden="1" x14ac:dyDescent="0.3">
      <c r="A1831" s="2" t="s">
        <v>4775</v>
      </c>
      <c r="B1831" s="12">
        <f t="shared" si="84"/>
        <v>46238.588808981483</v>
      </c>
      <c r="C1831" s="13">
        <v>46238.588808981483</v>
      </c>
      <c r="D1831" s="2" t="s">
        <v>764</v>
      </c>
      <c r="E1831" s="2" t="str">
        <f t="shared" si="86"/>
        <v>Email Available</v>
      </c>
      <c r="F1831" s="2" t="s">
        <v>765</v>
      </c>
      <c r="G1831" s="2" t="s">
        <v>187</v>
      </c>
      <c r="H1831" s="2" t="s">
        <v>37</v>
      </c>
      <c r="I1831" s="2" t="s">
        <v>188</v>
      </c>
      <c r="J1831" s="2">
        <v>1</v>
      </c>
      <c r="K1831" s="2">
        <v>11.99</v>
      </c>
      <c r="L1831" s="2" t="s">
        <v>121</v>
      </c>
      <c r="M1831" s="2" t="s">
        <v>4624</v>
      </c>
      <c r="N1831" s="2">
        <v>5.99</v>
      </c>
      <c r="O1831" s="2">
        <v>14.98</v>
      </c>
      <c r="P1831" s="2" t="s">
        <v>74</v>
      </c>
      <c r="Q1831" s="2" t="s">
        <v>41</v>
      </c>
      <c r="R1831" s="2" t="s">
        <v>52</v>
      </c>
      <c r="S1831" s="2" t="s">
        <v>30</v>
      </c>
      <c r="T1831" s="2" t="s">
        <v>115</v>
      </c>
      <c r="U1831" s="2" t="str">
        <f t="shared" si="85"/>
        <v>Valid</v>
      </c>
      <c r="V1831" s="2" t="s">
        <v>4776</v>
      </c>
    </row>
    <row r="1832" spans="1:22" hidden="1" x14ac:dyDescent="0.3">
      <c r="A1832" s="2" t="s">
        <v>4777</v>
      </c>
      <c r="B1832" s="12">
        <f t="shared" si="84"/>
        <v>46238.580109363429</v>
      </c>
      <c r="C1832" s="13">
        <v>46238.580109363429</v>
      </c>
      <c r="D1832" s="2" t="s">
        <v>3346</v>
      </c>
      <c r="E1832" s="2" t="str">
        <f t="shared" si="86"/>
        <v>Email Available</v>
      </c>
      <c r="F1832" s="2" t="s">
        <v>745</v>
      </c>
      <c r="G1832" s="2" t="s">
        <v>133</v>
      </c>
      <c r="H1832" s="2" t="s">
        <v>106</v>
      </c>
      <c r="I1832" s="2" t="s">
        <v>134</v>
      </c>
      <c r="J1832" s="2">
        <v>1</v>
      </c>
      <c r="K1832" s="2">
        <v>16.989999999999998</v>
      </c>
      <c r="L1832" s="2" t="s">
        <v>25</v>
      </c>
      <c r="M1832" s="2">
        <v>3.4</v>
      </c>
      <c r="N1832" s="2">
        <v>7.99</v>
      </c>
      <c r="O1832" s="2">
        <v>21.58</v>
      </c>
      <c r="P1832" s="2" t="s">
        <v>68</v>
      </c>
      <c r="Q1832" s="2" t="s">
        <v>41</v>
      </c>
      <c r="R1832" s="2" t="s">
        <v>99</v>
      </c>
      <c r="S1832" s="2" t="s">
        <v>30</v>
      </c>
      <c r="T1832" s="2" t="s">
        <v>53</v>
      </c>
      <c r="U1832" s="2" t="str">
        <f t="shared" si="85"/>
        <v>Valid</v>
      </c>
      <c r="V1832" s="2" t="s">
        <v>4778</v>
      </c>
    </row>
    <row r="1833" spans="1:22" hidden="1" x14ac:dyDescent="0.3">
      <c r="A1833" s="2" t="s">
        <v>4779</v>
      </c>
      <c r="B1833" s="12">
        <f t="shared" si="84"/>
        <v>46238.584362291673</v>
      </c>
      <c r="C1833" s="13">
        <v>46238.584362291673</v>
      </c>
      <c r="D1833" s="2" t="s">
        <v>3829</v>
      </c>
      <c r="E1833" s="2" t="str">
        <f t="shared" si="86"/>
        <v>Email Available</v>
      </c>
      <c r="F1833" s="2" t="s">
        <v>3830</v>
      </c>
      <c r="G1833" s="2" t="s">
        <v>157</v>
      </c>
      <c r="H1833" s="2" t="s">
        <v>37</v>
      </c>
      <c r="I1833" s="2" t="s">
        <v>158</v>
      </c>
      <c r="J1833" s="2">
        <v>1</v>
      </c>
      <c r="K1833" s="2">
        <v>29.99</v>
      </c>
      <c r="L1833" s="2"/>
      <c r="M1833" s="2">
        <v>0</v>
      </c>
      <c r="N1833" s="2">
        <v>4.99</v>
      </c>
      <c r="O1833" s="2">
        <v>34.979999999999997</v>
      </c>
      <c r="P1833" s="2" t="s">
        <v>68</v>
      </c>
      <c r="Q1833" s="2" t="s">
        <v>90</v>
      </c>
      <c r="R1833" s="2" t="s">
        <v>52</v>
      </c>
      <c r="S1833" s="2" t="s">
        <v>75</v>
      </c>
      <c r="T1833" s="2"/>
      <c r="U1833" s="2" t="str">
        <f t="shared" si="85"/>
        <v>Not Required</v>
      </c>
      <c r="V1833" s="2" t="s">
        <v>4780</v>
      </c>
    </row>
    <row r="1834" spans="1:22" hidden="1" x14ac:dyDescent="0.3">
      <c r="A1834" s="2" t="s">
        <v>4783</v>
      </c>
      <c r="B1834" s="12">
        <f t="shared" si="84"/>
        <v>46238.587428726853</v>
      </c>
      <c r="C1834" s="13">
        <v>46238.587428726853</v>
      </c>
      <c r="D1834" s="2" t="s">
        <v>764</v>
      </c>
      <c r="E1834" s="2" t="str">
        <f t="shared" si="86"/>
        <v>Email Available</v>
      </c>
      <c r="F1834" s="2" t="s">
        <v>765</v>
      </c>
      <c r="G1834" s="2" t="s">
        <v>284</v>
      </c>
      <c r="H1834" s="2" t="s">
        <v>23</v>
      </c>
      <c r="I1834" s="2" t="s">
        <v>285</v>
      </c>
      <c r="J1834" s="2">
        <v>1</v>
      </c>
      <c r="K1834" s="2">
        <v>24.99</v>
      </c>
      <c r="L1834" s="2" t="s">
        <v>121</v>
      </c>
      <c r="M1834" s="2">
        <v>6.25</v>
      </c>
      <c r="N1834" s="2">
        <v>7.99</v>
      </c>
      <c r="O1834" s="2">
        <v>26.73</v>
      </c>
      <c r="P1834" s="2" t="s">
        <v>27</v>
      </c>
      <c r="Q1834" s="2" t="s">
        <v>90</v>
      </c>
      <c r="R1834" s="2" t="s">
        <v>29</v>
      </c>
      <c r="S1834" s="2" t="s">
        <v>30</v>
      </c>
      <c r="T1834" s="2" t="s">
        <v>1412</v>
      </c>
      <c r="U1834" s="2" t="str">
        <f t="shared" si="85"/>
        <v>Valid</v>
      </c>
      <c r="V1834" s="2" t="s">
        <v>4784</v>
      </c>
    </row>
    <row r="1835" spans="1:22" hidden="1" x14ac:dyDescent="0.3">
      <c r="A1835" s="2" t="s">
        <v>4785</v>
      </c>
      <c r="B1835" s="12">
        <f t="shared" si="84"/>
        <v>46238.588324976852</v>
      </c>
      <c r="C1835" s="13">
        <v>46238.588324976852</v>
      </c>
      <c r="D1835" s="2" t="s">
        <v>424</v>
      </c>
      <c r="E1835" s="2" t="str">
        <f t="shared" si="86"/>
        <v>Email Available</v>
      </c>
      <c r="F1835" s="2" t="s">
        <v>425</v>
      </c>
      <c r="G1835" s="2" t="s">
        <v>157</v>
      </c>
      <c r="H1835" s="2" t="s">
        <v>37</v>
      </c>
      <c r="I1835" s="2" t="s">
        <v>158</v>
      </c>
      <c r="J1835" s="2">
        <v>2</v>
      </c>
      <c r="K1835" s="2">
        <v>29.99</v>
      </c>
      <c r="L1835" s="2" t="s">
        <v>39</v>
      </c>
      <c r="M1835" s="2">
        <v>0</v>
      </c>
      <c r="N1835" s="2">
        <v>0</v>
      </c>
      <c r="O1835" s="2">
        <v>59.98</v>
      </c>
      <c r="P1835" s="2" t="s">
        <v>68</v>
      </c>
      <c r="Q1835" s="2" t="s">
        <v>28</v>
      </c>
      <c r="R1835" s="2" t="s">
        <v>29</v>
      </c>
      <c r="S1835" s="2" t="s">
        <v>30</v>
      </c>
      <c r="T1835" s="2" t="s">
        <v>454</v>
      </c>
      <c r="U1835" s="2" t="str">
        <f t="shared" si="85"/>
        <v>Valid</v>
      </c>
      <c r="V1835" s="2" t="s">
        <v>4786</v>
      </c>
    </row>
    <row r="1836" spans="1:22" x14ac:dyDescent="0.3">
      <c r="A1836" s="2" t="s">
        <v>4787</v>
      </c>
      <c r="B1836" s="12">
        <f t="shared" si="84"/>
        <v>46238</v>
      </c>
      <c r="C1836" s="13" t="s">
        <v>148</v>
      </c>
      <c r="D1836" s="2" t="s">
        <v>288</v>
      </c>
      <c r="E1836" s="2" t="str">
        <f t="shared" si="86"/>
        <v>Missing Email</v>
      </c>
      <c r="F1836" s="2"/>
      <c r="G1836" s="2" t="s">
        <v>58</v>
      </c>
      <c r="H1836" s="2" t="s">
        <v>23</v>
      </c>
      <c r="I1836" s="2" t="s">
        <v>59</v>
      </c>
      <c r="J1836" s="2">
        <v>1</v>
      </c>
      <c r="K1836" s="2">
        <v>9.99</v>
      </c>
      <c r="L1836" s="2" t="s">
        <v>1704</v>
      </c>
      <c r="M1836" s="2">
        <v>1</v>
      </c>
      <c r="N1836" s="2">
        <v>5.99</v>
      </c>
      <c r="O1836" s="2">
        <v>14.98</v>
      </c>
      <c r="P1836" s="2" t="s">
        <v>27</v>
      </c>
      <c r="Q1836" s="2" t="s">
        <v>41</v>
      </c>
      <c r="R1836" s="2" t="s">
        <v>29</v>
      </c>
      <c r="S1836" s="2" t="s">
        <v>30</v>
      </c>
      <c r="T1836" s="2" t="s">
        <v>351</v>
      </c>
      <c r="U1836" s="2" t="str">
        <f t="shared" si="85"/>
        <v>Valid</v>
      </c>
      <c r="V1836" s="2" t="s">
        <v>4788</v>
      </c>
    </row>
    <row r="1837" spans="1:22" hidden="1" x14ac:dyDescent="0.3">
      <c r="A1837" s="2" t="s">
        <v>4789</v>
      </c>
      <c r="B1837" s="12">
        <f t="shared" si="84"/>
        <v>46238.588115925922</v>
      </c>
      <c r="C1837" s="13">
        <v>46238.588115925922</v>
      </c>
      <c r="D1837" s="2" t="s">
        <v>1475</v>
      </c>
      <c r="E1837" s="2" t="str">
        <f t="shared" si="86"/>
        <v>Email Available</v>
      </c>
      <c r="F1837" s="2" t="s">
        <v>1298</v>
      </c>
      <c r="G1837" s="2" t="s">
        <v>151</v>
      </c>
      <c r="H1837" s="2" t="s">
        <v>49</v>
      </c>
      <c r="I1837" s="2" t="s">
        <v>152</v>
      </c>
      <c r="J1837" s="2">
        <v>1</v>
      </c>
      <c r="K1837" s="2">
        <v>34.99</v>
      </c>
      <c r="L1837" s="2"/>
      <c r="M1837" s="2">
        <v>0</v>
      </c>
      <c r="N1837" s="2">
        <v>5.99</v>
      </c>
      <c r="O1837" s="2">
        <v>40.98</v>
      </c>
      <c r="P1837" s="2" t="s">
        <v>51</v>
      </c>
      <c r="Q1837" s="2" t="s">
        <v>28</v>
      </c>
      <c r="R1837" s="2" t="s">
        <v>52</v>
      </c>
      <c r="S1837" s="2" t="s">
        <v>30</v>
      </c>
      <c r="T1837" s="2" t="s">
        <v>53</v>
      </c>
      <c r="U1837" s="2" t="str">
        <f t="shared" si="85"/>
        <v>Valid</v>
      </c>
      <c r="V1837" s="2" t="s">
        <v>4790</v>
      </c>
    </row>
    <row r="1838" spans="1:22" hidden="1" x14ac:dyDescent="0.3">
      <c r="A1838" s="2" t="s">
        <v>4791</v>
      </c>
      <c r="B1838" s="12">
        <f t="shared" si="84"/>
        <v>46238.580758298609</v>
      </c>
      <c r="C1838" s="13">
        <v>46238.580758298609</v>
      </c>
      <c r="D1838" s="2" t="s">
        <v>915</v>
      </c>
      <c r="E1838" s="2" t="str">
        <f t="shared" si="86"/>
        <v>Email Available</v>
      </c>
      <c r="F1838" s="2" t="s">
        <v>916</v>
      </c>
      <c r="G1838" s="2" t="s">
        <v>80</v>
      </c>
      <c r="H1838" s="2" t="s">
        <v>81</v>
      </c>
      <c r="I1838" s="2" t="s">
        <v>82</v>
      </c>
      <c r="J1838" s="2">
        <v>1</v>
      </c>
      <c r="K1838" s="2">
        <v>89.99</v>
      </c>
      <c r="L1838" s="2" t="s">
        <v>67</v>
      </c>
      <c r="M1838" s="2">
        <v>9</v>
      </c>
      <c r="N1838" s="2">
        <v>0</v>
      </c>
      <c r="O1838" s="2">
        <v>80.989999999999995</v>
      </c>
      <c r="P1838" s="2" t="s">
        <v>51</v>
      </c>
      <c r="Q1838" s="2" t="s">
        <v>90</v>
      </c>
      <c r="R1838" s="2" t="s">
        <v>42</v>
      </c>
      <c r="S1838" s="2" t="s">
        <v>30</v>
      </c>
      <c r="T1838" s="2" t="s">
        <v>31</v>
      </c>
      <c r="U1838" s="2" t="str">
        <f t="shared" si="85"/>
        <v>Valid</v>
      </c>
      <c r="V1838" s="2" t="s">
        <v>4792</v>
      </c>
    </row>
    <row r="1839" spans="1:22" hidden="1" x14ac:dyDescent="0.3">
      <c r="A1839" s="2" t="s">
        <v>4793</v>
      </c>
      <c r="B1839" s="12">
        <f t="shared" si="84"/>
        <v>46238.580386932867</v>
      </c>
      <c r="C1839" s="13">
        <v>46238.580386932867</v>
      </c>
      <c r="D1839" s="2" t="s">
        <v>2069</v>
      </c>
      <c r="E1839" s="2" t="str">
        <f t="shared" si="86"/>
        <v>Email Available</v>
      </c>
      <c r="F1839" s="2" t="s">
        <v>3195</v>
      </c>
      <c r="G1839" s="2" t="s">
        <v>80</v>
      </c>
      <c r="H1839" s="2" t="s">
        <v>81</v>
      </c>
      <c r="I1839" s="2" t="s">
        <v>82</v>
      </c>
      <c r="J1839" s="2">
        <v>1</v>
      </c>
      <c r="K1839" s="2">
        <v>89.99</v>
      </c>
      <c r="L1839" s="2"/>
      <c r="M1839" s="2">
        <v>0</v>
      </c>
      <c r="N1839" s="2">
        <v>0</v>
      </c>
      <c r="O1839" s="2">
        <v>89.99</v>
      </c>
      <c r="P1839" s="2" t="s">
        <v>27</v>
      </c>
      <c r="Q1839" s="2" t="s">
        <v>28</v>
      </c>
      <c r="R1839" s="2" t="s">
        <v>42</v>
      </c>
      <c r="S1839" s="2" t="s">
        <v>108</v>
      </c>
      <c r="T1839" s="2"/>
      <c r="U1839" s="2" t="str">
        <f t="shared" si="85"/>
        <v>Not Required</v>
      </c>
      <c r="V1839" s="2" t="s">
        <v>4794</v>
      </c>
    </row>
    <row r="1840" spans="1:22" hidden="1" x14ac:dyDescent="0.3">
      <c r="A1840" s="2" t="s">
        <v>4795</v>
      </c>
      <c r="B1840" s="12">
        <f t="shared" si="84"/>
        <v>46238.58770261574</v>
      </c>
      <c r="C1840" s="13">
        <v>46238.58770261574</v>
      </c>
      <c r="D1840" s="2" t="s">
        <v>706</v>
      </c>
      <c r="E1840" s="2" t="str">
        <f t="shared" si="86"/>
        <v>Email Available</v>
      </c>
      <c r="F1840" s="2" t="s">
        <v>707</v>
      </c>
      <c r="G1840" s="2" t="s">
        <v>80</v>
      </c>
      <c r="H1840" s="2" t="s">
        <v>81</v>
      </c>
      <c r="I1840" s="2" t="s">
        <v>82</v>
      </c>
      <c r="J1840" s="2">
        <v>1</v>
      </c>
      <c r="K1840" s="2">
        <v>89.99</v>
      </c>
      <c r="L1840" s="2" t="s">
        <v>121</v>
      </c>
      <c r="M1840" s="2">
        <v>22.5</v>
      </c>
      <c r="N1840" s="2">
        <v>0</v>
      </c>
      <c r="O1840" s="2">
        <v>67.489999999999995</v>
      </c>
      <c r="P1840" s="2" t="s">
        <v>27</v>
      </c>
      <c r="Q1840" s="2" t="s">
        <v>28</v>
      </c>
      <c r="R1840" s="2" t="s">
        <v>29</v>
      </c>
      <c r="S1840" s="2" t="s">
        <v>30</v>
      </c>
      <c r="T1840" s="2" t="s">
        <v>31</v>
      </c>
      <c r="U1840" s="2" t="str">
        <f t="shared" si="85"/>
        <v>Valid</v>
      </c>
      <c r="V1840" s="2" t="s">
        <v>4796</v>
      </c>
    </row>
    <row r="1841" spans="1:22" hidden="1" x14ac:dyDescent="0.3">
      <c r="A1841" s="2" t="s">
        <v>4797</v>
      </c>
      <c r="B1841" s="12">
        <f t="shared" si="84"/>
        <v>46238.58384230324</v>
      </c>
      <c r="C1841" s="13">
        <v>46238.58384230324</v>
      </c>
      <c r="D1841" s="2" t="s">
        <v>633</v>
      </c>
      <c r="E1841" s="2" t="str">
        <f t="shared" si="86"/>
        <v>Email Available</v>
      </c>
      <c r="F1841" s="2" t="s">
        <v>634</v>
      </c>
      <c r="G1841" s="2" t="s">
        <v>171</v>
      </c>
      <c r="H1841" s="2" t="s">
        <v>106</v>
      </c>
      <c r="I1841" s="2" t="s">
        <v>172</v>
      </c>
      <c r="J1841" s="2">
        <v>1</v>
      </c>
      <c r="K1841" s="2">
        <v>32.99</v>
      </c>
      <c r="L1841" s="2"/>
      <c r="M1841" s="2">
        <v>0</v>
      </c>
      <c r="N1841" s="2">
        <v>5.99</v>
      </c>
      <c r="O1841" s="2">
        <v>38.979999999999997</v>
      </c>
      <c r="P1841" s="2" t="s">
        <v>51</v>
      </c>
      <c r="Q1841" s="2" t="s">
        <v>90</v>
      </c>
      <c r="R1841" s="2" t="s">
        <v>42</v>
      </c>
      <c r="S1841" s="2" t="s">
        <v>30</v>
      </c>
      <c r="T1841" s="2" t="s">
        <v>53</v>
      </c>
      <c r="U1841" s="2" t="str">
        <f t="shared" si="85"/>
        <v>Valid</v>
      </c>
      <c r="V1841" s="2" t="s">
        <v>2875</v>
      </c>
    </row>
    <row r="1842" spans="1:22" hidden="1" x14ac:dyDescent="0.3">
      <c r="A1842" s="2" t="s">
        <v>4798</v>
      </c>
      <c r="B1842" s="12">
        <f>DATE(VALUE(RIGHT(C1842,4)),MATCH(LEFT(C1842,3),{"Jan","Feb","Mar","Apr","May","Jun","Jul","Aug","Sep","Oct","Nov","Dec"},0),VALUE(MID(C1842,5,2)))</f>
        <v>46238</v>
      </c>
      <c r="C1842" s="13" t="s">
        <v>176</v>
      </c>
      <c r="D1842" s="2" t="s">
        <v>3786</v>
      </c>
      <c r="E1842" s="2" t="str">
        <f t="shared" si="86"/>
        <v>Email Available</v>
      </c>
      <c r="F1842" s="2" t="s">
        <v>3787</v>
      </c>
      <c r="G1842" s="2" t="s">
        <v>112</v>
      </c>
      <c r="H1842" s="2" t="s">
        <v>81</v>
      </c>
      <c r="I1842" s="2" t="s">
        <v>113</v>
      </c>
      <c r="J1842" s="2">
        <v>2</v>
      </c>
      <c r="K1842" s="2">
        <v>22.99</v>
      </c>
      <c r="L1842" s="2"/>
      <c r="M1842" s="2">
        <v>0</v>
      </c>
      <c r="N1842" s="2">
        <v>7.99</v>
      </c>
      <c r="O1842" s="2">
        <v>53.97</v>
      </c>
      <c r="P1842" s="2" t="s">
        <v>40</v>
      </c>
      <c r="Q1842" s="2" t="s">
        <v>28</v>
      </c>
      <c r="R1842" s="2" t="s">
        <v>42</v>
      </c>
      <c r="S1842" s="2" t="s">
        <v>228</v>
      </c>
      <c r="T1842" s="2"/>
      <c r="U1842" s="2" t="str">
        <f t="shared" si="85"/>
        <v>Not Required</v>
      </c>
      <c r="V1842" s="2" t="s">
        <v>4799</v>
      </c>
    </row>
    <row r="1843" spans="1:22" hidden="1" x14ac:dyDescent="0.3">
      <c r="A1843" s="2" t="s">
        <v>4800</v>
      </c>
      <c r="B1843" s="12">
        <f t="shared" si="84"/>
        <v>46238.581211805547</v>
      </c>
      <c r="C1843" s="13">
        <v>46238.581211805547</v>
      </c>
      <c r="D1843" s="2" t="s">
        <v>200</v>
      </c>
      <c r="E1843" s="2" t="str">
        <f t="shared" si="86"/>
        <v>Email Available</v>
      </c>
      <c r="F1843" s="2" t="s">
        <v>201</v>
      </c>
      <c r="G1843" s="2" t="s">
        <v>315</v>
      </c>
      <c r="H1843" s="2" t="s">
        <v>37</v>
      </c>
      <c r="I1843" s="2" t="s">
        <v>316</v>
      </c>
      <c r="J1843" s="2">
        <v>1</v>
      </c>
      <c r="K1843" s="2">
        <v>8.99</v>
      </c>
      <c r="L1843" s="2" t="s">
        <v>208</v>
      </c>
      <c r="M1843" s="2">
        <v>1.35</v>
      </c>
      <c r="N1843" s="2">
        <v>7.99</v>
      </c>
      <c r="O1843" s="2">
        <v>15.63</v>
      </c>
      <c r="P1843" s="2" t="s">
        <v>74</v>
      </c>
      <c r="Q1843" s="2" t="s">
        <v>41</v>
      </c>
      <c r="R1843" s="2" t="s">
        <v>99</v>
      </c>
      <c r="S1843" s="2" t="s">
        <v>30</v>
      </c>
      <c r="T1843" s="2" t="s">
        <v>53</v>
      </c>
      <c r="U1843" s="2" t="str">
        <f t="shared" si="85"/>
        <v>Valid</v>
      </c>
      <c r="V1843" s="2" t="s">
        <v>4801</v>
      </c>
    </row>
    <row r="1844" spans="1:22" hidden="1" x14ac:dyDescent="0.3">
      <c r="A1844" s="2" t="s">
        <v>4802</v>
      </c>
      <c r="B1844" s="12">
        <f t="shared" si="84"/>
        <v>46120</v>
      </c>
      <c r="C1844" s="13" t="s">
        <v>142</v>
      </c>
      <c r="D1844" s="2" t="s">
        <v>1475</v>
      </c>
      <c r="E1844" s="2" t="str">
        <f t="shared" si="86"/>
        <v>Email Available</v>
      </c>
      <c r="F1844" s="2" t="s">
        <v>1298</v>
      </c>
      <c r="G1844" s="2" t="s">
        <v>112</v>
      </c>
      <c r="H1844" s="2" t="s">
        <v>81</v>
      </c>
      <c r="I1844" s="2" t="s">
        <v>113</v>
      </c>
      <c r="J1844" s="2">
        <v>1</v>
      </c>
      <c r="K1844" s="2">
        <v>22.99</v>
      </c>
      <c r="L1844" s="2" t="s">
        <v>39</v>
      </c>
      <c r="M1844" s="2">
        <v>0</v>
      </c>
      <c r="N1844" s="2">
        <v>0</v>
      </c>
      <c r="O1844" s="2">
        <v>22.99</v>
      </c>
      <c r="P1844" s="2" t="s">
        <v>68</v>
      </c>
      <c r="Q1844" s="2" t="s">
        <v>41</v>
      </c>
      <c r="R1844" s="2" t="s">
        <v>52</v>
      </c>
      <c r="S1844" s="2" t="s">
        <v>30</v>
      </c>
      <c r="T1844" s="2" t="s">
        <v>31</v>
      </c>
      <c r="U1844" s="2" t="str">
        <f t="shared" si="85"/>
        <v>Valid</v>
      </c>
      <c r="V1844" s="2" t="s">
        <v>4803</v>
      </c>
    </row>
    <row r="1845" spans="1:22" hidden="1" x14ac:dyDescent="0.3">
      <c r="A1845" s="2" t="s">
        <v>4804</v>
      </c>
      <c r="B1845" s="12">
        <f t="shared" si="84"/>
        <v>46238</v>
      </c>
      <c r="C1845" s="13" t="s">
        <v>148</v>
      </c>
      <c r="D1845" s="2" t="s">
        <v>2868</v>
      </c>
      <c r="E1845" s="2" t="str">
        <f t="shared" si="86"/>
        <v>Email Available</v>
      </c>
      <c r="F1845" s="2" t="s">
        <v>2869</v>
      </c>
      <c r="G1845" s="2" t="s">
        <v>157</v>
      </c>
      <c r="H1845" s="2" t="s">
        <v>37</v>
      </c>
      <c r="I1845" s="2" t="s">
        <v>158</v>
      </c>
      <c r="J1845" s="2">
        <v>2</v>
      </c>
      <c r="K1845" s="2">
        <v>29.99</v>
      </c>
      <c r="L1845" s="2" t="s">
        <v>25</v>
      </c>
      <c r="M1845" s="2">
        <v>12</v>
      </c>
      <c r="N1845" s="2">
        <v>5.99</v>
      </c>
      <c r="O1845" s="2">
        <v>53.97</v>
      </c>
      <c r="P1845" s="2" t="s">
        <v>74</v>
      </c>
      <c r="Q1845" s="2" t="s">
        <v>41</v>
      </c>
      <c r="R1845" s="2" t="s">
        <v>52</v>
      </c>
      <c r="S1845" s="2" t="s">
        <v>30</v>
      </c>
      <c r="T1845" s="2" t="s">
        <v>75</v>
      </c>
      <c r="U1845" s="2" t="str">
        <f t="shared" si="85"/>
        <v>Valid</v>
      </c>
      <c r="V1845" s="2" t="s">
        <v>4805</v>
      </c>
    </row>
    <row r="1846" spans="1:22" hidden="1" x14ac:dyDescent="0.3">
      <c r="A1846" s="2" t="s">
        <v>4806</v>
      </c>
      <c r="B1846" s="12">
        <f t="shared" si="84"/>
        <v>46238.588662499998</v>
      </c>
      <c r="C1846" s="13">
        <v>46238.588662499998</v>
      </c>
      <c r="D1846" s="2" t="s">
        <v>1045</v>
      </c>
      <c r="E1846" s="2" t="str">
        <f t="shared" si="86"/>
        <v>Email Available</v>
      </c>
      <c r="F1846" s="2" t="s">
        <v>1046</v>
      </c>
      <c r="G1846" s="2" t="s">
        <v>112</v>
      </c>
      <c r="H1846" s="2" t="s">
        <v>81</v>
      </c>
      <c r="I1846" s="2" t="s">
        <v>113</v>
      </c>
      <c r="J1846" s="2">
        <v>1</v>
      </c>
      <c r="K1846" s="2">
        <v>22.99</v>
      </c>
      <c r="L1846" s="2"/>
      <c r="M1846" s="2">
        <v>0</v>
      </c>
      <c r="N1846" s="2">
        <v>4.99</v>
      </c>
      <c r="O1846" s="2">
        <v>27.98</v>
      </c>
      <c r="P1846" s="2" t="s">
        <v>74</v>
      </c>
      <c r="Q1846" s="2" t="s">
        <v>114</v>
      </c>
      <c r="R1846" s="2" t="s">
        <v>42</v>
      </c>
      <c r="S1846" s="2" t="s">
        <v>30</v>
      </c>
      <c r="T1846" s="2" t="s">
        <v>145</v>
      </c>
      <c r="U1846" s="2" t="str">
        <f t="shared" si="85"/>
        <v>Valid</v>
      </c>
      <c r="V1846" s="2" t="s">
        <v>4807</v>
      </c>
    </row>
    <row r="1847" spans="1:22" hidden="1" x14ac:dyDescent="0.3">
      <c r="A1847" s="2" t="s">
        <v>4808</v>
      </c>
      <c r="B1847" s="12">
        <f t="shared" si="84"/>
        <v>46238.581545520843</v>
      </c>
      <c r="C1847" s="13">
        <v>46238.581545520843</v>
      </c>
      <c r="D1847" s="2" t="s">
        <v>853</v>
      </c>
      <c r="E1847" s="2" t="str">
        <f t="shared" si="86"/>
        <v>Email Available</v>
      </c>
      <c r="F1847" s="2" t="s">
        <v>854</v>
      </c>
      <c r="G1847" s="2" t="s">
        <v>315</v>
      </c>
      <c r="H1847" s="2" t="s">
        <v>37</v>
      </c>
      <c r="I1847" s="2" t="s">
        <v>316</v>
      </c>
      <c r="J1847" s="2">
        <v>1</v>
      </c>
      <c r="K1847" s="2">
        <v>8.99</v>
      </c>
      <c r="L1847" s="2" t="s">
        <v>208</v>
      </c>
      <c r="M1847" s="2">
        <v>1.35</v>
      </c>
      <c r="N1847" s="2">
        <v>7.99</v>
      </c>
      <c r="O1847" s="2">
        <v>15.63</v>
      </c>
      <c r="P1847" s="2" t="s">
        <v>40</v>
      </c>
      <c r="Q1847" s="2" t="s">
        <v>114</v>
      </c>
      <c r="R1847" s="2" t="s">
        <v>52</v>
      </c>
      <c r="S1847" s="2" t="s">
        <v>30</v>
      </c>
      <c r="T1847" s="2" t="s">
        <v>91</v>
      </c>
      <c r="U1847" s="2" t="str">
        <f t="shared" si="85"/>
        <v>Valid</v>
      </c>
      <c r="V1847" s="2" t="s">
        <v>4809</v>
      </c>
    </row>
    <row r="1848" spans="1:22" hidden="1" x14ac:dyDescent="0.3">
      <c r="A1848" s="2" t="s">
        <v>4810</v>
      </c>
      <c r="B1848" s="12">
        <f t="shared" si="84"/>
        <v>46238.586794710653</v>
      </c>
      <c r="C1848" s="13">
        <v>46238.586794710653</v>
      </c>
      <c r="D1848" s="2" t="s">
        <v>1261</v>
      </c>
      <c r="E1848" s="2" t="str">
        <f t="shared" si="86"/>
        <v>Email Available</v>
      </c>
      <c r="F1848" s="2" t="s">
        <v>1262</v>
      </c>
      <c r="G1848" s="2" t="s">
        <v>48</v>
      </c>
      <c r="H1848" s="2" t="s">
        <v>49</v>
      </c>
      <c r="I1848" s="2" t="s">
        <v>50</v>
      </c>
      <c r="J1848" s="2">
        <v>1</v>
      </c>
      <c r="K1848" s="2">
        <v>39.99</v>
      </c>
      <c r="L1848" s="2"/>
      <c r="M1848" s="2" t="s">
        <v>189</v>
      </c>
      <c r="N1848" s="2">
        <v>4.99</v>
      </c>
      <c r="O1848" s="2">
        <v>44.98</v>
      </c>
      <c r="P1848" s="2" t="s">
        <v>74</v>
      </c>
      <c r="Q1848" s="2" t="s">
        <v>114</v>
      </c>
      <c r="R1848" s="2" t="s">
        <v>52</v>
      </c>
      <c r="S1848" s="2" t="s">
        <v>30</v>
      </c>
      <c r="T1848" s="2" t="s">
        <v>351</v>
      </c>
      <c r="U1848" s="2" t="str">
        <f t="shared" si="85"/>
        <v>Valid</v>
      </c>
      <c r="V1848" s="2" t="s">
        <v>4811</v>
      </c>
    </row>
    <row r="1849" spans="1:22" hidden="1" x14ac:dyDescent="0.3">
      <c r="A1849" s="2" t="s">
        <v>4812</v>
      </c>
      <c r="B1849" s="12">
        <f t="shared" si="84"/>
        <v>46238.585919398152</v>
      </c>
      <c r="C1849" s="13">
        <v>46238.585919398152</v>
      </c>
      <c r="D1849" s="2" t="s">
        <v>849</v>
      </c>
      <c r="E1849" s="2" t="str">
        <f t="shared" si="86"/>
        <v>Email Available</v>
      </c>
      <c r="F1849" s="2" t="s">
        <v>850</v>
      </c>
      <c r="G1849" s="2" t="s">
        <v>65</v>
      </c>
      <c r="H1849" s="2" t="s">
        <v>49</v>
      </c>
      <c r="I1849" s="2" t="s">
        <v>66</v>
      </c>
      <c r="J1849" s="2">
        <v>1</v>
      </c>
      <c r="K1849" s="2">
        <v>14.99</v>
      </c>
      <c r="L1849" s="2" t="s">
        <v>25</v>
      </c>
      <c r="M1849" s="2">
        <v>3</v>
      </c>
      <c r="N1849" s="2">
        <v>4.99</v>
      </c>
      <c r="O1849" s="2">
        <v>16.98</v>
      </c>
      <c r="P1849" s="2" t="s">
        <v>27</v>
      </c>
      <c r="Q1849" s="2" t="s">
        <v>28</v>
      </c>
      <c r="R1849" s="2" t="s">
        <v>52</v>
      </c>
      <c r="S1849" s="2" t="s">
        <v>228</v>
      </c>
      <c r="T1849" s="2"/>
      <c r="U1849" s="2" t="str">
        <f t="shared" si="85"/>
        <v>Not Required</v>
      </c>
      <c r="V1849" s="2" t="s">
        <v>3884</v>
      </c>
    </row>
    <row r="1850" spans="1:22" hidden="1" x14ac:dyDescent="0.3">
      <c r="A1850" s="2" t="s">
        <v>4813</v>
      </c>
      <c r="B1850" s="12">
        <f t="shared" si="84"/>
        <v>46238.58176572917</v>
      </c>
      <c r="C1850" s="13">
        <v>46238.58176572917</v>
      </c>
      <c r="D1850" s="2" t="s">
        <v>614</v>
      </c>
      <c r="E1850" s="2" t="str">
        <f t="shared" si="86"/>
        <v>Email Available</v>
      </c>
      <c r="F1850" s="2" t="s">
        <v>615</v>
      </c>
      <c r="G1850" s="2" t="s">
        <v>65</v>
      </c>
      <c r="H1850" s="2" t="s">
        <v>49</v>
      </c>
      <c r="I1850" s="2" t="s">
        <v>453</v>
      </c>
      <c r="J1850" s="2">
        <v>1</v>
      </c>
      <c r="K1850" s="2">
        <v>14.99</v>
      </c>
      <c r="L1850" s="2" t="s">
        <v>25</v>
      </c>
      <c r="M1850" s="2">
        <v>3</v>
      </c>
      <c r="N1850" s="2">
        <v>7.99</v>
      </c>
      <c r="O1850" s="2">
        <v>19.98</v>
      </c>
      <c r="P1850" s="2" t="s">
        <v>40</v>
      </c>
      <c r="Q1850" s="2" t="s">
        <v>28</v>
      </c>
      <c r="R1850" s="2" t="s">
        <v>52</v>
      </c>
      <c r="S1850" s="2" t="s">
        <v>43</v>
      </c>
      <c r="T1850" s="2"/>
      <c r="U1850" s="2" t="str">
        <f t="shared" si="85"/>
        <v>Not Required</v>
      </c>
      <c r="V1850" s="2" t="s">
        <v>4814</v>
      </c>
    </row>
    <row r="1851" spans="1:22" hidden="1" x14ac:dyDescent="0.3">
      <c r="A1851" s="2" t="s">
        <v>4815</v>
      </c>
      <c r="B1851" s="12">
        <f t="shared" ref="B1851:B1914" si="87">IF(ISNUMBER(C1851),C1851,DATEVALUE(SUBSTITUTE(TRIM(C1851),CHAR(160)," ")))</f>
        <v>46120</v>
      </c>
      <c r="C1851" s="13" t="s">
        <v>142</v>
      </c>
      <c r="D1851" s="2" t="s">
        <v>4635</v>
      </c>
      <c r="E1851" s="2" t="str">
        <f t="shared" si="86"/>
        <v>Email Available</v>
      </c>
      <c r="F1851" s="2" t="s">
        <v>4636</v>
      </c>
      <c r="G1851" s="2" t="s">
        <v>151</v>
      </c>
      <c r="H1851" s="2" t="s">
        <v>49</v>
      </c>
      <c r="I1851" s="2" t="s">
        <v>152</v>
      </c>
      <c r="J1851" s="2">
        <v>1</v>
      </c>
      <c r="K1851" s="2">
        <v>34.99</v>
      </c>
      <c r="L1851" s="2" t="s">
        <v>67</v>
      </c>
      <c r="M1851" s="2">
        <v>3.5</v>
      </c>
      <c r="N1851" s="2">
        <v>7.99</v>
      </c>
      <c r="O1851" s="2">
        <v>39.479999999999997</v>
      </c>
      <c r="P1851" s="2" t="s">
        <v>74</v>
      </c>
      <c r="Q1851" s="2" t="s">
        <v>28</v>
      </c>
      <c r="R1851" s="2" t="s">
        <v>52</v>
      </c>
      <c r="S1851" s="2" t="s">
        <v>337</v>
      </c>
      <c r="T1851" s="2"/>
      <c r="U1851" s="2" t="str">
        <f t="shared" ref="U1851:U1914" si="88">IF(AND(S1851="United States",T1851=""),"Missing state",IF(T1851="","Not Required","Valid"))</f>
        <v>Not Required</v>
      </c>
      <c r="V1851" s="2" t="s">
        <v>4816</v>
      </c>
    </row>
    <row r="1852" spans="1:22" hidden="1" x14ac:dyDescent="0.3">
      <c r="A1852" s="2" t="s">
        <v>4817</v>
      </c>
      <c r="B1852" s="12">
        <f t="shared" si="87"/>
        <v>46238.584513703703</v>
      </c>
      <c r="C1852" s="13">
        <v>46238.584513703703</v>
      </c>
      <c r="D1852" s="2" t="s">
        <v>331</v>
      </c>
      <c r="E1852" s="2" t="str">
        <f t="shared" si="86"/>
        <v>Email Available</v>
      </c>
      <c r="F1852" s="2" t="s">
        <v>332</v>
      </c>
      <c r="G1852" s="2" t="s">
        <v>266</v>
      </c>
      <c r="H1852" s="2" t="s">
        <v>37</v>
      </c>
      <c r="I1852" s="2" t="s">
        <v>267</v>
      </c>
      <c r="J1852" s="2">
        <v>2</v>
      </c>
      <c r="K1852" s="2">
        <v>15.49</v>
      </c>
      <c r="L1852" s="2" t="s">
        <v>121</v>
      </c>
      <c r="M1852" s="2">
        <v>7.75</v>
      </c>
      <c r="N1852" s="2">
        <v>7.99</v>
      </c>
      <c r="O1852" s="2">
        <v>31.22</v>
      </c>
      <c r="P1852" s="2" t="s">
        <v>74</v>
      </c>
      <c r="Q1852" s="2" t="s">
        <v>114</v>
      </c>
      <c r="R1852" s="2" t="s">
        <v>42</v>
      </c>
      <c r="S1852" s="2" t="s">
        <v>30</v>
      </c>
      <c r="T1852" s="2" t="s">
        <v>115</v>
      </c>
      <c r="U1852" s="2" t="str">
        <f t="shared" si="88"/>
        <v>Valid</v>
      </c>
      <c r="V1852" s="2" t="s">
        <v>3894</v>
      </c>
    </row>
    <row r="1853" spans="1:22" hidden="1" x14ac:dyDescent="0.3">
      <c r="A1853" s="2" t="s">
        <v>4818</v>
      </c>
      <c r="B1853" s="12">
        <f t="shared" si="87"/>
        <v>46238.579588287037</v>
      </c>
      <c r="C1853" s="13">
        <v>46238.579588287037</v>
      </c>
      <c r="D1853" s="2" t="s">
        <v>335</v>
      </c>
      <c r="E1853" s="2" t="str">
        <f t="shared" si="86"/>
        <v>Email Available</v>
      </c>
      <c r="F1853" s="2" t="s">
        <v>336</v>
      </c>
      <c r="G1853" s="2" t="s">
        <v>195</v>
      </c>
      <c r="H1853" s="2" t="s">
        <v>196</v>
      </c>
      <c r="I1853" s="2" t="s">
        <v>197</v>
      </c>
      <c r="J1853" s="2">
        <v>2</v>
      </c>
      <c r="K1853" s="2" t="s">
        <v>957</v>
      </c>
      <c r="L1853" s="2" t="s">
        <v>39</v>
      </c>
      <c r="M1853" s="2">
        <v>0</v>
      </c>
      <c r="N1853" s="2">
        <v>0</v>
      </c>
      <c r="O1853" s="2">
        <v>26.98</v>
      </c>
      <c r="P1853" s="2" t="s">
        <v>27</v>
      </c>
      <c r="Q1853" s="2" t="s">
        <v>28</v>
      </c>
      <c r="R1853" s="2" t="s">
        <v>52</v>
      </c>
      <c r="S1853" s="2" t="s">
        <v>337</v>
      </c>
      <c r="T1853" s="2"/>
      <c r="U1853" s="2" t="str">
        <f t="shared" si="88"/>
        <v>Not Required</v>
      </c>
      <c r="V1853" s="2" t="s">
        <v>2922</v>
      </c>
    </row>
    <row r="1854" spans="1:22" hidden="1" x14ac:dyDescent="0.3">
      <c r="A1854" s="2" t="s">
        <v>4819</v>
      </c>
      <c r="B1854" s="12">
        <f t="shared" si="87"/>
        <v>46238.587603715278</v>
      </c>
      <c r="C1854" s="13">
        <v>46238.587603715278</v>
      </c>
      <c r="D1854" s="2" t="s">
        <v>733</v>
      </c>
      <c r="E1854" s="2" t="str">
        <f t="shared" si="86"/>
        <v>Email Available</v>
      </c>
      <c r="F1854" s="2" t="s">
        <v>734</v>
      </c>
      <c r="G1854" s="2" t="s">
        <v>65</v>
      </c>
      <c r="H1854" s="2" t="s">
        <v>49</v>
      </c>
      <c r="I1854" s="2" t="s">
        <v>453</v>
      </c>
      <c r="J1854" s="2">
        <v>1</v>
      </c>
      <c r="K1854" s="2">
        <v>14.99</v>
      </c>
      <c r="L1854" s="2" t="s">
        <v>67</v>
      </c>
      <c r="M1854" s="2">
        <v>1.5</v>
      </c>
      <c r="N1854" s="2">
        <v>5.99</v>
      </c>
      <c r="O1854" s="2">
        <v>19.48</v>
      </c>
      <c r="P1854" s="2" t="s">
        <v>68</v>
      </c>
      <c r="Q1854" s="2" t="s">
        <v>28</v>
      </c>
      <c r="R1854" s="2" t="s">
        <v>29</v>
      </c>
      <c r="S1854" s="2" t="s">
        <v>108</v>
      </c>
      <c r="T1854" s="2"/>
      <c r="U1854" s="2" t="str">
        <f t="shared" si="88"/>
        <v>Not Required</v>
      </c>
      <c r="V1854" s="2" t="s">
        <v>4820</v>
      </c>
    </row>
    <row r="1855" spans="1:22" hidden="1" x14ac:dyDescent="0.3">
      <c r="A1855" s="2" t="s">
        <v>4821</v>
      </c>
      <c r="B1855" s="12">
        <f t="shared" si="87"/>
        <v>46238.584332199083</v>
      </c>
      <c r="C1855" s="13">
        <v>46238.584332199083</v>
      </c>
      <c r="D1855" s="2" t="s">
        <v>211</v>
      </c>
      <c r="E1855" s="2" t="str">
        <f t="shared" si="86"/>
        <v>Email Available</v>
      </c>
      <c r="F1855" s="2" t="s">
        <v>212</v>
      </c>
      <c r="G1855" s="2" t="s">
        <v>2070</v>
      </c>
      <c r="H1855" s="2" t="s">
        <v>49</v>
      </c>
      <c r="I1855" s="2" t="s">
        <v>453</v>
      </c>
      <c r="J1855" s="2">
        <v>2</v>
      </c>
      <c r="K1855" s="2">
        <v>14.99</v>
      </c>
      <c r="L1855" s="2" t="s">
        <v>25</v>
      </c>
      <c r="M1855" s="2">
        <v>6</v>
      </c>
      <c r="N1855" s="2">
        <v>4.99</v>
      </c>
      <c r="O1855" s="2">
        <v>28.97</v>
      </c>
      <c r="P1855" s="2" t="s">
        <v>40</v>
      </c>
      <c r="Q1855" s="2" t="s">
        <v>28</v>
      </c>
      <c r="R1855" s="2" t="s">
        <v>52</v>
      </c>
      <c r="S1855" s="2" t="s">
        <v>108</v>
      </c>
      <c r="T1855" s="2"/>
      <c r="U1855" s="2" t="str">
        <f t="shared" si="88"/>
        <v>Not Required</v>
      </c>
      <c r="V1855" s="2" t="s">
        <v>4822</v>
      </c>
    </row>
    <row r="1856" spans="1:22" hidden="1" x14ac:dyDescent="0.3">
      <c r="A1856" s="2" t="s">
        <v>4823</v>
      </c>
      <c r="B1856" s="12">
        <f t="shared" si="87"/>
        <v>46238</v>
      </c>
      <c r="C1856" s="13" t="s">
        <v>148</v>
      </c>
      <c r="D1856" s="2" t="s">
        <v>4824</v>
      </c>
      <c r="E1856" s="2" t="str">
        <f t="shared" si="86"/>
        <v>Email Available</v>
      </c>
      <c r="F1856" s="2" t="s">
        <v>4825</v>
      </c>
      <c r="G1856" s="2" t="s">
        <v>127</v>
      </c>
      <c r="H1856" s="2" t="s">
        <v>81</v>
      </c>
      <c r="I1856" s="2" t="s">
        <v>128</v>
      </c>
      <c r="J1856" s="2">
        <v>1</v>
      </c>
      <c r="K1856" s="2">
        <v>13.99</v>
      </c>
      <c r="L1856" s="2" t="s">
        <v>67</v>
      </c>
      <c r="M1856" s="2">
        <v>1.4</v>
      </c>
      <c r="N1856" s="2">
        <v>7.99</v>
      </c>
      <c r="O1856" s="2">
        <v>20.58</v>
      </c>
      <c r="P1856" s="2" t="s">
        <v>51</v>
      </c>
      <c r="Q1856" s="2" t="s">
        <v>28</v>
      </c>
      <c r="R1856" s="2" t="s">
        <v>42</v>
      </c>
      <c r="S1856" s="2" t="s">
        <v>228</v>
      </c>
      <c r="T1856" s="2"/>
      <c r="U1856" s="2" t="str">
        <f t="shared" si="88"/>
        <v>Not Required</v>
      </c>
      <c r="V1856" s="2" t="s">
        <v>4826</v>
      </c>
    </row>
    <row r="1857" spans="1:22" hidden="1" x14ac:dyDescent="0.3">
      <c r="A1857" s="2" t="s">
        <v>4827</v>
      </c>
      <c r="B1857" s="12">
        <f t="shared" si="87"/>
        <v>46238.579382581018</v>
      </c>
      <c r="C1857" s="13">
        <v>46238.579382581018</v>
      </c>
      <c r="D1857" s="2" t="s">
        <v>1645</v>
      </c>
      <c r="E1857" s="2" t="str">
        <f t="shared" si="86"/>
        <v>Email Available</v>
      </c>
      <c r="F1857" s="2" t="s">
        <v>1553</v>
      </c>
      <c r="G1857" s="2" t="s">
        <v>241</v>
      </c>
      <c r="H1857" s="2" t="s">
        <v>242</v>
      </c>
      <c r="I1857" s="2" t="s">
        <v>243</v>
      </c>
      <c r="J1857" s="2">
        <v>4</v>
      </c>
      <c r="K1857" s="2">
        <v>27.99</v>
      </c>
      <c r="L1857" s="2" t="s">
        <v>67</v>
      </c>
      <c r="M1857" s="2" t="s">
        <v>4828</v>
      </c>
      <c r="N1857" s="2">
        <v>0</v>
      </c>
      <c r="O1857" s="2">
        <v>100.76</v>
      </c>
      <c r="P1857" s="2" t="s">
        <v>27</v>
      </c>
      <c r="Q1857" s="2" t="s">
        <v>90</v>
      </c>
      <c r="R1857" s="2" t="s">
        <v>29</v>
      </c>
      <c r="S1857" s="2" t="s">
        <v>75</v>
      </c>
      <c r="T1857" s="2"/>
      <c r="U1857" s="2" t="str">
        <f t="shared" si="88"/>
        <v>Not Required</v>
      </c>
      <c r="V1857" s="2" t="s">
        <v>4829</v>
      </c>
    </row>
    <row r="1858" spans="1:22" hidden="1" x14ac:dyDescent="0.3">
      <c r="A1858" s="2" t="s">
        <v>4830</v>
      </c>
      <c r="B1858" s="12">
        <f t="shared" si="87"/>
        <v>46238.579296759257</v>
      </c>
      <c r="C1858" s="13">
        <v>46238.579296759257</v>
      </c>
      <c r="D1858" s="2" t="s">
        <v>896</v>
      </c>
      <c r="E1858" s="2" t="str">
        <f t="shared" si="86"/>
        <v>Email Available</v>
      </c>
      <c r="F1858" s="2" t="s">
        <v>897</v>
      </c>
      <c r="G1858" s="2" t="s">
        <v>1779</v>
      </c>
      <c r="H1858" s="2" t="s">
        <v>49</v>
      </c>
      <c r="I1858" s="2" t="s">
        <v>453</v>
      </c>
      <c r="J1858" s="2">
        <v>1</v>
      </c>
      <c r="K1858" s="2">
        <v>14.99</v>
      </c>
      <c r="L1858" s="2"/>
      <c r="M1858" s="2">
        <v>0</v>
      </c>
      <c r="N1858" s="2">
        <v>5.99</v>
      </c>
      <c r="O1858" s="2">
        <v>20.98</v>
      </c>
      <c r="P1858" s="2" t="s">
        <v>74</v>
      </c>
      <c r="Q1858" s="2" t="s">
        <v>41</v>
      </c>
      <c r="R1858" s="2" t="s">
        <v>99</v>
      </c>
      <c r="S1858" s="2" t="s">
        <v>337</v>
      </c>
      <c r="T1858" s="2"/>
      <c r="U1858" s="2" t="str">
        <f t="shared" si="88"/>
        <v>Not Required</v>
      </c>
      <c r="V1858" s="2" t="s">
        <v>4831</v>
      </c>
    </row>
    <row r="1859" spans="1:22" hidden="1" x14ac:dyDescent="0.3">
      <c r="A1859" s="2" t="s">
        <v>4832</v>
      </c>
      <c r="B1859" s="12">
        <f t="shared" si="87"/>
        <v>46238.587080949073</v>
      </c>
      <c r="C1859" s="13">
        <v>46238.587080949073</v>
      </c>
      <c r="D1859" s="2" t="s">
        <v>4833</v>
      </c>
      <c r="E1859" s="2" t="str">
        <f t="shared" ref="E1859:E1922" si="89">IF(TRIM(F1859)="","Missing Email","Email Available")</f>
        <v>Email Available</v>
      </c>
      <c r="F1859" s="2" t="s">
        <v>3408</v>
      </c>
      <c r="G1859" s="2" t="s">
        <v>157</v>
      </c>
      <c r="H1859" s="2" t="s">
        <v>37</v>
      </c>
      <c r="I1859" s="2" t="s">
        <v>158</v>
      </c>
      <c r="J1859" s="2">
        <v>1</v>
      </c>
      <c r="K1859" s="2">
        <v>29.99</v>
      </c>
      <c r="L1859" s="2"/>
      <c r="M1859" s="2">
        <v>0</v>
      </c>
      <c r="N1859" s="2">
        <v>4.99</v>
      </c>
      <c r="O1859" s="2">
        <v>34.979999999999997</v>
      </c>
      <c r="P1859" s="2" t="s">
        <v>68</v>
      </c>
      <c r="Q1859" s="2" t="s">
        <v>28</v>
      </c>
      <c r="R1859" s="2" t="s">
        <v>52</v>
      </c>
      <c r="S1859" s="2" t="s">
        <v>337</v>
      </c>
      <c r="T1859" s="2"/>
      <c r="U1859" s="2" t="str">
        <f t="shared" si="88"/>
        <v>Not Required</v>
      </c>
      <c r="V1859" s="2" t="s">
        <v>4671</v>
      </c>
    </row>
    <row r="1860" spans="1:22" hidden="1" x14ac:dyDescent="0.3">
      <c r="A1860" s="2" t="s">
        <v>4834</v>
      </c>
      <c r="B1860" s="12">
        <f t="shared" si="87"/>
        <v>46238.586123831017</v>
      </c>
      <c r="C1860" s="13">
        <v>46238.586123831017</v>
      </c>
      <c r="D1860" s="2" t="s">
        <v>236</v>
      </c>
      <c r="E1860" s="2" t="str">
        <f t="shared" si="89"/>
        <v>Email Available</v>
      </c>
      <c r="F1860" s="2" t="s">
        <v>1026</v>
      </c>
      <c r="G1860" s="2" t="s">
        <v>105</v>
      </c>
      <c r="H1860" s="2" t="s">
        <v>106</v>
      </c>
      <c r="I1860" s="2" t="s">
        <v>107</v>
      </c>
      <c r="J1860" s="2">
        <v>2</v>
      </c>
      <c r="K1860" s="2" t="s">
        <v>458</v>
      </c>
      <c r="L1860" s="2"/>
      <c r="M1860" s="2">
        <v>0</v>
      </c>
      <c r="N1860" s="2">
        <v>7.99</v>
      </c>
      <c r="O1860" s="2">
        <v>47.97</v>
      </c>
      <c r="P1860" s="2" t="s">
        <v>40</v>
      </c>
      <c r="Q1860" s="2" t="s">
        <v>114</v>
      </c>
      <c r="R1860" s="2" t="s">
        <v>52</v>
      </c>
      <c r="S1860" s="2" t="s">
        <v>43</v>
      </c>
      <c r="T1860" s="2"/>
      <c r="U1860" s="2" t="str">
        <f t="shared" si="88"/>
        <v>Not Required</v>
      </c>
      <c r="V1860" s="2" t="s">
        <v>4835</v>
      </c>
    </row>
    <row r="1861" spans="1:22" hidden="1" x14ac:dyDescent="0.3">
      <c r="A1861" s="2" t="s">
        <v>4836</v>
      </c>
      <c r="B1861" s="12">
        <f t="shared" si="87"/>
        <v>46238.581054328701</v>
      </c>
      <c r="C1861" s="13">
        <v>46238.581054328701</v>
      </c>
      <c r="D1861" s="2" t="s">
        <v>1215</v>
      </c>
      <c r="E1861" s="2" t="str">
        <f t="shared" si="89"/>
        <v>Email Available</v>
      </c>
      <c r="F1861" s="2" t="s">
        <v>1216</v>
      </c>
      <c r="G1861" s="2" t="s">
        <v>87</v>
      </c>
      <c r="H1861" s="2" t="s">
        <v>88</v>
      </c>
      <c r="I1861" s="2" t="s">
        <v>89</v>
      </c>
      <c r="J1861" s="2">
        <v>1</v>
      </c>
      <c r="K1861" s="2">
        <v>54.99</v>
      </c>
      <c r="L1861" s="2"/>
      <c r="M1861" s="2">
        <v>0</v>
      </c>
      <c r="N1861" s="2">
        <v>5.99</v>
      </c>
      <c r="O1861" s="2">
        <v>60.98</v>
      </c>
      <c r="P1861" s="2" t="s">
        <v>74</v>
      </c>
      <c r="Q1861" s="2" t="s">
        <v>114</v>
      </c>
      <c r="R1861" s="2" t="s">
        <v>52</v>
      </c>
      <c r="S1861" s="2" t="s">
        <v>30</v>
      </c>
      <c r="T1861" s="2" t="s">
        <v>1135</v>
      </c>
      <c r="U1861" s="2" t="str">
        <f t="shared" si="88"/>
        <v>Valid</v>
      </c>
      <c r="V1861" s="2" t="s">
        <v>676</v>
      </c>
    </row>
    <row r="1862" spans="1:22" x14ac:dyDescent="0.3">
      <c r="A1862" s="2" t="s">
        <v>4837</v>
      </c>
      <c r="B1862" s="12">
        <f t="shared" si="87"/>
        <v>46238.58343042824</v>
      </c>
      <c r="C1862" s="13">
        <v>46238.58343042824</v>
      </c>
      <c r="D1862" s="2" t="s">
        <v>610</v>
      </c>
      <c r="E1862" s="2" t="str">
        <f t="shared" si="89"/>
        <v>Missing Email</v>
      </c>
      <c r="F1862" s="2"/>
      <c r="G1862" s="2" t="s">
        <v>272</v>
      </c>
      <c r="H1862" s="2" t="s">
        <v>23</v>
      </c>
      <c r="I1862" s="2" t="s">
        <v>273</v>
      </c>
      <c r="J1862" s="2">
        <v>1</v>
      </c>
      <c r="K1862" s="2">
        <v>18.989999999999998</v>
      </c>
      <c r="L1862" s="2" t="s">
        <v>67</v>
      </c>
      <c r="M1862" s="2">
        <v>1.9</v>
      </c>
      <c r="N1862" s="2">
        <v>4.99</v>
      </c>
      <c r="O1862" s="2">
        <v>22.08</v>
      </c>
      <c r="P1862" s="2" t="s">
        <v>51</v>
      </c>
      <c r="Q1862" s="2" t="s">
        <v>28</v>
      </c>
      <c r="R1862" s="2" t="s">
        <v>52</v>
      </c>
      <c r="S1862" s="2" t="s">
        <v>43</v>
      </c>
      <c r="T1862" s="2"/>
      <c r="U1862" s="2" t="str">
        <f t="shared" si="88"/>
        <v>Not Required</v>
      </c>
      <c r="V1862" s="2" t="s">
        <v>4838</v>
      </c>
    </row>
    <row r="1863" spans="1:22" hidden="1" x14ac:dyDescent="0.3">
      <c r="A1863" s="2" t="s">
        <v>4839</v>
      </c>
      <c r="B1863" s="12">
        <f t="shared" si="87"/>
        <v>46238.586439247687</v>
      </c>
      <c r="C1863" s="13">
        <v>46238.586439247687</v>
      </c>
      <c r="D1863" s="2" t="s">
        <v>1475</v>
      </c>
      <c r="E1863" s="2" t="str">
        <f t="shared" si="89"/>
        <v>Email Available</v>
      </c>
      <c r="F1863" s="2" t="s">
        <v>1298</v>
      </c>
      <c r="G1863" s="2" t="s">
        <v>133</v>
      </c>
      <c r="H1863" s="2" t="s">
        <v>106</v>
      </c>
      <c r="I1863" s="2" t="s">
        <v>134</v>
      </c>
      <c r="J1863" s="2">
        <v>3</v>
      </c>
      <c r="K1863" s="2">
        <v>16.989999999999998</v>
      </c>
      <c r="L1863" s="2" t="s">
        <v>39</v>
      </c>
      <c r="M1863" s="2">
        <v>0</v>
      </c>
      <c r="N1863" s="2">
        <v>0</v>
      </c>
      <c r="O1863" s="2">
        <v>50.97</v>
      </c>
      <c r="P1863" s="2" t="s">
        <v>27</v>
      </c>
      <c r="Q1863" s="2" t="s">
        <v>41</v>
      </c>
      <c r="R1863" s="2" t="s">
        <v>52</v>
      </c>
      <c r="S1863" s="2" t="s">
        <v>30</v>
      </c>
      <c r="T1863" s="2" t="s">
        <v>454</v>
      </c>
      <c r="U1863" s="2" t="str">
        <f t="shared" si="88"/>
        <v>Valid</v>
      </c>
      <c r="V1863" s="2" t="s">
        <v>4840</v>
      </c>
    </row>
    <row r="1864" spans="1:22" x14ac:dyDescent="0.3">
      <c r="A1864" s="2" t="s">
        <v>4841</v>
      </c>
      <c r="B1864" s="12">
        <f t="shared" si="87"/>
        <v>46238.58302395833</v>
      </c>
      <c r="C1864" s="13">
        <v>46238.58302395833</v>
      </c>
      <c r="D1864" s="2" t="s">
        <v>1510</v>
      </c>
      <c r="E1864" s="2" t="str">
        <f t="shared" si="89"/>
        <v>Missing Email</v>
      </c>
      <c r="F1864" s="2"/>
      <c r="G1864" s="2" t="s">
        <v>120</v>
      </c>
      <c r="H1864" s="2" t="s">
        <v>23</v>
      </c>
      <c r="I1864" s="2" t="s">
        <v>24</v>
      </c>
      <c r="J1864" s="2">
        <v>1</v>
      </c>
      <c r="K1864" s="2">
        <v>12.99</v>
      </c>
      <c r="L1864" s="2" t="s">
        <v>121</v>
      </c>
      <c r="M1864" s="2">
        <v>3.25</v>
      </c>
      <c r="N1864" s="2">
        <v>5.99</v>
      </c>
      <c r="O1864" s="2" t="s">
        <v>1182</v>
      </c>
      <c r="P1864" s="2" t="s">
        <v>74</v>
      </c>
      <c r="Q1864" s="2" t="s">
        <v>28</v>
      </c>
      <c r="R1864" s="2" t="s">
        <v>99</v>
      </c>
      <c r="S1864" s="2" t="s">
        <v>43</v>
      </c>
      <c r="T1864" s="2"/>
      <c r="U1864" s="2" t="str">
        <f t="shared" si="88"/>
        <v>Not Required</v>
      </c>
      <c r="V1864" s="2" t="s">
        <v>4842</v>
      </c>
    </row>
    <row r="1865" spans="1:22" hidden="1" x14ac:dyDescent="0.3">
      <c r="A1865" s="2" t="s">
        <v>4843</v>
      </c>
      <c r="B1865" s="12">
        <f t="shared" si="87"/>
        <v>46238.580875520827</v>
      </c>
      <c r="C1865" s="13">
        <v>46238.580875520827</v>
      </c>
      <c r="D1865" s="2" t="s">
        <v>3004</v>
      </c>
      <c r="E1865" s="2" t="str">
        <f t="shared" si="89"/>
        <v>Email Available</v>
      </c>
      <c r="F1865" s="2" t="s">
        <v>1947</v>
      </c>
      <c r="G1865" s="2" t="s">
        <v>368</v>
      </c>
      <c r="H1865" s="2" t="s">
        <v>88</v>
      </c>
      <c r="I1865" s="2" t="s">
        <v>369</v>
      </c>
      <c r="J1865" s="2">
        <v>1</v>
      </c>
      <c r="K1865" s="2">
        <v>54.99</v>
      </c>
      <c r="L1865" s="2"/>
      <c r="M1865" s="2">
        <v>0</v>
      </c>
      <c r="N1865" s="2">
        <v>7.99</v>
      </c>
      <c r="O1865" s="2">
        <v>62.98</v>
      </c>
      <c r="P1865" s="2" t="s">
        <v>68</v>
      </c>
      <c r="Q1865" s="2" t="s">
        <v>114</v>
      </c>
      <c r="R1865" s="2" t="s">
        <v>42</v>
      </c>
      <c r="S1865" s="2" t="s">
        <v>30</v>
      </c>
      <c r="T1865" s="2" t="s">
        <v>145</v>
      </c>
      <c r="U1865" s="2" t="str">
        <f t="shared" si="88"/>
        <v>Valid</v>
      </c>
      <c r="V1865" s="2" t="s">
        <v>4844</v>
      </c>
    </row>
    <row r="1866" spans="1:22" hidden="1" x14ac:dyDescent="0.3">
      <c r="A1866" s="2" t="s">
        <v>4845</v>
      </c>
      <c r="B1866" s="12">
        <f t="shared" si="87"/>
        <v>46238.584297048612</v>
      </c>
      <c r="C1866" s="13">
        <v>46238.584297048612</v>
      </c>
      <c r="D1866" s="2" t="s">
        <v>1612</v>
      </c>
      <c r="E1866" s="2" t="str">
        <f t="shared" si="89"/>
        <v>Email Available</v>
      </c>
      <c r="F1866" s="2" t="s">
        <v>1613</v>
      </c>
      <c r="G1866" s="2" t="s">
        <v>241</v>
      </c>
      <c r="H1866" s="2" t="s">
        <v>242</v>
      </c>
      <c r="I1866" s="2" t="s">
        <v>243</v>
      </c>
      <c r="J1866" s="2">
        <v>2</v>
      </c>
      <c r="K1866" s="2" t="s">
        <v>1532</v>
      </c>
      <c r="L1866" s="2" t="s">
        <v>39</v>
      </c>
      <c r="M1866" s="2">
        <v>0</v>
      </c>
      <c r="N1866" s="2">
        <v>0</v>
      </c>
      <c r="O1866" s="2">
        <v>55.98</v>
      </c>
      <c r="P1866" s="2" t="s">
        <v>27</v>
      </c>
      <c r="Q1866" s="2" t="s">
        <v>90</v>
      </c>
      <c r="R1866" s="2" t="s">
        <v>52</v>
      </c>
      <c r="S1866" s="2" t="s">
        <v>337</v>
      </c>
      <c r="T1866" s="2"/>
      <c r="U1866" s="2" t="str">
        <f t="shared" si="88"/>
        <v>Not Required</v>
      </c>
      <c r="V1866" s="2" t="s">
        <v>4846</v>
      </c>
    </row>
    <row r="1867" spans="1:22" x14ac:dyDescent="0.3">
      <c r="A1867" s="2" t="s">
        <v>4847</v>
      </c>
      <c r="B1867" s="12">
        <f t="shared" si="87"/>
        <v>46238.587747997677</v>
      </c>
      <c r="C1867" s="13">
        <v>46238.587747997677</v>
      </c>
      <c r="D1867" s="2" t="s">
        <v>354</v>
      </c>
      <c r="E1867" s="2" t="str">
        <f t="shared" si="89"/>
        <v>Missing Email</v>
      </c>
      <c r="F1867" s="2"/>
      <c r="G1867" s="2" t="s">
        <v>36</v>
      </c>
      <c r="H1867" s="2" t="s">
        <v>37</v>
      </c>
      <c r="I1867" s="2" t="s">
        <v>38</v>
      </c>
      <c r="J1867" s="2">
        <v>1</v>
      </c>
      <c r="K1867" s="2">
        <v>21.99</v>
      </c>
      <c r="L1867" s="2"/>
      <c r="M1867" s="2">
        <v>0</v>
      </c>
      <c r="N1867" s="2">
        <v>7.99</v>
      </c>
      <c r="O1867" s="2">
        <v>29.98</v>
      </c>
      <c r="P1867" s="2" t="s">
        <v>40</v>
      </c>
      <c r="Q1867" s="2" t="s">
        <v>90</v>
      </c>
      <c r="R1867" s="2" t="s">
        <v>52</v>
      </c>
      <c r="S1867" s="2" t="s">
        <v>228</v>
      </c>
      <c r="T1867" s="2"/>
      <c r="U1867" s="2" t="str">
        <f t="shared" si="88"/>
        <v>Not Required</v>
      </c>
      <c r="V1867" s="2" t="s">
        <v>4848</v>
      </c>
    </row>
    <row r="1868" spans="1:22" hidden="1" x14ac:dyDescent="0.3">
      <c r="A1868" s="2" t="s">
        <v>4849</v>
      </c>
      <c r="B1868" s="12">
        <f t="shared" si="87"/>
        <v>46238.581238125</v>
      </c>
      <c r="C1868" s="13">
        <v>46238.581238125</v>
      </c>
      <c r="D1868" s="2" t="s">
        <v>1089</v>
      </c>
      <c r="E1868" s="2" t="str">
        <f t="shared" si="89"/>
        <v>Email Available</v>
      </c>
      <c r="F1868" s="2" t="s">
        <v>595</v>
      </c>
      <c r="G1868" s="2" t="s">
        <v>48</v>
      </c>
      <c r="H1868" s="2" t="s">
        <v>49</v>
      </c>
      <c r="I1868" s="2" t="s">
        <v>50</v>
      </c>
      <c r="J1868" s="2">
        <v>1</v>
      </c>
      <c r="K1868" s="2">
        <v>39.99</v>
      </c>
      <c r="L1868" s="2"/>
      <c r="M1868" s="2" t="s">
        <v>189</v>
      </c>
      <c r="N1868" s="2">
        <v>4.99</v>
      </c>
      <c r="O1868" s="2">
        <v>44.98</v>
      </c>
      <c r="P1868" s="2" t="s">
        <v>40</v>
      </c>
      <c r="Q1868" s="2" t="s">
        <v>114</v>
      </c>
      <c r="R1868" s="2" t="s">
        <v>52</v>
      </c>
      <c r="S1868" s="2" t="s">
        <v>30</v>
      </c>
      <c r="T1868" s="2" t="s">
        <v>60</v>
      </c>
      <c r="U1868" s="2" t="str">
        <f t="shared" si="88"/>
        <v>Valid</v>
      </c>
      <c r="V1868" s="2" t="s">
        <v>4850</v>
      </c>
    </row>
    <row r="1869" spans="1:22" hidden="1" x14ac:dyDescent="0.3">
      <c r="A1869" s="2" t="s">
        <v>4851</v>
      </c>
      <c r="B1869" s="12">
        <f t="shared" si="87"/>
        <v>46238.582536909722</v>
      </c>
      <c r="C1869" s="13">
        <v>46238.582536909722</v>
      </c>
      <c r="D1869" s="2" t="s">
        <v>2478</v>
      </c>
      <c r="E1869" s="2" t="str">
        <f t="shared" si="89"/>
        <v>Email Available</v>
      </c>
      <c r="F1869" s="2" t="s">
        <v>2479</v>
      </c>
      <c r="G1869" s="2" t="s">
        <v>226</v>
      </c>
      <c r="H1869" s="2" t="s">
        <v>23</v>
      </c>
      <c r="I1869" s="2" t="s">
        <v>227</v>
      </c>
      <c r="J1869" s="2">
        <v>1</v>
      </c>
      <c r="K1869" s="2" t="s">
        <v>708</v>
      </c>
      <c r="L1869" s="2"/>
      <c r="M1869" s="2">
        <v>0</v>
      </c>
      <c r="N1869" s="2">
        <v>7.99</v>
      </c>
      <c r="O1869" s="2" t="s">
        <v>2465</v>
      </c>
      <c r="P1869" s="2" t="s">
        <v>74</v>
      </c>
      <c r="Q1869" s="2" t="s">
        <v>90</v>
      </c>
      <c r="R1869" s="2" t="s">
        <v>42</v>
      </c>
      <c r="S1869" s="2" t="s">
        <v>108</v>
      </c>
      <c r="T1869" s="2"/>
      <c r="U1869" s="2" t="str">
        <f t="shared" si="88"/>
        <v>Not Required</v>
      </c>
      <c r="V1869" s="2" t="s">
        <v>4852</v>
      </c>
    </row>
    <row r="1870" spans="1:22" hidden="1" x14ac:dyDescent="0.3">
      <c r="A1870" s="2" t="s">
        <v>4853</v>
      </c>
      <c r="B1870" s="12">
        <f t="shared" si="87"/>
        <v>46238</v>
      </c>
      <c r="C1870" s="13" t="s">
        <v>148</v>
      </c>
      <c r="D1870" s="2" t="s">
        <v>1131</v>
      </c>
      <c r="E1870" s="2" t="str">
        <f t="shared" si="89"/>
        <v>Email Available</v>
      </c>
      <c r="F1870" s="2" t="s">
        <v>1132</v>
      </c>
      <c r="G1870" s="2" t="s">
        <v>171</v>
      </c>
      <c r="H1870" s="2" t="s">
        <v>106</v>
      </c>
      <c r="I1870" s="2" t="s">
        <v>172</v>
      </c>
      <c r="J1870" s="2">
        <v>1</v>
      </c>
      <c r="K1870" s="2">
        <v>32.99</v>
      </c>
      <c r="L1870" s="2" t="s">
        <v>39</v>
      </c>
      <c r="M1870" s="2">
        <v>0</v>
      </c>
      <c r="N1870" s="2">
        <v>0</v>
      </c>
      <c r="O1870" s="2">
        <v>32.99</v>
      </c>
      <c r="P1870" s="2" t="s">
        <v>51</v>
      </c>
      <c r="Q1870" s="2" t="s">
        <v>28</v>
      </c>
      <c r="R1870" s="2" t="s">
        <v>52</v>
      </c>
      <c r="S1870" s="2" t="s">
        <v>337</v>
      </c>
      <c r="T1870" s="2"/>
      <c r="U1870" s="2" t="str">
        <f t="shared" si="88"/>
        <v>Not Required</v>
      </c>
      <c r="V1870" s="2" t="s">
        <v>4854</v>
      </c>
    </row>
    <row r="1871" spans="1:22" hidden="1" x14ac:dyDescent="0.3">
      <c r="A1871" s="2" t="s">
        <v>4855</v>
      </c>
      <c r="B1871" s="12">
        <f t="shared" si="87"/>
        <v>46238</v>
      </c>
      <c r="C1871" s="13" t="s">
        <v>2780</v>
      </c>
      <c r="D1871" s="2" t="s">
        <v>662</v>
      </c>
      <c r="E1871" s="2" t="str">
        <f t="shared" si="89"/>
        <v>Email Available</v>
      </c>
      <c r="F1871" s="2" t="s">
        <v>663</v>
      </c>
      <c r="G1871" s="2" t="s">
        <v>4856</v>
      </c>
      <c r="H1871" s="2" t="s">
        <v>88</v>
      </c>
      <c r="I1871" s="2" t="s">
        <v>89</v>
      </c>
      <c r="J1871" s="2">
        <v>1</v>
      </c>
      <c r="K1871" s="2">
        <v>54.99</v>
      </c>
      <c r="L1871" s="2"/>
      <c r="M1871" s="2">
        <v>0</v>
      </c>
      <c r="N1871" s="2">
        <v>7.99</v>
      </c>
      <c r="O1871" s="2">
        <v>62.98</v>
      </c>
      <c r="P1871" s="2" t="s">
        <v>51</v>
      </c>
      <c r="Q1871" s="2" t="s">
        <v>41</v>
      </c>
      <c r="R1871" s="2" t="s">
        <v>29</v>
      </c>
      <c r="S1871" s="2" t="s">
        <v>30</v>
      </c>
      <c r="T1871" s="2" t="s">
        <v>145</v>
      </c>
      <c r="U1871" s="2" t="str">
        <f t="shared" si="88"/>
        <v>Valid</v>
      </c>
      <c r="V1871" s="2" t="s">
        <v>4857</v>
      </c>
    </row>
    <row r="1872" spans="1:22" hidden="1" x14ac:dyDescent="0.3">
      <c r="A1872" s="2" t="s">
        <v>4858</v>
      </c>
      <c r="B1872" s="12">
        <f t="shared" si="87"/>
        <v>46238.581663263889</v>
      </c>
      <c r="C1872" s="13">
        <v>46238.581663263889</v>
      </c>
      <c r="D1872" s="2"/>
      <c r="E1872" s="2" t="str">
        <f t="shared" si="89"/>
        <v>Email Available</v>
      </c>
      <c r="F1872" s="2" t="s">
        <v>95</v>
      </c>
      <c r="G1872" s="2" t="s">
        <v>80</v>
      </c>
      <c r="H1872" s="2" t="s">
        <v>81</v>
      </c>
      <c r="I1872" s="2" t="s">
        <v>82</v>
      </c>
      <c r="J1872" s="2">
        <v>1</v>
      </c>
      <c r="K1872" s="2">
        <v>89.99</v>
      </c>
      <c r="L1872" s="2"/>
      <c r="M1872" s="2">
        <v>0</v>
      </c>
      <c r="N1872" s="2">
        <v>0</v>
      </c>
      <c r="O1872" s="2">
        <v>89.99</v>
      </c>
      <c r="P1872" s="2" t="s">
        <v>68</v>
      </c>
      <c r="Q1872" s="2" t="s">
        <v>28</v>
      </c>
      <c r="R1872" s="2" t="s">
        <v>52</v>
      </c>
      <c r="S1872" s="2" t="s">
        <v>43</v>
      </c>
      <c r="T1872" s="2"/>
      <c r="U1872" s="2" t="str">
        <f t="shared" si="88"/>
        <v>Not Required</v>
      </c>
      <c r="V1872" s="2" t="s">
        <v>4859</v>
      </c>
    </row>
    <row r="1873" spans="1:22" hidden="1" x14ac:dyDescent="0.3">
      <c r="A1873" s="2" t="s">
        <v>4860</v>
      </c>
      <c r="B1873" s="12">
        <f t="shared" si="87"/>
        <v>46120</v>
      </c>
      <c r="C1873" s="13" t="s">
        <v>142</v>
      </c>
      <c r="D1873" s="2" t="s">
        <v>1843</v>
      </c>
      <c r="E1873" s="2" t="str">
        <f t="shared" si="89"/>
        <v>Email Available</v>
      </c>
      <c r="F1873" s="2" t="s">
        <v>1844</v>
      </c>
      <c r="G1873" s="2" t="s">
        <v>171</v>
      </c>
      <c r="H1873" s="2" t="s">
        <v>106</v>
      </c>
      <c r="I1873" s="2" t="s">
        <v>172</v>
      </c>
      <c r="J1873" s="2">
        <v>1</v>
      </c>
      <c r="K1873" s="2">
        <v>32.99</v>
      </c>
      <c r="L1873" s="2"/>
      <c r="M1873" s="2">
        <v>0</v>
      </c>
      <c r="N1873" s="2">
        <v>5.99</v>
      </c>
      <c r="O1873" s="2">
        <v>38.979999999999997</v>
      </c>
      <c r="P1873" s="2" t="s">
        <v>68</v>
      </c>
      <c r="Q1873" s="2" t="s">
        <v>28</v>
      </c>
      <c r="R1873" s="2" t="s">
        <v>52</v>
      </c>
      <c r="S1873" s="2" t="s">
        <v>30</v>
      </c>
      <c r="T1873" s="2" t="s">
        <v>60</v>
      </c>
      <c r="U1873" s="2" t="str">
        <f t="shared" si="88"/>
        <v>Valid</v>
      </c>
      <c r="V1873" s="2" t="s">
        <v>4861</v>
      </c>
    </row>
    <row r="1874" spans="1:22" hidden="1" x14ac:dyDescent="0.3">
      <c r="A1874" s="2" t="s">
        <v>4862</v>
      </c>
      <c r="B1874" s="12">
        <f t="shared" si="87"/>
        <v>46238</v>
      </c>
      <c r="C1874" s="13" t="s">
        <v>1209</v>
      </c>
      <c r="D1874" s="2" t="s">
        <v>993</v>
      </c>
      <c r="E1874" s="2" t="str">
        <f t="shared" si="89"/>
        <v>Email Available</v>
      </c>
      <c r="F1874" s="2" t="s">
        <v>678</v>
      </c>
      <c r="G1874" s="2" t="s">
        <v>315</v>
      </c>
      <c r="H1874" s="2" t="s">
        <v>37</v>
      </c>
      <c r="I1874" s="2" t="s">
        <v>316</v>
      </c>
      <c r="J1874" s="2">
        <v>1</v>
      </c>
      <c r="K1874" s="2">
        <v>8.99</v>
      </c>
      <c r="L1874" s="2" t="s">
        <v>39</v>
      </c>
      <c r="M1874" s="2">
        <v>0</v>
      </c>
      <c r="N1874" s="2">
        <v>0</v>
      </c>
      <c r="O1874" s="2">
        <v>8.99</v>
      </c>
      <c r="P1874" s="2" t="s">
        <v>68</v>
      </c>
      <c r="Q1874" s="2" t="s">
        <v>41</v>
      </c>
      <c r="R1874" s="2" t="s">
        <v>99</v>
      </c>
      <c r="S1874" s="2" t="s">
        <v>30</v>
      </c>
      <c r="T1874" s="2" t="s">
        <v>69</v>
      </c>
      <c r="U1874" s="2" t="str">
        <f t="shared" si="88"/>
        <v>Valid</v>
      </c>
      <c r="V1874" s="2" t="s">
        <v>4863</v>
      </c>
    </row>
    <row r="1875" spans="1:22" hidden="1" x14ac:dyDescent="0.3">
      <c r="A1875" s="2" t="s">
        <v>4864</v>
      </c>
      <c r="B1875" s="12">
        <f t="shared" si="87"/>
        <v>46238.586699953703</v>
      </c>
      <c r="C1875" s="13">
        <v>46238.586699953703</v>
      </c>
      <c r="D1875" s="2" t="s">
        <v>3479</v>
      </c>
      <c r="E1875" s="2" t="str">
        <f t="shared" si="89"/>
        <v>Email Available</v>
      </c>
      <c r="F1875" s="2" t="s">
        <v>4865</v>
      </c>
      <c r="G1875" s="2" t="s">
        <v>58</v>
      </c>
      <c r="H1875" s="2" t="s">
        <v>23</v>
      </c>
      <c r="I1875" s="2" t="s">
        <v>59</v>
      </c>
      <c r="J1875" s="2">
        <v>1</v>
      </c>
      <c r="K1875" s="2">
        <v>9.99</v>
      </c>
      <c r="L1875" s="2"/>
      <c r="M1875" s="2">
        <v>0</v>
      </c>
      <c r="N1875" s="2">
        <v>5.99</v>
      </c>
      <c r="O1875" s="2">
        <v>15.98</v>
      </c>
      <c r="P1875" s="2" t="s">
        <v>68</v>
      </c>
      <c r="Q1875" s="2" t="s">
        <v>28</v>
      </c>
      <c r="R1875" s="2" t="s">
        <v>52</v>
      </c>
      <c r="S1875" s="2" t="s">
        <v>108</v>
      </c>
      <c r="T1875" s="2"/>
      <c r="U1875" s="2" t="str">
        <f t="shared" si="88"/>
        <v>Not Required</v>
      </c>
      <c r="V1875" s="2" t="s">
        <v>4866</v>
      </c>
    </row>
    <row r="1876" spans="1:22" hidden="1" x14ac:dyDescent="0.3">
      <c r="A1876" s="2" t="s">
        <v>4867</v>
      </c>
      <c r="B1876" s="12">
        <f t="shared" si="87"/>
        <v>46238.580340312503</v>
      </c>
      <c r="C1876" s="13">
        <v>46238.580340312503</v>
      </c>
      <c r="D1876" s="2" t="s">
        <v>2261</v>
      </c>
      <c r="E1876" s="2" t="str">
        <f t="shared" si="89"/>
        <v>Email Available</v>
      </c>
      <c r="F1876" s="2" t="s">
        <v>2262</v>
      </c>
      <c r="G1876" s="2" t="s">
        <v>105</v>
      </c>
      <c r="H1876" s="2" t="s">
        <v>106</v>
      </c>
      <c r="I1876" s="2" t="s">
        <v>107</v>
      </c>
      <c r="J1876" s="2">
        <v>1</v>
      </c>
      <c r="K1876" s="2">
        <v>19.989999999999998</v>
      </c>
      <c r="L1876" s="2"/>
      <c r="M1876" s="2">
        <v>0</v>
      </c>
      <c r="N1876" s="2">
        <v>4.99</v>
      </c>
      <c r="O1876" s="2">
        <v>24.98</v>
      </c>
      <c r="P1876" s="2" t="s">
        <v>40</v>
      </c>
      <c r="Q1876" s="2" t="s">
        <v>28</v>
      </c>
      <c r="R1876" s="2" t="s">
        <v>52</v>
      </c>
      <c r="S1876" s="2" t="s">
        <v>75</v>
      </c>
      <c r="T1876" s="2"/>
      <c r="U1876" s="2" t="str">
        <f t="shared" si="88"/>
        <v>Not Required</v>
      </c>
      <c r="V1876" s="2" t="s">
        <v>4868</v>
      </c>
    </row>
    <row r="1877" spans="1:22" hidden="1" x14ac:dyDescent="0.3">
      <c r="A1877" s="2" t="s">
        <v>4869</v>
      </c>
      <c r="B1877" s="12">
        <f>DATE(VALUE(RIGHT(C1877,4)),MATCH(LEFT(C1877,3),{"Jan","Feb","Mar","Apr","May","Jun","Jul","Aug","Sep","Oct","Nov","Dec"},0),VALUE(MID(C1877,5,2)))</f>
        <v>46238</v>
      </c>
      <c r="C1877" s="13" t="s">
        <v>176</v>
      </c>
      <c r="D1877" s="2" t="s">
        <v>492</v>
      </c>
      <c r="E1877" s="2" t="str">
        <f t="shared" si="89"/>
        <v>Email Available</v>
      </c>
      <c r="F1877" s="2" t="s">
        <v>493</v>
      </c>
      <c r="G1877" s="2" t="s">
        <v>187</v>
      </c>
      <c r="H1877" s="2" t="s">
        <v>37</v>
      </c>
      <c r="I1877" s="2" t="s">
        <v>188</v>
      </c>
      <c r="J1877" s="2">
        <v>1</v>
      </c>
      <c r="K1877" s="2">
        <v>11.99</v>
      </c>
      <c r="L1877" s="2" t="s">
        <v>67</v>
      </c>
      <c r="M1877" s="2">
        <v>1.2</v>
      </c>
      <c r="N1877" s="2">
        <v>7.99</v>
      </c>
      <c r="O1877" s="2">
        <v>18.78</v>
      </c>
      <c r="P1877" s="2" t="s">
        <v>74</v>
      </c>
      <c r="Q1877" s="2" t="s">
        <v>28</v>
      </c>
      <c r="R1877" s="2" t="s">
        <v>52</v>
      </c>
      <c r="S1877" s="2" t="s">
        <v>75</v>
      </c>
      <c r="T1877" s="2"/>
      <c r="U1877" s="2" t="str">
        <f t="shared" si="88"/>
        <v>Not Required</v>
      </c>
      <c r="V1877" s="2" t="s">
        <v>4870</v>
      </c>
    </row>
    <row r="1878" spans="1:22" hidden="1" x14ac:dyDescent="0.3">
      <c r="A1878" s="2" t="s">
        <v>4871</v>
      </c>
      <c r="B1878" s="12">
        <f t="shared" si="87"/>
        <v>46238.587501516202</v>
      </c>
      <c r="C1878" s="13">
        <v>46238.587501516202</v>
      </c>
      <c r="D1878" s="2" t="s">
        <v>331</v>
      </c>
      <c r="E1878" s="2" t="str">
        <f t="shared" si="89"/>
        <v>Email Available</v>
      </c>
      <c r="F1878" s="2" t="s">
        <v>332</v>
      </c>
      <c r="G1878" s="2" t="s">
        <v>206</v>
      </c>
      <c r="H1878" s="2" t="s">
        <v>196</v>
      </c>
      <c r="I1878" s="2" t="s">
        <v>207</v>
      </c>
      <c r="J1878" s="2">
        <v>4</v>
      </c>
      <c r="K1878" s="2">
        <v>24.99</v>
      </c>
      <c r="L1878" s="2" t="s">
        <v>39</v>
      </c>
      <c r="M1878" s="2">
        <v>0</v>
      </c>
      <c r="N1878" s="2">
        <v>0</v>
      </c>
      <c r="O1878" s="2">
        <v>99.96</v>
      </c>
      <c r="P1878" s="2" t="s">
        <v>74</v>
      </c>
      <c r="Q1878" s="2" t="s">
        <v>114</v>
      </c>
      <c r="R1878" s="2" t="s">
        <v>42</v>
      </c>
      <c r="S1878" s="2" t="s">
        <v>30</v>
      </c>
      <c r="T1878" s="2" t="s">
        <v>499</v>
      </c>
      <c r="U1878" s="2" t="str">
        <f t="shared" si="88"/>
        <v>Valid</v>
      </c>
      <c r="V1878" s="2" t="s">
        <v>4872</v>
      </c>
    </row>
    <row r="1879" spans="1:22" hidden="1" x14ac:dyDescent="0.3">
      <c r="A1879" s="2" t="s">
        <v>4873</v>
      </c>
      <c r="B1879" s="12">
        <f t="shared" si="87"/>
        <v>46238.580646354167</v>
      </c>
      <c r="C1879" s="13">
        <v>46238.580646354167</v>
      </c>
      <c r="D1879" s="2" t="s">
        <v>4084</v>
      </c>
      <c r="E1879" s="2" t="str">
        <f t="shared" si="89"/>
        <v>Email Available</v>
      </c>
      <c r="F1879" s="2" t="s">
        <v>4085</v>
      </c>
      <c r="G1879" s="2" t="s">
        <v>157</v>
      </c>
      <c r="H1879" s="2" t="s">
        <v>37</v>
      </c>
      <c r="I1879" s="2" t="s">
        <v>158</v>
      </c>
      <c r="J1879" s="2">
        <v>1</v>
      </c>
      <c r="K1879" s="2">
        <v>29.99</v>
      </c>
      <c r="L1879" s="2" t="s">
        <v>208</v>
      </c>
      <c r="M1879" s="2">
        <v>4.5</v>
      </c>
      <c r="N1879" s="2">
        <v>7.99</v>
      </c>
      <c r="O1879" s="2">
        <v>0</v>
      </c>
      <c r="P1879" s="2" t="s">
        <v>51</v>
      </c>
      <c r="Q1879" s="2" t="s">
        <v>90</v>
      </c>
      <c r="R1879" s="2" t="s">
        <v>52</v>
      </c>
      <c r="S1879" s="2" t="s">
        <v>108</v>
      </c>
      <c r="T1879" s="2"/>
      <c r="U1879" s="2" t="str">
        <f t="shared" si="88"/>
        <v>Not Required</v>
      </c>
      <c r="V1879" s="2" t="s">
        <v>4874</v>
      </c>
    </row>
    <row r="1880" spans="1:22" hidden="1" x14ac:dyDescent="0.3">
      <c r="A1880" s="2" t="s">
        <v>4875</v>
      </c>
      <c r="B1880" s="12">
        <f t="shared" si="87"/>
        <v>46238.588121423607</v>
      </c>
      <c r="C1880" s="13">
        <v>46238.588121423607</v>
      </c>
      <c r="D1880" s="2" t="s">
        <v>438</v>
      </c>
      <c r="E1880" s="2" t="str">
        <f t="shared" si="89"/>
        <v>Email Available</v>
      </c>
      <c r="F1880" s="2" t="s">
        <v>439</v>
      </c>
      <c r="G1880" s="2" t="s">
        <v>315</v>
      </c>
      <c r="H1880" s="2" t="s">
        <v>37</v>
      </c>
      <c r="I1880" s="2" t="s">
        <v>316</v>
      </c>
      <c r="J1880" s="2">
        <v>2</v>
      </c>
      <c r="K1880" s="2" t="s">
        <v>2267</v>
      </c>
      <c r="L1880" s="2"/>
      <c r="M1880" s="2">
        <v>0</v>
      </c>
      <c r="N1880" s="2">
        <v>5.99</v>
      </c>
      <c r="O1880" s="2">
        <v>23.97</v>
      </c>
      <c r="P1880" s="2" t="s">
        <v>68</v>
      </c>
      <c r="Q1880" s="2" t="s">
        <v>28</v>
      </c>
      <c r="R1880" s="2" t="s">
        <v>29</v>
      </c>
      <c r="S1880" s="2" t="s">
        <v>108</v>
      </c>
      <c r="T1880" s="2"/>
      <c r="U1880" s="2" t="str">
        <f t="shared" si="88"/>
        <v>Not Required</v>
      </c>
      <c r="V1880" s="2" t="s">
        <v>4876</v>
      </c>
    </row>
    <row r="1881" spans="1:22" hidden="1" x14ac:dyDescent="0.3">
      <c r="A1881" s="2" t="s">
        <v>4877</v>
      </c>
      <c r="B1881" s="12">
        <f t="shared" si="87"/>
        <v>46238.588109976852</v>
      </c>
      <c r="C1881" s="13">
        <v>46238.588109976852</v>
      </c>
      <c r="D1881" s="2" t="s">
        <v>118</v>
      </c>
      <c r="E1881" s="2" t="str">
        <f t="shared" si="89"/>
        <v>Email Available</v>
      </c>
      <c r="F1881" s="2" t="s">
        <v>1199</v>
      </c>
      <c r="G1881" s="2" t="s">
        <v>151</v>
      </c>
      <c r="H1881" s="2" t="s">
        <v>49</v>
      </c>
      <c r="I1881" s="2" t="s">
        <v>152</v>
      </c>
      <c r="J1881" s="2">
        <v>1</v>
      </c>
      <c r="K1881" s="2">
        <v>34.99</v>
      </c>
      <c r="L1881" s="2" t="s">
        <v>121</v>
      </c>
      <c r="M1881" s="2" t="s">
        <v>4141</v>
      </c>
      <c r="N1881" s="2">
        <v>4.99</v>
      </c>
      <c r="O1881" s="2">
        <v>31.23</v>
      </c>
      <c r="P1881" s="2" t="s">
        <v>74</v>
      </c>
      <c r="Q1881" s="2" t="s">
        <v>28</v>
      </c>
      <c r="R1881" s="2" t="s">
        <v>29</v>
      </c>
      <c r="S1881" s="2" t="s">
        <v>108</v>
      </c>
      <c r="T1881" s="2"/>
      <c r="U1881" s="2" t="str">
        <f t="shared" si="88"/>
        <v>Not Required</v>
      </c>
      <c r="V1881" s="2" t="s">
        <v>4878</v>
      </c>
    </row>
    <row r="1882" spans="1:22" hidden="1" x14ac:dyDescent="0.3">
      <c r="A1882" s="2" t="s">
        <v>4879</v>
      </c>
      <c r="B1882" s="12">
        <f t="shared" si="87"/>
        <v>46238.585043634259</v>
      </c>
      <c r="C1882" s="13">
        <v>46238.585043634259</v>
      </c>
      <c r="D1882" s="2" t="s">
        <v>2069</v>
      </c>
      <c r="E1882" s="2" t="str">
        <f t="shared" si="89"/>
        <v>Email Available</v>
      </c>
      <c r="F1882" s="2" t="s">
        <v>3195</v>
      </c>
      <c r="G1882" s="2" t="s">
        <v>112</v>
      </c>
      <c r="H1882" s="2" t="s">
        <v>81</v>
      </c>
      <c r="I1882" s="2" t="s">
        <v>113</v>
      </c>
      <c r="J1882" s="2">
        <v>1</v>
      </c>
      <c r="K1882" s="2">
        <v>22.99</v>
      </c>
      <c r="L1882" s="2" t="s">
        <v>121</v>
      </c>
      <c r="M1882" s="2">
        <v>5.75</v>
      </c>
      <c r="N1882" s="2">
        <v>4.99</v>
      </c>
      <c r="O1882" s="2" t="s">
        <v>1589</v>
      </c>
      <c r="P1882" s="2" t="s">
        <v>27</v>
      </c>
      <c r="Q1882" s="2" t="s">
        <v>28</v>
      </c>
      <c r="R1882" s="2" t="s">
        <v>52</v>
      </c>
      <c r="S1882" s="2" t="s">
        <v>108</v>
      </c>
      <c r="T1882" s="2"/>
      <c r="U1882" s="2" t="str">
        <f t="shared" si="88"/>
        <v>Not Required</v>
      </c>
      <c r="V1882" s="2" t="s">
        <v>4880</v>
      </c>
    </row>
    <row r="1883" spans="1:22" hidden="1" x14ac:dyDescent="0.3">
      <c r="A1883" s="2" t="s">
        <v>4881</v>
      </c>
      <c r="B1883" s="12">
        <f t="shared" si="87"/>
        <v>46238.586564467587</v>
      </c>
      <c r="C1883" s="13">
        <v>46238.586564467587</v>
      </c>
      <c r="D1883" s="2" t="s">
        <v>662</v>
      </c>
      <c r="E1883" s="2" t="str">
        <f t="shared" si="89"/>
        <v>Email Available</v>
      </c>
      <c r="F1883" s="2" t="s">
        <v>663</v>
      </c>
      <c r="G1883" s="2" t="s">
        <v>157</v>
      </c>
      <c r="H1883" s="2" t="s">
        <v>37</v>
      </c>
      <c r="I1883" s="2" t="s">
        <v>158</v>
      </c>
      <c r="J1883" s="2">
        <v>1</v>
      </c>
      <c r="K1883" s="2">
        <v>29.99</v>
      </c>
      <c r="L1883" s="2"/>
      <c r="M1883" s="2">
        <v>0</v>
      </c>
      <c r="N1883" s="2">
        <v>5.99</v>
      </c>
      <c r="O1883" s="2">
        <v>35.979999999999997</v>
      </c>
      <c r="P1883" s="2" t="s">
        <v>51</v>
      </c>
      <c r="Q1883" s="2" t="s">
        <v>28</v>
      </c>
      <c r="R1883" s="2" t="s">
        <v>52</v>
      </c>
      <c r="S1883" s="2" t="s">
        <v>30</v>
      </c>
      <c r="T1883" s="2" t="s">
        <v>454</v>
      </c>
      <c r="U1883" s="2" t="str">
        <f t="shared" si="88"/>
        <v>Valid</v>
      </c>
      <c r="V1883" s="2" t="s">
        <v>4882</v>
      </c>
    </row>
    <row r="1884" spans="1:22" hidden="1" x14ac:dyDescent="0.3">
      <c r="A1884" s="2" t="s">
        <v>4883</v>
      </c>
      <c r="B1884" s="12">
        <f t="shared" si="87"/>
        <v>46238</v>
      </c>
      <c r="C1884" s="13" t="s">
        <v>1214</v>
      </c>
      <c r="D1884" s="2" t="s">
        <v>1189</v>
      </c>
      <c r="E1884" s="2" t="str">
        <f t="shared" si="89"/>
        <v>Email Available</v>
      </c>
      <c r="F1884" s="2" t="s">
        <v>1190</v>
      </c>
      <c r="G1884" s="2" t="s">
        <v>80</v>
      </c>
      <c r="H1884" s="2" t="s">
        <v>81</v>
      </c>
      <c r="I1884" s="2" t="s">
        <v>82</v>
      </c>
      <c r="J1884" s="2">
        <v>1</v>
      </c>
      <c r="K1884" s="2">
        <v>89.99</v>
      </c>
      <c r="L1884" s="2"/>
      <c r="M1884" s="2" t="s">
        <v>189</v>
      </c>
      <c r="N1884" s="2">
        <v>0</v>
      </c>
      <c r="O1884" s="2">
        <v>89.99</v>
      </c>
      <c r="P1884" s="2" t="s">
        <v>40</v>
      </c>
      <c r="Q1884" s="2" t="s">
        <v>90</v>
      </c>
      <c r="R1884" s="2" t="s">
        <v>52</v>
      </c>
      <c r="S1884" s="2" t="s">
        <v>43</v>
      </c>
      <c r="T1884" s="2"/>
      <c r="U1884" s="2" t="str">
        <f t="shared" si="88"/>
        <v>Not Required</v>
      </c>
      <c r="V1884" s="2" t="s">
        <v>4884</v>
      </c>
    </row>
    <row r="1885" spans="1:22" hidden="1" x14ac:dyDescent="0.3">
      <c r="A1885" s="2" t="s">
        <v>4885</v>
      </c>
      <c r="B1885" s="12">
        <f t="shared" si="87"/>
        <v>46120</v>
      </c>
      <c r="C1885" s="13" t="s">
        <v>142</v>
      </c>
      <c r="D1885" s="2" t="s">
        <v>354</v>
      </c>
      <c r="E1885" s="2" t="str">
        <f t="shared" si="89"/>
        <v>Email Available</v>
      </c>
      <c r="F1885" s="2" t="s">
        <v>355</v>
      </c>
      <c r="G1885" s="2" t="s">
        <v>4886</v>
      </c>
      <c r="H1885" s="2" t="s">
        <v>196</v>
      </c>
      <c r="I1885" s="2" t="s">
        <v>207</v>
      </c>
      <c r="J1885" s="2">
        <v>1</v>
      </c>
      <c r="K1885" s="2">
        <v>24.99</v>
      </c>
      <c r="L1885" s="2"/>
      <c r="M1885" s="2">
        <v>0</v>
      </c>
      <c r="N1885" s="2">
        <v>5.99</v>
      </c>
      <c r="O1885" s="2">
        <v>30.98</v>
      </c>
      <c r="P1885" s="2" t="s">
        <v>68</v>
      </c>
      <c r="Q1885" s="2" t="s">
        <v>114</v>
      </c>
      <c r="R1885" s="2" t="s">
        <v>52</v>
      </c>
      <c r="S1885" s="2" t="s">
        <v>228</v>
      </c>
      <c r="T1885" s="2"/>
      <c r="U1885" s="2" t="str">
        <f t="shared" si="88"/>
        <v>Not Required</v>
      </c>
      <c r="V1885" s="2" t="s">
        <v>4887</v>
      </c>
    </row>
    <row r="1886" spans="1:22" hidden="1" x14ac:dyDescent="0.3">
      <c r="A1886" s="2" t="s">
        <v>4888</v>
      </c>
      <c r="B1886" s="12">
        <f t="shared" si="87"/>
        <v>46238.582317731481</v>
      </c>
      <c r="C1886" s="13">
        <v>46238.582317731481</v>
      </c>
      <c r="D1886" s="2" t="s">
        <v>4473</v>
      </c>
      <c r="E1886" s="2" t="str">
        <f t="shared" si="89"/>
        <v>Email Available</v>
      </c>
      <c r="F1886" s="2" t="s">
        <v>4474</v>
      </c>
      <c r="G1886" s="2" t="s">
        <v>157</v>
      </c>
      <c r="H1886" s="2" t="s">
        <v>37</v>
      </c>
      <c r="I1886" s="2" t="s">
        <v>158</v>
      </c>
      <c r="J1886" s="2">
        <v>1</v>
      </c>
      <c r="K1886" s="2">
        <v>29.99</v>
      </c>
      <c r="L1886" s="2"/>
      <c r="M1886" s="2" t="s">
        <v>189</v>
      </c>
      <c r="N1886" s="2">
        <v>4.99</v>
      </c>
      <c r="O1886" s="2">
        <v>34.979999999999997</v>
      </c>
      <c r="P1886" s="2" t="s">
        <v>27</v>
      </c>
      <c r="Q1886" s="2" t="s">
        <v>28</v>
      </c>
      <c r="R1886" s="2" t="s">
        <v>52</v>
      </c>
      <c r="S1886" s="2" t="s">
        <v>228</v>
      </c>
      <c r="T1886" s="2"/>
      <c r="U1886" s="2" t="str">
        <f t="shared" si="88"/>
        <v>Not Required</v>
      </c>
      <c r="V1886" s="2" t="s">
        <v>4889</v>
      </c>
    </row>
    <row r="1887" spans="1:22" hidden="1" x14ac:dyDescent="0.3">
      <c r="A1887" s="2" t="s">
        <v>4890</v>
      </c>
      <c r="B1887" s="12">
        <f t="shared" si="87"/>
        <v>46238.585230081022</v>
      </c>
      <c r="C1887" s="13">
        <v>46238.585230081022</v>
      </c>
      <c r="D1887" s="2" t="s">
        <v>4891</v>
      </c>
      <c r="E1887" s="2" t="str">
        <f t="shared" si="89"/>
        <v>Email Available</v>
      </c>
      <c r="F1887" s="2" t="s">
        <v>4892</v>
      </c>
      <c r="G1887" s="2" t="s">
        <v>65</v>
      </c>
      <c r="H1887" s="2" t="s">
        <v>49</v>
      </c>
      <c r="I1887" s="2" t="s">
        <v>66</v>
      </c>
      <c r="J1887" s="2">
        <v>1</v>
      </c>
      <c r="K1887" s="2">
        <v>14.99</v>
      </c>
      <c r="L1887" s="2"/>
      <c r="M1887" s="2">
        <v>0</v>
      </c>
      <c r="N1887" s="2">
        <v>7.99</v>
      </c>
      <c r="O1887" s="2">
        <v>22.98</v>
      </c>
      <c r="P1887" s="2" t="s">
        <v>27</v>
      </c>
      <c r="Q1887" s="2" t="s">
        <v>90</v>
      </c>
      <c r="R1887" s="2" t="s">
        <v>42</v>
      </c>
      <c r="S1887" s="2" t="s">
        <v>30</v>
      </c>
      <c r="T1887" s="2" t="s">
        <v>60</v>
      </c>
      <c r="U1887" s="2" t="str">
        <f t="shared" si="88"/>
        <v>Valid</v>
      </c>
      <c r="V1887" s="2" t="s">
        <v>4893</v>
      </c>
    </row>
    <row r="1888" spans="1:22" hidden="1" x14ac:dyDescent="0.3">
      <c r="A1888" s="2" t="s">
        <v>4894</v>
      </c>
      <c r="B1888" s="12">
        <f t="shared" si="87"/>
        <v>46238.587925381937</v>
      </c>
      <c r="C1888" s="13">
        <v>46238.587925381937</v>
      </c>
      <c r="D1888" s="2" t="s">
        <v>4895</v>
      </c>
      <c r="E1888" s="2" t="str">
        <f t="shared" si="89"/>
        <v>Email Available</v>
      </c>
      <c r="F1888" s="2" t="s">
        <v>4896</v>
      </c>
      <c r="G1888" s="2" t="s">
        <v>157</v>
      </c>
      <c r="H1888" s="2" t="s">
        <v>37</v>
      </c>
      <c r="I1888" s="2" t="s">
        <v>158</v>
      </c>
      <c r="J1888" s="2">
        <v>1</v>
      </c>
      <c r="K1888" s="2">
        <v>29.99</v>
      </c>
      <c r="L1888" s="2" t="s">
        <v>121</v>
      </c>
      <c r="M1888" s="2">
        <v>7.5</v>
      </c>
      <c r="N1888" s="2">
        <v>4.99</v>
      </c>
      <c r="O1888" s="2">
        <v>27.48</v>
      </c>
      <c r="P1888" s="2" t="s">
        <v>74</v>
      </c>
      <c r="Q1888" s="2" t="s">
        <v>28</v>
      </c>
      <c r="R1888" s="2" t="s">
        <v>99</v>
      </c>
      <c r="S1888" s="2" t="s">
        <v>30</v>
      </c>
      <c r="T1888" s="2" t="s">
        <v>145</v>
      </c>
      <c r="U1888" s="2" t="str">
        <f t="shared" si="88"/>
        <v>Valid</v>
      </c>
      <c r="V1888" s="2" t="s">
        <v>4897</v>
      </c>
    </row>
    <row r="1889" spans="1:22" hidden="1" x14ac:dyDescent="0.3">
      <c r="A1889" s="2" t="s">
        <v>4898</v>
      </c>
      <c r="B1889" s="12">
        <f t="shared" si="87"/>
        <v>46238.579327766201</v>
      </c>
      <c r="C1889" s="13">
        <v>46238.579327766201</v>
      </c>
      <c r="D1889" s="2" t="s">
        <v>1459</v>
      </c>
      <c r="E1889" s="2" t="str">
        <f t="shared" si="89"/>
        <v>Email Available</v>
      </c>
      <c r="F1889" s="2" t="s">
        <v>1460</v>
      </c>
      <c r="G1889" s="2" t="s">
        <v>36</v>
      </c>
      <c r="H1889" s="2" t="s">
        <v>37</v>
      </c>
      <c r="I1889" s="2" t="s">
        <v>38</v>
      </c>
      <c r="J1889" s="2">
        <v>1</v>
      </c>
      <c r="K1889" s="2">
        <v>21.99</v>
      </c>
      <c r="L1889" s="2" t="s">
        <v>67</v>
      </c>
      <c r="M1889" s="2">
        <v>2.2000000000000002</v>
      </c>
      <c r="N1889" s="2">
        <v>5.99</v>
      </c>
      <c r="O1889" s="2">
        <v>25.78</v>
      </c>
      <c r="P1889" s="2" t="s">
        <v>40</v>
      </c>
      <c r="Q1889" s="2" t="s">
        <v>28</v>
      </c>
      <c r="R1889" s="2" t="s">
        <v>42</v>
      </c>
      <c r="S1889" s="2" t="s">
        <v>30</v>
      </c>
      <c r="T1889" s="2" t="s">
        <v>69</v>
      </c>
      <c r="U1889" s="2" t="str">
        <f t="shared" si="88"/>
        <v>Valid</v>
      </c>
      <c r="V1889" s="2" t="s">
        <v>4899</v>
      </c>
    </row>
    <row r="1890" spans="1:22" hidden="1" x14ac:dyDescent="0.3">
      <c r="A1890" s="2" t="s">
        <v>4900</v>
      </c>
      <c r="B1890" s="12">
        <f t="shared" si="87"/>
        <v>46238.58721996528</v>
      </c>
      <c r="C1890" s="13">
        <v>46238.58721996528</v>
      </c>
      <c r="D1890" s="2" t="s">
        <v>4901</v>
      </c>
      <c r="E1890" s="2" t="str">
        <f t="shared" si="89"/>
        <v>Email Available</v>
      </c>
      <c r="F1890" s="2" t="s">
        <v>867</v>
      </c>
      <c r="G1890" s="2" t="s">
        <v>105</v>
      </c>
      <c r="H1890" s="2" t="s">
        <v>106</v>
      </c>
      <c r="I1890" s="2" t="s">
        <v>107</v>
      </c>
      <c r="J1890" s="2">
        <v>1</v>
      </c>
      <c r="K1890" s="2">
        <v>19.989999999999998</v>
      </c>
      <c r="L1890" s="2" t="s">
        <v>121</v>
      </c>
      <c r="M1890" s="2">
        <v>5</v>
      </c>
      <c r="N1890" s="2">
        <v>4.99</v>
      </c>
      <c r="O1890" s="2">
        <v>19.98</v>
      </c>
      <c r="P1890" s="2" t="s">
        <v>27</v>
      </c>
      <c r="Q1890" s="2" t="s">
        <v>41</v>
      </c>
      <c r="R1890" s="2" t="s">
        <v>52</v>
      </c>
      <c r="S1890" s="2" t="s">
        <v>108</v>
      </c>
      <c r="T1890" s="2"/>
      <c r="U1890" s="2" t="str">
        <f t="shared" si="88"/>
        <v>Not Required</v>
      </c>
      <c r="V1890" s="2" t="s">
        <v>4902</v>
      </c>
    </row>
    <row r="1891" spans="1:22" hidden="1" x14ac:dyDescent="0.3">
      <c r="A1891" s="2" t="s">
        <v>4906</v>
      </c>
      <c r="B1891" s="12">
        <f t="shared" si="87"/>
        <v>46238.579915983799</v>
      </c>
      <c r="C1891" s="13">
        <v>46238.579915983799</v>
      </c>
      <c r="D1891" s="2" t="s">
        <v>72</v>
      </c>
      <c r="E1891" s="2" t="str">
        <f t="shared" si="89"/>
        <v>Email Available</v>
      </c>
      <c r="F1891" s="2" t="s">
        <v>73</v>
      </c>
      <c r="G1891" s="2" t="s">
        <v>157</v>
      </c>
      <c r="H1891" s="2" t="s">
        <v>37</v>
      </c>
      <c r="I1891" s="2" t="s">
        <v>158</v>
      </c>
      <c r="J1891" s="2">
        <v>1</v>
      </c>
      <c r="K1891" s="2">
        <v>29.99</v>
      </c>
      <c r="L1891" s="2" t="s">
        <v>39</v>
      </c>
      <c r="M1891" s="2">
        <v>0</v>
      </c>
      <c r="N1891" s="2">
        <v>0</v>
      </c>
      <c r="O1891" s="2">
        <v>29.99</v>
      </c>
      <c r="P1891" s="2" t="s">
        <v>74</v>
      </c>
      <c r="Q1891" s="2" t="s">
        <v>28</v>
      </c>
      <c r="R1891" s="2" t="s">
        <v>29</v>
      </c>
      <c r="S1891" s="2" t="s">
        <v>75</v>
      </c>
      <c r="T1891" s="2"/>
      <c r="U1891" s="2" t="str">
        <f t="shared" si="88"/>
        <v>Not Required</v>
      </c>
      <c r="V1891" s="2" t="s">
        <v>4907</v>
      </c>
    </row>
    <row r="1892" spans="1:22" hidden="1" x14ac:dyDescent="0.3">
      <c r="A1892" s="2" t="s">
        <v>4908</v>
      </c>
      <c r="B1892" s="12">
        <f t="shared" si="87"/>
        <v>46238.58711832176</v>
      </c>
      <c r="C1892" s="13">
        <v>46238.58711832176</v>
      </c>
      <c r="D1892" s="2" t="s">
        <v>3823</v>
      </c>
      <c r="E1892" s="2" t="str">
        <f t="shared" si="89"/>
        <v>Email Available</v>
      </c>
      <c r="F1892" s="2" t="s">
        <v>3824</v>
      </c>
      <c r="G1892" s="2" t="s">
        <v>65</v>
      </c>
      <c r="H1892" s="2" t="s">
        <v>49</v>
      </c>
      <c r="I1892" s="2" t="s">
        <v>66</v>
      </c>
      <c r="J1892" s="2">
        <v>1</v>
      </c>
      <c r="K1892" s="2">
        <v>14.99</v>
      </c>
      <c r="L1892" s="2" t="s">
        <v>208</v>
      </c>
      <c r="M1892" s="2">
        <v>2.25</v>
      </c>
      <c r="N1892" s="2">
        <v>7.99</v>
      </c>
      <c r="O1892" s="2">
        <v>20.73</v>
      </c>
      <c r="P1892" s="2" t="s">
        <v>51</v>
      </c>
      <c r="Q1892" s="2" t="s">
        <v>28</v>
      </c>
      <c r="R1892" s="2" t="s">
        <v>52</v>
      </c>
      <c r="S1892" s="2" t="s">
        <v>30</v>
      </c>
      <c r="T1892" s="2" t="s">
        <v>347</v>
      </c>
      <c r="U1892" s="2" t="str">
        <f t="shared" si="88"/>
        <v>Valid</v>
      </c>
      <c r="V1892" s="2" t="s">
        <v>4909</v>
      </c>
    </row>
    <row r="1893" spans="1:22" hidden="1" x14ac:dyDescent="0.3">
      <c r="A1893" s="2" t="s">
        <v>4910</v>
      </c>
      <c r="B1893" s="12">
        <f t="shared" si="87"/>
        <v>46238.585982314813</v>
      </c>
      <c r="C1893" s="13">
        <v>46238.585982314813</v>
      </c>
      <c r="D1893" s="2" t="s">
        <v>1839</v>
      </c>
      <c r="E1893" s="2" t="str">
        <f t="shared" si="89"/>
        <v>Email Available</v>
      </c>
      <c r="F1893" s="2" t="s">
        <v>1840</v>
      </c>
      <c r="G1893" s="2" t="s">
        <v>96</v>
      </c>
      <c r="H1893" s="2" t="s">
        <v>88</v>
      </c>
      <c r="I1893" s="2" t="s">
        <v>89</v>
      </c>
      <c r="J1893" s="2">
        <v>1</v>
      </c>
      <c r="K1893" s="2">
        <v>54.99</v>
      </c>
      <c r="L1893" s="2" t="s">
        <v>67</v>
      </c>
      <c r="M1893" s="2">
        <v>5.5</v>
      </c>
      <c r="N1893" s="2">
        <v>7.99</v>
      </c>
      <c r="O1893" s="2">
        <v>57.48</v>
      </c>
      <c r="P1893" s="2" t="s">
        <v>40</v>
      </c>
      <c r="Q1893" s="2" t="s">
        <v>41</v>
      </c>
      <c r="R1893" s="2" t="s">
        <v>52</v>
      </c>
      <c r="S1893" s="2" t="s">
        <v>108</v>
      </c>
      <c r="T1893" s="2"/>
      <c r="U1893" s="2" t="str">
        <f t="shared" si="88"/>
        <v>Not Required</v>
      </c>
      <c r="V1893" s="2" t="s">
        <v>4911</v>
      </c>
    </row>
    <row r="1894" spans="1:22" hidden="1" x14ac:dyDescent="0.3">
      <c r="A1894" s="2" t="s">
        <v>4912</v>
      </c>
      <c r="B1894" s="12">
        <f t="shared" si="87"/>
        <v>46238</v>
      </c>
      <c r="C1894" s="13" t="s">
        <v>1037</v>
      </c>
      <c r="D1894" s="2" t="s">
        <v>276</v>
      </c>
      <c r="E1894" s="2" t="str">
        <f t="shared" si="89"/>
        <v>Email Available</v>
      </c>
      <c r="F1894" s="2" t="s">
        <v>277</v>
      </c>
      <c r="G1894" s="2" t="s">
        <v>1178</v>
      </c>
      <c r="H1894" s="2" t="s">
        <v>242</v>
      </c>
      <c r="I1894" s="2" t="s">
        <v>243</v>
      </c>
      <c r="J1894" s="2">
        <v>1</v>
      </c>
      <c r="K1894" s="2">
        <v>27.99</v>
      </c>
      <c r="L1894" s="2"/>
      <c r="M1894" s="2">
        <v>0</v>
      </c>
      <c r="N1894" s="2">
        <v>7.99</v>
      </c>
      <c r="O1894" s="2">
        <v>35.979999999999997</v>
      </c>
      <c r="P1894" s="2" t="s">
        <v>68</v>
      </c>
      <c r="Q1894" s="2" t="s">
        <v>114</v>
      </c>
      <c r="R1894" s="2" t="s">
        <v>52</v>
      </c>
      <c r="S1894" s="2" t="s">
        <v>43</v>
      </c>
      <c r="T1894" s="2"/>
      <c r="U1894" s="2" t="str">
        <f t="shared" si="88"/>
        <v>Not Required</v>
      </c>
      <c r="V1894" s="2" t="s">
        <v>4913</v>
      </c>
    </row>
    <row r="1895" spans="1:22" hidden="1" x14ac:dyDescent="0.3">
      <c r="A1895" s="2" t="s">
        <v>4914</v>
      </c>
      <c r="B1895" s="12">
        <f t="shared" si="87"/>
        <v>46238.585088472217</v>
      </c>
      <c r="C1895" s="13">
        <v>46238.585088472217</v>
      </c>
      <c r="D1895" s="2" t="s">
        <v>1482</v>
      </c>
      <c r="E1895" s="2" t="str">
        <f t="shared" si="89"/>
        <v>Email Available</v>
      </c>
      <c r="F1895" s="2" t="s">
        <v>1483</v>
      </c>
      <c r="G1895" s="2" t="s">
        <v>157</v>
      </c>
      <c r="H1895" s="2" t="s">
        <v>37</v>
      </c>
      <c r="I1895" s="2" t="s">
        <v>158</v>
      </c>
      <c r="J1895" s="2">
        <v>2</v>
      </c>
      <c r="K1895" s="2">
        <v>29.99</v>
      </c>
      <c r="L1895" s="2"/>
      <c r="M1895" s="2">
        <v>0</v>
      </c>
      <c r="N1895" s="2">
        <v>5.99</v>
      </c>
      <c r="O1895" s="2">
        <v>65.97</v>
      </c>
      <c r="P1895" s="2" t="s">
        <v>51</v>
      </c>
      <c r="Q1895" s="2" t="s">
        <v>28</v>
      </c>
      <c r="R1895" s="2" t="s">
        <v>29</v>
      </c>
      <c r="S1895" s="2" t="s">
        <v>75</v>
      </c>
      <c r="T1895" s="2"/>
      <c r="U1895" s="2" t="str">
        <f t="shared" si="88"/>
        <v>Not Required</v>
      </c>
      <c r="V1895" s="2" t="s">
        <v>4915</v>
      </c>
    </row>
    <row r="1896" spans="1:22" hidden="1" x14ac:dyDescent="0.3">
      <c r="A1896" s="2" t="s">
        <v>4916</v>
      </c>
      <c r="B1896" s="12">
        <f t="shared" si="87"/>
        <v>46238.582644444446</v>
      </c>
      <c r="C1896" s="13">
        <v>46238.582644444446</v>
      </c>
      <c r="D1896" s="2" t="s">
        <v>1747</v>
      </c>
      <c r="E1896" s="2" t="str">
        <f t="shared" si="89"/>
        <v>Email Available</v>
      </c>
      <c r="F1896" s="2" t="s">
        <v>1748</v>
      </c>
      <c r="G1896" s="2" t="s">
        <v>284</v>
      </c>
      <c r="H1896" s="2" t="s">
        <v>23</v>
      </c>
      <c r="I1896" s="2" t="s">
        <v>285</v>
      </c>
      <c r="J1896" s="2">
        <v>1</v>
      </c>
      <c r="K1896" s="2">
        <v>24.99</v>
      </c>
      <c r="L1896" s="2" t="s">
        <v>39</v>
      </c>
      <c r="M1896" s="2">
        <v>0</v>
      </c>
      <c r="N1896" s="2">
        <v>0</v>
      </c>
      <c r="O1896" s="2">
        <v>24.99</v>
      </c>
      <c r="P1896" s="2" t="s">
        <v>68</v>
      </c>
      <c r="Q1896" s="2" t="s">
        <v>114</v>
      </c>
      <c r="R1896" s="2" t="s">
        <v>52</v>
      </c>
      <c r="S1896" s="2" t="s">
        <v>30</v>
      </c>
      <c r="T1896" s="2" t="s">
        <v>91</v>
      </c>
      <c r="U1896" s="2" t="str">
        <f t="shared" si="88"/>
        <v>Valid</v>
      </c>
      <c r="V1896" s="2" t="s">
        <v>4917</v>
      </c>
    </row>
    <row r="1897" spans="1:22" hidden="1" x14ac:dyDescent="0.3">
      <c r="A1897" s="2" t="s">
        <v>4918</v>
      </c>
      <c r="B1897" s="12">
        <f t="shared" si="87"/>
        <v>46238.585984386576</v>
      </c>
      <c r="C1897" s="13">
        <v>46238.585984386576</v>
      </c>
      <c r="D1897" s="2" t="s">
        <v>2868</v>
      </c>
      <c r="E1897" s="2" t="str">
        <f t="shared" si="89"/>
        <v>Email Available</v>
      </c>
      <c r="F1897" s="2" t="s">
        <v>2869</v>
      </c>
      <c r="G1897" s="2" t="s">
        <v>120</v>
      </c>
      <c r="H1897" s="2" t="s">
        <v>23</v>
      </c>
      <c r="I1897" s="2" t="s">
        <v>24</v>
      </c>
      <c r="J1897" s="2">
        <v>1</v>
      </c>
      <c r="K1897" s="2">
        <v>12.99</v>
      </c>
      <c r="L1897" s="2" t="s">
        <v>121</v>
      </c>
      <c r="M1897" s="2">
        <v>3.25</v>
      </c>
      <c r="N1897" s="2">
        <v>5.99</v>
      </c>
      <c r="O1897" s="2">
        <v>15.73</v>
      </c>
      <c r="P1897" s="2" t="s">
        <v>74</v>
      </c>
      <c r="Q1897" s="2" t="s">
        <v>28</v>
      </c>
      <c r="R1897" s="2" t="s">
        <v>29</v>
      </c>
      <c r="S1897" s="2" t="s">
        <v>30</v>
      </c>
      <c r="T1897" s="2" t="s">
        <v>69</v>
      </c>
      <c r="U1897" s="2" t="str">
        <f t="shared" si="88"/>
        <v>Valid</v>
      </c>
      <c r="V1897" s="2" t="s">
        <v>4919</v>
      </c>
    </row>
    <row r="1898" spans="1:22" hidden="1" x14ac:dyDescent="0.3">
      <c r="A1898" s="2" t="s">
        <v>4920</v>
      </c>
      <c r="B1898" s="12">
        <f t="shared" si="87"/>
        <v>46238.58004148148</v>
      </c>
      <c r="C1898" s="13">
        <v>46238.58004148148</v>
      </c>
      <c r="D1898" s="2" t="s">
        <v>1475</v>
      </c>
      <c r="E1898" s="2" t="str">
        <f t="shared" si="89"/>
        <v>Email Available</v>
      </c>
      <c r="F1898" s="2" t="s">
        <v>1298</v>
      </c>
      <c r="G1898" s="2" t="s">
        <v>241</v>
      </c>
      <c r="H1898" s="2" t="s">
        <v>242</v>
      </c>
      <c r="I1898" s="2" t="s">
        <v>243</v>
      </c>
      <c r="J1898" s="2">
        <v>1</v>
      </c>
      <c r="K1898" s="2">
        <v>27.99</v>
      </c>
      <c r="L1898" s="2" t="s">
        <v>39</v>
      </c>
      <c r="M1898" s="2">
        <v>0</v>
      </c>
      <c r="N1898" s="2">
        <v>0</v>
      </c>
      <c r="O1898" s="2" t="s">
        <v>1532</v>
      </c>
      <c r="P1898" s="2" t="s">
        <v>68</v>
      </c>
      <c r="Q1898" s="2" t="s">
        <v>114</v>
      </c>
      <c r="R1898" s="2" t="s">
        <v>52</v>
      </c>
      <c r="S1898" s="2" t="s">
        <v>30</v>
      </c>
      <c r="T1898" s="2" t="s">
        <v>145</v>
      </c>
      <c r="U1898" s="2" t="str">
        <f t="shared" si="88"/>
        <v>Valid</v>
      </c>
      <c r="V1898" s="2" t="s">
        <v>4921</v>
      </c>
    </row>
    <row r="1899" spans="1:22" hidden="1" x14ac:dyDescent="0.3">
      <c r="A1899" s="2" t="s">
        <v>4922</v>
      </c>
      <c r="B1899" s="12">
        <f t="shared" si="87"/>
        <v>46238.579311793983</v>
      </c>
      <c r="C1899" s="13">
        <v>46238.579311793983</v>
      </c>
      <c r="D1899" s="2" t="s">
        <v>424</v>
      </c>
      <c r="E1899" s="2" t="str">
        <f t="shared" si="89"/>
        <v>Email Available</v>
      </c>
      <c r="F1899" s="2" t="s">
        <v>425</v>
      </c>
      <c r="G1899" s="2" t="s">
        <v>120</v>
      </c>
      <c r="H1899" s="2" t="s">
        <v>23</v>
      </c>
      <c r="I1899" s="2" t="s">
        <v>24</v>
      </c>
      <c r="J1899" s="2">
        <v>1</v>
      </c>
      <c r="K1899" s="2">
        <v>12.99</v>
      </c>
      <c r="L1899" s="2"/>
      <c r="M1899" s="2">
        <v>0</v>
      </c>
      <c r="N1899" s="2">
        <v>5.99</v>
      </c>
      <c r="O1899" s="2">
        <v>18.98</v>
      </c>
      <c r="P1899" s="2" t="s">
        <v>74</v>
      </c>
      <c r="Q1899" s="2" t="s">
        <v>28</v>
      </c>
      <c r="R1899" s="2" t="s">
        <v>52</v>
      </c>
      <c r="S1899" s="2" t="s">
        <v>30</v>
      </c>
      <c r="T1899" s="2" t="s">
        <v>248</v>
      </c>
      <c r="U1899" s="2" t="str">
        <f t="shared" si="88"/>
        <v>Valid</v>
      </c>
      <c r="V1899" s="2" t="s">
        <v>4923</v>
      </c>
    </row>
    <row r="1900" spans="1:22" x14ac:dyDescent="0.3">
      <c r="A1900" s="2" t="s">
        <v>4924</v>
      </c>
      <c r="B1900" s="12">
        <f t="shared" si="87"/>
        <v>46238</v>
      </c>
      <c r="C1900" s="13" t="s">
        <v>1037</v>
      </c>
      <c r="D1900" s="2" t="s">
        <v>327</v>
      </c>
      <c r="E1900" s="2" t="str">
        <f t="shared" si="89"/>
        <v>Missing Email</v>
      </c>
      <c r="F1900" s="2"/>
      <c r="G1900" s="2" t="s">
        <v>272</v>
      </c>
      <c r="H1900" s="2" t="s">
        <v>23</v>
      </c>
      <c r="I1900" s="2" t="s">
        <v>273</v>
      </c>
      <c r="J1900" s="2">
        <v>2</v>
      </c>
      <c r="K1900" s="2">
        <v>18.989999999999998</v>
      </c>
      <c r="L1900" s="2"/>
      <c r="M1900" s="2">
        <v>0</v>
      </c>
      <c r="N1900" s="2">
        <v>5.99</v>
      </c>
      <c r="O1900" s="2">
        <v>43.97</v>
      </c>
      <c r="P1900" s="2" t="s">
        <v>40</v>
      </c>
      <c r="Q1900" s="2" t="s">
        <v>114</v>
      </c>
      <c r="R1900" s="2" t="s">
        <v>29</v>
      </c>
      <c r="S1900" s="2" t="s">
        <v>228</v>
      </c>
      <c r="T1900" s="2"/>
      <c r="U1900" s="2" t="str">
        <f t="shared" si="88"/>
        <v>Not Required</v>
      </c>
      <c r="V1900" s="2" t="s">
        <v>4925</v>
      </c>
    </row>
    <row r="1901" spans="1:22" x14ac:dyDescent="0.3">
      <c r="A1901" s="2" t="s">
        <v>4926</v>
      </c>
      <c r="B1901" s="12">
        <f>DATE(VALUE(RIGHT(C1901,4)),MATCH(LEFT(C1901,3),{"Jan","Feb","Mar","Apr","May","Jun","Jul","Aug","Sep","Oct","Nov","Dec"},0),VALUE(MID(C1901,5,2)))</f>
        <v>46238</v>
      </c>
      <c r="C1901" s="13" t="s">
        <v>176</v>
      </c>
      <c r="D1901" s="2" t="s">
        <v>1339</v>
      </c>
      <c r="E1901" s="2" t="str">
        <f t="shared" si="89"/>
        <v>Missing Email</v>
      </c>
      <c r="F1901" s="2"/>
      <c r="G1901" s="2" t="s">
        <v>127</v>
      </c>
      <c r="H1901" s="2" t="s">
        <v>81</v>
      </c>
      <c r="I1901" s="2" t="s">
        <v>128</v>
      </c>
      <c r="J1901" s="2">
        <v>1</v>
      </c>
      <c r="K1901" s="2">
        <v>13.99</v>
      </c>
      <c r="L1901" s="2" t="s">
        <v>25</v>
      </c>
      <c r="M1901" s="2">
        <v>2.8</v>
      </c>
      <c r="N1901" s="2">
        <v>7.99</v>
      </c>
      <c r="O1901" s="2">
        <v>19.18</v>
      </c>
      <c r="P1901" s="2" t="s">
        <v>27</v>
      </c>
      <c r="Q1901" s="2" t="s">
        <v>28</v>
      </c>
      <c r="R1901" s="2" t="s">
        <v>52</v>
      </c>
      <c r="S1901" s="2" t="s">
        <v>43</v>
      </c>
      <c r="T1901" s="2"/>
      <c r="U1901" s="2" t="str">
        <f t="shared" si="88"/>
        <v>Not Required</v>
      </c>
      <c r="V1901" s="2" t="s">
        <v>4927</v>
      </c>
    </row>
    <row r="1902" spans="1:22" hidden="1" x14ac:dyDescent="0.3">
      <c r="A1902" s="2" t="s">
        <v>4930</v>
      </c>
      <c r="B1902" s="12">
        <f t="shared" si="87"/>
        <v>46238.581225462964</v>
      </c>
      <c r="C1902" s="13">
        <v>46238.581225462964</v>
      </c>
      <c r="D1902" s="2" t="s">
        <v>1321</v>
      </c>
      <c r="E1902" s="2" t="str">
        <f t="shared" si="89"/>
        <v>Email Available</v>
      </c>
      <c r="F1902" s="2" t="s">
        <v>1322</v>
      </c>
      <c r="G1902" s="2" t="s">
        <v>112</v>
      </c>
      <c r="H1902" s="2" t="s">
        <v>81</v>
      </c>
      <c r="I1902" s="2" t="s">
        <v>113</v>
      </c>
      <c r="J1902" s="2">
        <v>1</v>
      </c>
      <c r="K1902" s="2" t="s">
        <v>1004</v>
      </c>
      <c r="L1902" s="2" t="s">
        <v>67</v>
      </c>
      <c r="M1902" s="2">
        <v>2.2999999999999998</v>
      </c>
      <c r="N1902" s="2">
        <v>7.99</v>
      </c>
      <c r="O1902" s="2">
        <v>28.68</v>
      </c>
      <c r="P1902" s="2" t="s">
        <v>27</v>
      </c>
      <c r="Q1902" s="2" t="s">
        <v>41</v>
      </c>
      <c r="R1902" s="2" t="s">
        <v>52</v>
      </c>
      <c r="S1902" s="2" t="s">
        <v>30</v>
      </c>
      <c r="T1902" s="2" t="s">
        <v>966</v>
      </c>
      <c r="U1902" s="2" t="str">
        <f t="shared" si="88"/>
        <v>Valid</v>
      </c>
      <c r="V1902" s="2" t="s">
        <v>4931</v>
      </c>
    </row>
    <row r="1903" spans="1:22" hidden="1" x14ac:dyDescent="0.3">
      <c r="A1903" s="2" t="s">
        <v>4932</v>
      </c>
      <c r="B1903" s="12">
        <f t="shared" si="87"/>
        <v>46238.587955150462</v>
      </c>
      <c r="C1903" s="13">
        <v>46238.587955150462</v>
      </c>
      <c r="D1903" s="2" t="s">
        <v>239</v>
      </c>
      <c r="E1903" s="2" t="str">
        <f t="shared" si="89"/>
        <v>Email Available</v>
      </c>
      <c r="F1903" s="2" t="s">
        <v>240</v>
      </c>
      <c r="G1903" s="2" t="s">
        <v>120</v>
      </c>
      <c r="H1903" s="2" t="s">
        <v>23</v>
      </c>
      <c r="I1903" s="2" t="s">
        <v>24</v>
      </c>
      <c r="J1903" s="2">
        <v>3</v>
      </c>
      <c r="K1903" s="2">
        <v>12.99</v>
      </c>
      <c r="L1903" s="2" t="s">
        <v>39</v>
      </c>
      <c r="M1903" s="2">
        <v>0</v>
      </c>
      <c r="N1903" s="2">
        <v>0</v>
      </c>
      <c r="O1903" s="2">
        <v>38.97</v>
      </c>
      <c r="P1903" s="2" t="s">
        <v>51</v>
      </c>
      <c r="Q1903" s="2" t="s">
        <v>90</v>
      </c>
      <c r="R1903" s="2" t="s">
        <v>52</v>
      </c>
      <c r="S1903" s="2" t="s">
        <v>75</v>
      </c>
      <c r="T1903" s="2"/>
      <c r="U1903" s="2" t="str">
        <f t="shared" si="88"/>
        <v>Not Required</v>
      </c>
      <c r="V1903" s="2" t="s">
        <v>3126</v>
      </c>
    </row>
    <row r="1904" spans="1:22" x14ac:dyDescent="0.3">
      <c r="A1904" s="2" t="s">
        <v>4933</v>
      </c>
      <c r="B1904" s="12">
        <f t="shared" si="87"/>
        <v>46238.582291435188</v>
      </c>
      <c r="C1904" s="13">
        <v>46238.582291435188</v>
      </c>
      <c r="D1904" s="2" t="s">
        <v>63</v>
      </c>
      <c r="E1904" s="2" t="str">
        <f t="shared" si="89"/>
        <v>Missing Email</v>
      </c>
      <c r="F1904" s="2"/>
      <c r="G1904" s="2" t="s">
        <v>151</v>
      </c>
      <c r="H1904" s="2" t="s">
        <v>49</v>
      </c>
      <c r="I1904" s="2" t="s">
        <v>152</v>
      </c>
      <c r="J1904" s="2">
        <v>1</v>
      </c>
      <c r="K1904" s="2">
        <v>34.99</v>
      </c>
      <c r="L1904" s="2" t="s">
        <v>67</v>
      </c>
      <c r="M1904" s="2">
        <v>3.5</v>
      </c>
      <c r="N1904" s="2">
        <v>7.99</v>
      </c>
      <c r="O1904" s="2">
        <v>39.479999999999997</v>
      </c>
      <c r="P1904" s="2" t="s">
        <v>74</v>
      </c>
      <c r="Q1904" s="2" t="s">
        <v>28</v>
      </c>
      <c r="R1904" s="2" t="s">
        <v>52</v>
      </c>
      <c r="S1904" s="2" t="s">
        <v>30</v>
      </c>
      <c r="T1904" s="2" t="s">
        <v>53</v>
      </c>
      <c r="U1904" s="2" t="str">
        <f t="shared" si="88"/>
        <v>Valid</v>
      </c>
      <c r="V1904" s="2" t="s">
        <v>4934</v>
      </c>
    </row>
    <row r="1905" spans="1:22" hidden="1" x14ac:dyDescent="0.3">
      <c r="A1905" s="2" t="s">
        <v>4935</v>
      </c>
      <c r="B1905" s="12">
        <f t="shared" si="87"/>
        <v>46238.587134652778</v>
      </c>
      <c r="C1905" s="13">
        <v>46238.587134652778</v>
      </c>
      <c r="D1905" s="2" t="s">
        <v>4936</v>
      </c>
      <c r="E1905" s="2" t="str">
        <f t="shared" si="89"/>
        <v>Email Available</v>
      </c>
      <c r="F1905" s="2" t="s">
        <v>757</v>
      </c>
      <c r="G1905" s="2" t="s">
        <v>187</v>
      </c>
      <c r="H1905" s="2" t="s">
        <v>37</v>
      </c>
      <c r="I1905" s="2" t="s">
        <v>188</v>
      </c>
      <c r="J1905" s="2">
        <v>3</v>
      </c>
      <c r="K1905" s="2">
        <v>11.99</v>
      </c>
      <c r="L1905" s="2"/>
      <c r="M1905" s="2">
        <v>0</v>
      </c>
      <c r="N1905" s="2">
        <v>7.99</v>
      </c>
      <c r="O1905" s="2" t="s">
        <v>4937</v>
      </c>
      <c r="P1905" s="2" t="s">
        <v>27</v>
      </c>
      <c r="Q1905" s="2" t="s">
        <v>28</v>
      </c>
      <c r="R1905" s="2" t="s">
        <v>52</v>
      </c>
      <c r="S1905" s="2" t="s">
        <v>30</v>
      </c>
      <c r="T1905" s="2" t="s">
        <v>115</v>
      </c>
      <c r="U1905" s="2" t="str">
        <f t="shared" si="88"/>
        <v>Valid</v>
      </c>
      <c r="V1905" s="2" t="s">
        <v>4938</v>
      </c>
    </row>
    <row r="1906" spans="1:22" hidden="1" x14ac:dyDescent="0.3">
      <c r="A1906" s="2" t="s">
        <v>4939</v>
      </c>
      <c r="B1906" s="12">
        <f t="shared" si="87"/>
        <v>46238.585359837962</v>
      </c>
      <c r="C1906" s="13">
        <v>46238.585359837962</v>
      </c>
      <c r="D1906" s="2" t="s">
        <v>438</v>
      </c>
      <c r="E1906" s="2" t="str">
        <f t="shared" si="89"/>
        <v>Email Available</v>
      </c>
      <c r="F1906" s="2" t="s">
        <v>439</v>
      </c>
      <c r="G1906" s="2" t="s">
        <v>151</v>
      </c>
      <c r="H1906" s="2" t="s">
        <v>49</v>
      </c>
      <c r="I1906" s="2" t="s">
        <v>152</v>
      </c>
      <c r="J1906" s="2">
        <v>3</v>
      </c>
      <c r="K1906" s="2" t="s">
        <v>346</v>
      </c>
      <c r="L1906" s="2"/>
      <c r="M1906" s="2">
        <v>0</v>
      </c>
      <c r="N1906" s="2">
        <v>0</v>
      </c>
      <c r="O1906" s="2">
        <v>104.97</v>
      </c>
      <c r="P1906" s="2" t="s">
        <v>51</v>
      </c>
      <c r="Q1906" s="2" t="s">
        <v>114</v>
      </c>
      <c r="R1906" s="2" t="s">
        <v>99</v>
      </c>
      <c r="S1906" s="2" t="s">
        <v>108</v>
      </c>
      <c r="T1906" s="2"/>
      <c r="U1906" s="2" t="str">
        <f t="shared" si="88"/>
        <v>Not Required</v>
      </c>
      <c r="V1906" s="2" t="s">
        <v>4940</v>
      </c>
    </row>
    <row r="1907" spans="1:22" hidden="1" x14ac:dyDescent="0.3">
      <c r="A1907" s="2" t="s">
        <v>4941</v>
      </c>
      <c r="B1907" s="12">
        <f t="shared" si="87"/>
        <v>46238.586213194452</v>
      </c>
      <c r="C1907" s="13">
        <v>46238.586213194452</v>
      </c>
      <c r="D1907" s="2" t="s">
        <v>643</v>
      </c>
      <c r="E1907" s="2" t="str">
        <f t="shared" si="89"/>
        <v>Email Available</v>
      </c>
      <c r="F1907" s="2" t="s">
        <v>644</v>
      </c>
      <c r="G1907" s="2" t="s">
        <v>87</v>
      </c>
      <c r="H1907" s="2" t="s">
        <v>88</v>
      </c>
      <c r="I1907" s="2" t="s">
        <v>89</v>
      </c>
      <c r="J1907" s="2">
        <v>1</v>
      </c>
      <c r="K1907" s="2">
        <v>54.99</v>
      </c>
      <c r="L1907" s="2"/>
      <c r="M1907" s="2">
        <v>0</v>
      </c>
      <c r="N1907" s="2">
        <v>5.99</v>
      </c>
      <c r="O1907" s="2">
        <v>60.98</v>
      </c>
      <c r="P1907" s="2" t="s">
        <v>27</v>
      </c>
      <c r="Q1907" s="2" t="s">
        <v>114</v>
      </c>
      <c r="R1907" s="2" t="s">
        <v>52</v>
      </c>
      <c r="S1907" s="2" t="s">
        <v>30</v>
      </c>
      <c r="T1907" s="2" t="s">
        <v>766</v>
      </c>
      <c r="U1907" s="2" t="str">
        <f t="shared" si="88"/>
        <v>Valid</v>
      </c>
      <c r="V1907" s="2" t="s">
        <v>4942</v>
      </c>
    </row>
    <row r="1908" spans="1:22" hidden="1" x14ac:dyDescent="0.3">
      <c r="A1908" s="2" t="s">
        <v>4943</v>
      </c>
      <c r="B1908" s="12">
        <f t="shared" si="87"/>
        <v>46238.584872928237</v>
      </c>
      <c r="C1908" s="13">
        <v>46238.584872928237</v>
      </c>
      <c r="D1908" s="2" t="s">
        <v>2156</v>
      </c>
      <c r="E1908" s="2" t="str">
        <f t="shared" si="89"/>
        <v>Email Available</v>
      </c>
      <c r="F1908" s="2" t="s">
        <v>2157</v>
      </c>
      <c r="G1908" s="2" t="s">
        <v>241</v>
      </c>
      <c r="H1908" s="2" t="s">
        <v>242</v>
      </c>
      <c r="I1908" s="2" t="s">
        <v>243</v>
      </c>
      <c r="J1908" s="2">
        <v>1</v>
      </c>
      <c r="K1908" s="2">
        <v>27.99</v>
      </c>
      <c r="L1908" s="2"/>
      <c r="M1908" s="2">
        <v>0</v>
      </c>
      <c r="N1908" s="2">
        <v>5.99</v>
      </c>
      <c r="O1908" s="2">
        <v>33.979999999999997</v>
      </c>
      <c r="P1908" s="2" t="s">
        <v>51</v>
      </c>
      <c r="Q1908" s="2" t="s">
        <v>90</v>
      </c>
      <c r="R1908" s="2" t="s">
        <v>52</v>
      </c>
      <c r="S1908" s="2" t="s">
        <v>43</v>
      </c>
      <c r="T1908" s="2"/>
      <c r="U1908" s="2" t="str">
        <f t="shared" si="88"/>
        <v>Not Required</v>
      </c>
      <c r="V1908" s="2" t="s">
        <v>4944</v>
      </c>
    </row>
    <row r="1909" spans="1:22" x14ac:dyDescent="0.3">
      <c r="A1909" s="2" t="s">
        <v>4945</v>
      </c>
      <c r="B1909" s="12">
        <f t="shared" si="87"/>
        <v>46238.582341747693</v>
      </c>
      <c r="C1909" s="13">
        <v>46238.582341747693</v>
      </c>
      <c r="D1909" s="2" t="s">
        <v>181</v>
      </c>
      <c r="E1909" s="2" t="str">
        <f t="shared" si="89"/>
        <v>Missing Email</v>
      </c>
      <c r="F1909" s="2"/>
      <c r="G1909" s="2" t="s">
        <v>80</v>
      </c>
      <c r="H1909" s="2" t="s">
        <v>81</v>
      </c>
      <c r="I1909" s="2" t="s">
        <v>82</v>
      </c>
      <c r="J1909" s="2">
        <v>1</v>
      </c>
      <c r="K1909" s="2">
        <v>89.99</v>
      </c>
      <c r="L1909" s="2"/>
      <c r="M1909" s="2">
        <v>0</v>
      </c>
      <c r="N1909" s="2">
        <v>0</v>
      </c>
      <c r="O1909" s="2">
        <v>89.99</v>
      </c>
      <c r="P1909" s="2" t="s">
        <v>74</v>
      </c>
      <c r="Q1909" s="2" t="s">
        <v>41</v>
      </c>
      <c r="R1909" s="2" t="s">
        <v>42</v>
      </c>
      <c r="S1909" s="2" t="s">
        <v>30</v>
      </c>
      <c r="T1909" s="2" t="s">
        <v>115</v>
      </c>
      <c r="U1909" s="2" t="str">
        <f t="shared" si="88"/>
        <v>Valid</v>
      </c>
      <c r="V1909" s="2" t="s">
        <v>4946</v>
      </c>
    </row>
    <row r="1910" spans="1:22" hidden="1" x14ac:dyDescent="0.3">
      <c r="A1910" s="2" t="s">
        <v>4947</v>
      </c>
      <c r="B1910" s="12">
        <f t="shared" si="87"/>
        <v>46238</v>
      </c>
      <c r="C1910" s="13" t="s">
        <v>148</v>
      </c>
      <c r="D1910" s="2" t="s">
        <v>3138</v>
      </c>
      <c r="E1910" s="2" t="str">
        <f t="shared" si="89"/>
        <v>Email Available</v>
      </c>
      <c r="F1910" s="2" t="s">
        <v>3139</v>
      </c>
      <c r="G1910" s="2" t="s">
        <v>80</v>
      </c>
      <c r="H1910" s="2" t="s">
        <v>81</v>
      </c>
      <c r="I1910" s="2" t="s">
        <v>82</v>
      </c>
      <c r="J1910" s="2">
        <v>1</v>
      </c>
      <c r="K1910" s="2" t="s">
        <v>579</v>
      </c>
      <c r="L1910" s="2"/>
      <c r="M1910" s="2">
        <v>0</v>
      </c>
      <c r="N1910" s="2">
        <v>0</v>
      </c>
      <c r="O1910" s="2">
        <v>89.99</v>
      </c>
      <c r="P1910" s="2" t="s">
        <v>51</v>
      </c>
      <c r="Q1910" s="2" t="s">
        <v>90</v>
      </c>
      <c r="R1910" s="2" t="s">
        <v>52</v>
      </c>
      <c r="S1910" s="2" t="s">
        <v>30</v>
      </c>
      <c r="T1910" s="2" t="s">
        <v>347</v>
      </c>
      <c r="U1910" s="2" t="str">
        <f t="shared" si="88"/>
        <v>Valid</v>
      </c>
      <c r="V1910" s="2" t="s">
        <v>4948</v>
      </c>
    </row>
    <row r="1911" spans="1:22" hidden="1" x14ac:dyDescent="0.3">
      <c r="A1911" s="2" t="s">
        <v>4949</v>
      </c>
      <c r="B1911" s="12">
        <f t="shared" si="87"/>
        <v>46238.58757019676</v>
      </c>
      <c r="C1911" s="13">
        <v>46238.58757019676</v>
      </c>
      <c r="D1911" s="2" t="s">
        <v>161</v>
      </c>
      <c r="E1911" s="2" t="str">
        <f t="shared" si="89"/>
        <v>Email Available</v>
      </c>
      <c r="F1911" s="2" t="s">
        <v>162</v>
      </c>
      <c r="G1911" s="2" t="s">
        <v>87</v>
      </c>
      <c r="H1911" s="2" t="s">
        <v>88</v>
      </c>
      <c r="I1911" s="2" t="s">
        <v>89</v>
      </c>
      <c r="J1911" s="2">
        <v>1</v>
      </c>
      <c r="K1911" s="2">
        <v>54.99</v>
      </c>
      <c r="L1911" s="2"/>
      <c r="M1911" s="2">
        <v>0</v>
      </c>
      <c r="N1911" s="2">
        <v>5.99</v>
      </c>
      <c r="O1911" s="2" t="s">
        <v>4543</v>
      </c>
      <c r="P1911" s="2" t="s">
        <v>51</v>
      </c>
      <c r="Q1911" s="2" t="s">
        <v>28</v>
      </c>
      <c r="R1911" s="2" t="s">
        <v>52</v>
      </c>
      <c r="S1911" s="2" t="s">
        <v>108</v>
      </c>
      <c r="T1911" s="2"/>
      <c r="U1911" s="2" t="str">
        <f t="shared" si="88"/>
        <v>Not Required</v>
      </c>
      <c r="V1911" s="2" t="s">
        <v>4950</v>
      </c>
    </row>
    <row r="1912" spans="1:22" hidden="1" x14ac:dyDescent="0.3">
      <c r="A1912" s="2" t="s">
        <v>4951</v>
      </c>
      <c r="B1912" s="12">
        <f t="shared" si="87"/>
        <v>46120</v>
      </c>
      <c r="C1912" s="13" t="s">
        <v>142</v>
      </c>
      <c r="D1912" s="2" t="s">
        <v>1575</v>
      </c>
      <c r="E1912" s="2" t="str">
        <f t="shared" si="89"/>
        <v>Email Available</v>
      </c>
      <c r="F1912" s="2" t="s">
        <v>1576</v>
      </c>
      <c r="G1912" s="2" t="s">
        <v>315</v>
      </c>
      <c r="H1912" s="2" t="s">
        <v>37</v>
      </c>
      <c r="I1912" s="2" t="s">
        <v>316</v>
      </c>
      <c r="J1912" s="2">
        <v>1</v>
      </c>
      <c r="K1912" s="2">
        <v>8.99</v>
      </c>
      <c r="L1912" s="2" t="s">
        <v>39</v>
      </c>
      <c r="M1912" s="2">
        <v>0</v>
      </c>
      <c r="N1912" s="2">
        <v>0</v>
      </c>
      <c r="O1912" s="2">
        <v>8.99</v>
      </c>
      <c r="P1912" s="2" t="s">
        <v>27</v>
      </c>
      <c r="Q1912" s="2" t="s">
        <v>41</v>
      </c>
      <c r="R1912" s="2" t="s">
        <v>42</v>
      </c>
      <c r="S1912" s="2" t="s">
        <v>108</v>
      </c>
      <c r="T1912" s="2"/>
      <c r="U1912" s="2" t="str">
        <f t="shared" si="88"/>
        <v>Not Required</v>
      </c>
      <c r="V1912" s="2" t="s">
        <v>4952</v>
      </c>
    </row>
    <row r="1913" spans="1:22" hidden="1" x14ac:dyDescent="0.3">
      <c r="A1913" s="2" t="s">
        <v>4953</v>
      </c>
      <c r="B1913" s="12">
        <f t="shared" si="87"/>
        <v>46238.582762743063</v>
      </c>
      <c r="C1913" s="13">
        <v>46238.582762743063</v>
      </c>
      <c r="D1913" s="2" t="s">
        <v>769</v>
      </c>
      <c r="E1913" s="2" t="str">
        <f t="shared" si="89"/>
        <v>Email Available</v>
      </c>
      <c r="F1913" s="2" t="s">
        <v>770</v>
      </c>
      <c r="G1913" s="2" t="s">
        <v>206</v>
      </c>
      <c r="H1913" s="2" t="s">
        <v>196</v>
      </c>
      <c r="I1913" s="2" t="s">
        <v>207</v>
      </c>
      <c r="J1913" s="2">
        <v>1</v>
      </c>
      <c r="K1913" s="2">
        <v>24.99</v>
      </c>
      <c r="L1913" s="2" t="s">
        <v>208</v>
      </c>
      <c r="M1913" s="2">
        <v>3.75</v>
      </c>
      <c r="N1913" s="2">
        <v>7.99</v>
      </c>
      <c r="O1913" s="2">
        <v>29.23</v>
      </c>
      <c r="P1913" s="2" t="s">
        <v>74</v>
      </c>
      <c r="Q1913" s="2" t="s">
        <v>28</v>
      </c>
      <c r="R1913" s="2" t="s">
        <v>99</v>
      </c>
      <c r="S1913" s="2" t="s">
        <v>30</v>
      </c>
      <c r="T1913" s="2" t="s">
        <v>31</v>
      </c>
      <c r="U1913" s="2" t="str">
        <f t="shared" si="88"/>
        <v>Valid</v>
      </c>
      <c r="V1913" s="2" t="s">
        <v>3215</v>
      </c>
    </row>
    <row r="1914" spans="1:22" hidden="1" x14ac:dyDescent="0.3">
      <c r="A1914" s="2" t="s">
        <v>4954</v>
      </c>
      <c r="B1914" s="12">
        <f t="shared" si="87"/>
        <v>46238.579306585649</v>
      </c>
      <c r="C1914" s="13">
        <v>46238.579306585649</v>
      </c>
      <c r="D1914" s="2" t="s">
        <v>718</v>
      </c>
      <c r="E1914" s="2" t="str">
        <f t="shared" si="89"/>
        <v>Email Available</v>
      </c>
      <c r="F1914" s="2" t="s">
        <v>719</v>
      </c>
      <c r="G1914" s="2" t="s">
        <v>151</v>
      </c>
      <c r="H1914" s="2" t="s">
        <v>49</v>
      </c>
      <c r="I1914" s="2" t="s">
        <v>152</v>
      </c>
      <c r="J1914" s="2">
        <v>1</v>
      </c>
      <c r="K1914" s="2">
        <v>34.99</v>
      </c>
      <c r="L1914" s="2" t="s">
        <v>4955</v>
      </c>
      <c r="M1914" s="2">
        <v>5.25</v>
      </c>
      <c r="N1914" s="2">
        <v>5.99</v>
      </c>
      <c r="O1914" s="2" t="s">
        <v>4956</v>
      </c>
      <c r="P1914" s="2" t="s">
        <v>27</v>
      </c>
      <c r="Q1914" s="2" t="s">
        <v>28</v>
      </c>
      <c r="R1914" s="2" t="s">
        <v>52</v>
      </c>
      <c r="S1914" s="2" t="s">
        <v>30</v>
      </c>
      <c r="T1914" s="2" t="s">
        <v>454</v>
      </c>
      <c r="U1914" s="2" t="str">
        <f t="shared" si="88"/>
        <v>Valid</v>
      </c>
      <c r="V1914" s="2" t="s">
        <v>4957</v>
      </c>
    </row>
    <row r="1915" spans="1:22" hidden="1" x14ac:dyDescent="0.3">
      <c r="A1915" s="2" t="s">
        <v>4958</v>
      </c>
      <c r="B1915" s="12">
        <f t="shared" ref="B1915:B1978" si="90">IF(ISNUMBER(C1915),C1915,DATEVALUE(SUBSTITUTE(TRIM(C1915),CHAR(160)," ")))</f>
        <v>46238.584052534723</v>
      </c>
      <c r="C1915" s="13">
        <v>46238.584052534723</v>
      </c>
      <c r="D1915" s="2" t="s">
        <v>354</v>
      </c>
      <c r="E1915" s="2" t="str">
        <f t="shared" si="89"/>
        <v>Email Available</v>
      </c>
      <c r="F1915" s="2" t="s">
        <v>355</v>
      </c>
      <c r="G1915" s="2" t="s">
        <v>127</v>
      </c>
      <c r="H1915" s="2" t="s">
        <v>81</v>
      </c>
      <c r="I1915" s="2" t="s">
        <v>128</v>
      </c>
      <c r="J1915" s="2">
        <v>1</v>
      </c>
      <c r="K1915" s="2">
        <v>13.99</v>
      </c>
      <c r="L1915" s="2"/>
      <c r="M1915" s="2">
        <v>0</v>
      </c>
      <c r="N1915" s="2">
        <v>4.99</v>
      </c>
      <c r="O1915" s="2">
        <v>18.98</v>
      </c>
      <c r="P1915" s="2" t="s">
        <v>74</v>
      </c>
      <c r="Q1915" s="2" t="s">
        <v>41</v>
      </c>
      <c r="R1915" s="2" t="s">
        <v>52</v>
      </c>
      <c r="S1915" s="2" t="s">
        <v>228</v>
      </c>
      <c r="T1915" s="2"/>
      <c r="U1915" s="2" t="str">
        <f t="shared" ref="U1915:U1978" si="91">IF(AND(S1915="United States",T1915=""),"Missing state",IF(T1915="","Not Required","Valid"))</f>
        <v>Not Required</v>
      </c>
      <c r="V1915" s="2" t="s">
        <v>4959</v>
      </c>
    </row>
    <row r="1916" spans="1:22" hidden="1" x14ac:dyDescent="0.3">
      <c r="A1916" s="2" t="s">
        <v>4960</v>
      </c>
      <c r="B1916" s="12">
        <f t="shared" si="90"/>
        <v>46238.584290914347</v>
      </c>
      <c r="C1916" s="13">
        <v>46238.584290914347</v>
      </c>
      <c r="D1916" s="2" t="s">
        <v>4961</v>
      </c>
      <c r="E1916" s="2" t="str">
        <f t="shared" si="89"/>
        <v>Email Available</v>
      </c>
      <c r="F1916" s="2" t="s">
        <v>4962</v>
      </c>
      <c r="G1916" s="2" t="s">
        <v>65</v>
      </c>
      <c r="H1916" s="2" t="s">
        <v>49</v>
      </c>
      <c r="I1916" s="2" t="s">
        <v>66</v>
      </c>
      <c r="J1916" s="2">
        <v>1</v>
      </c>
      <c r="K1916" s="2">
        <v>14.99</v>
      </c>
      <c r="L1916" s="2" t="s">
        <v>39</v>
      </c>
      <c r="M1916" s="2">
        <v>0</v>
      </c>
      <c r="N1916" s="2">
        <v>0</v>
      </c>
      <c r="O1916" s="2">
        <v>14.99</v>
      </c>
      <c r="P1916" s="2" t="s">
        <v>51</v>
      </c>
      <c r="Q1916" s="2" t="s">
        <v>28</v>
      </c>
      <c r="R1916" s="2" t="s">
        <v>52</v>
      </c>
      <c r="S1916" s="2" t="s">
        <v>30</v>
      </c>
      <c r="T1916" s="2" t="s">
        <v>75</v>
      </c>
      <c r="U1916" s="2" t="str">
        <f t="shared" si="91"/>
        <v>Valid</v>
      </c>
      <c r="V1916" s="2" t="s">
        <v>278</v>
      </c>
    </row>
    <row r="1917" spans="1:22" hidden="1" x14ac:dyDescent="0.3">
      <c r="A1917" s="2" t="s">
        <v>4963</v>
      </c>
      <c r="B1917" s="12">
        <f t="shared" si="90"/>
        <v>46238.589101909733</v>
      </c>
      <c r="C1917" s="13">
        <v>46238.589101909733</v>
      </c>
      <c r="D1917" s="2" t="s">
        <v>553</v>
      </c>
      <c r="E1917" s="2" t="str">
        <f t="shared" si="89"/>
        <v>Email Available</v>
      </c>
      <c r="F1917" s="2" t="s">
        <v>554</v>
      </c>
      <c r="G1917" s="2" t="s">
        <v>65</v>
      </c>
      <c r="H1917" s="2" t="s">
        <v>49</v>
      </c>
      <c r="I1917" s="2" t="s">
        <v>453</v>
      </c>
      <c r="J1917" s="2">
        <v>2</v>
      </c>
      <c r="K1917" s="2">
        <v>14.99</v>
      </c>
      <c r="L1917" s="2"/>
      <c r="M1917" s="2">
        <v>0</v>
      </c>
      <c r="N1917" s="2">
        <v>4.99</v>
      </c>
      <c r="O1917" s="2">
        <v>34.97</v>
      </c>
      <c r="P1917" s="2" t="s">
        <v>27</v>
      </c>
      <c r="Q1917" s="2" t="s">
        <v>28</v>
      </c>
      <c r="R1917" s="2" t="s">
        <v>52</v>
      </c>
      <c r="S1917" s="2" t="s">
        <v>228</v>
      </c>
      <c r="T1917" s="2"/>
      <c r="U1917" s="2" t="str">
        <f t="shared" si="91"/>
        <v>Not Required</v>
      </c>
      <c r="V1917" s="2" t="s">
        <v>4964</v>
      </c>
    </row>
    <row r="1918" spans="1:22" hidden="1" x14ac:dyDescent="0.3">
      <c r="A1918" s="2" t="s">
        <v>4965</v>
      </c>
      <c r="B1918" s="12">
        <f t="shared" si="90"/>
        <v>46238.585174293978</v>
      </c>
      <c r="C1918" s="13">
        <v>46238.585174293978</v>
      </c>
      <c r="D1918" s="2" t="s">
        <v>4330</v>
      </c>
      <c r="E1918" s="2" t="str">
        <f t="shared" si="89"/>
        <v>Email Available</v>
      </c>
      <c r="F1918" s="2" t="s">
        <v>4331</v>
      </c>
      <c r="G1918" s="2" t="s">
        <v>206</v>
      </c>
      <c r="H1918" s="2" t="s">
        <v>196</v>
      </c>
      <c r="I1918" s="2" t="s">
        <v>207</v>
      </c>
      <c r="J1918" s="2">
        <v>1</v>
      </c>
      <c r="K1918" s="2">
        <v>24.99</v>
      </c>
      <c r="L1918" s="2" t="s">
        <v>208</v>
      </c>
      <c r="M1918" s="2">
        <v>3.75</v>
      </c>
      <c r="N1918" s="2">
        <v>7.99</v>
      </c>
      <c r="O1918" s="2">
        <v>29.23</v>
      </c>
      <c r="P1918" s="2" t="s">
        <v>27</v>
      </c>
      <c r="Q1918" s="2" t="s">
        <v>90</v>
      </c>
      <c r="R1918" s="2" t="s">
        <v>42</v>
      </c>
      <c r="S1918" s="2" t="s">
        <v>30</v>
      </c>
      <c r="T1918" s="2" t="s">
        <v>454</v>
      </c>
      <c r="U1918" s="2" t="str">
        <f t="shared" si="91"/>
        <v>Valid</v>
      </c>
      <c r="V1918" s="2" t="s">
        <v>4966</v>
      </c>
    </row>
    <row r="1919" spans="1:22" hidden="1" x14ac:dyDescent="0.3">
      <c r="A1919" s="2" t="s">
        <v>4967</v>
      </c>
      <c r="B1919" s="12">
        <f t="shared" si="90"/>
        <v>46238.58418027778</v>
      </c>
      <c r="C1919" s="13">
        <v>46238.58418027778</v>
      </c>
      <c r="D1919" s="2" t="s">
        <v>4968</v>
      </c>
      <c r="E1919" s="2" t="str">
        <f t="shared" si="89"/>
        <v>Email Available</v>
      </c>
      <c r="F1919" s="2" t="s">
        <v>4969</v>
      </c>
      <c r="G1919" s="2" t="s">
        <v>368</v>
      </c>
      <c r="H1919" s="2" t="s">
        <v>88</v>
      </c>
      <c r="I1919" s="2" t="s">
        <v>369</v>
      </c>
      <c r="J1919" s="2">
        <v>1</v>
      </c>
      <c r="K1919" s="2">
        <v>54.99</v>
      </c>
      <c r="L1919" s="2" t="s">
        <v>67</v>
      </c>
      <c r="M1919" s="2">
        <v>5.5</v>
      </c>
      <c r="N1919" s="2">
        <v>5.99</v>
      </c>
      <c r="O1919" s="2">
        <v>55.48</v>
      </c>
      <c r="P1919" s="2" t="s">
        <v>51</v>
      </c>
      <c r="Q1919" s="2" t="s">
        <v>28</v>
      </c>
      <c r="R1919" s="2" t="s">
        <v>29</v>
      </c>
      <c r="S1919" s="2" t="s">
        <v>30</v>
      </c>
      <c r="T1919" s="2" t="s">
        <v>351</v>
      </c>
      <c r="U1919" s="2" t="str">
        <f t="shared" si="91"/>
        <v>Valid</v>
      </c>
      <c r="V1919" s="2" t="s">
        <v>4970</v>
      </c>
    </row>
    <row r="1920" spans="1:22" hidden="1" x14ac:dyDescent="0.3">
      <c r="A1920" s="2" t="s">
        <v>4971</v>
      </c>
      <c r="B1920" s="12">
        <f t="shared" si="90"/>
        <v>46238.584466504632</v>
      </c>
      <c r="C1920" s="13">
        <v>46238.584466504632</v>
      </c>
      <c r="D1920" s="2" t="s">
        <v>569</v>
      </c>
      <c r="E1920" s="2" t="str">
        <f t="shared" si="89"/>
        <v>Email Available</v>
      </c>
      <c r="F1920" s="2" t="s">
        <v>570</v>
      </c>
      <c r="G1920" s="2" t="s">
        <v>151</v>
      </c>
      <c r="H1920" s="2" t="s">
        <v>49</v>
      </c>
      <c r="I1920" s="2" t="s">
        <v>152</v>
      </c>
      <c r="J1920" s="2">
        <v>1</v>
      </c>
      <c r="K1920" s="2">
        <v>34.99</v>
      </c>
      <c r="L1920" s="2"/>
      <c r="M1920" s="2">
        <v>0</v>
      </c>
      <c r="N1920" s="2">
        <v>7.99</v>
      </c>
      <c r="O1920" s="2">
        <v>42.98</v>
      </c>
      <c r="P1920" s="2" t="s">
        <v>51</v>
      </c>
      <c r="Q1920" s="2" t="s">
        <v>41</v>
      </c>
      <c r="R1920" s="2" t="s">
        <v>29</v>
      </c>
      <c r="S1920" s="2" t="s">
        <v>337</v>
      </c>
      <c r="T1920" s="2"/>
      <c r="U1920" s="2" t="str">
        <f t="shared" si="91"/>
        <v>Not Required</v>
      </c>
      <c r="V1920" s="2" t="s">
        <v>4972</v>
      </c>
    </row>
    <row r="1921" spans="1:22" x14ac:dyDescent="0.3">
      <c r="A1921" s="2" t="s">
        <v>4973</v>
      </c>
      <c r="B1921" s="12">
        <f t="shared" si="90"/>
        <v>46238.583481678237</v>
      </c>
      <c r="C1921" s="13">
        <v>46238.583481678237</v>
      </c>
      <c r="D1921" s="2" t="s">
        <v>733</v>
      </c>
      <c r="E1921" s="2" t="str">
        <f t="shared" si="89"/>
        <v>Missing Email</v>
      </c>
      <c r="F1921" s="2"/>
      <c r="G1921" s="2" t="s">
        <v>112</v>
      </c>
      <c r="H1921" s="2" t="s">
        <v>81</v>
      </c>
      <c r="I1921" s="2" t="s">
        <v>113</v>
      </c>
      <c r="J1921" s="2">
        <v>1</v>
      </c>
      <c r="K1921" s="2">
        <v>22.99</v>
      </c>
      <c r="L1921" s="2"/>
      <c r="M1921" s="2">
        <v>0</v>
      </c>
      <c r="N1921" s="2">
        <v>7.99</v>
      </c>
      <c r="O1921" s="2">
        <v>30.98</v>
      </c>
      <c r="P1921" s="2" t="s">
        <v>68</v>
      </c>
      <c r="Q1921" s="2" t="s">
        <v>114</v>
      </c>
      <c r="R1921" s="2" t="s">
        <v>29</v>
      </c>
      <c r="S1921" s="2" t="s">
        <v>108</v>
      </c>
      <c r="T1921" s="2"/>
      <c r="U1921" s="2" t="str">
        <f t="shared" si="91"/>
        <v>Not Required</v>
      </c>
      <c r="V1921" s="2" t="s">
        <v>4974</v>
      </c>
    </row>
    <row r="1922" spans="1:22" x14ac:dyDescent="0.3">
      <c r="A1922" s="2" t="s">
        <v>4975</v>
      </c>
      <c r="B1922" s="12">
        <f t="shared" si="90"/>
        <v>46238</v>
      </c>
      <c r="C1922" s="13" t="s">
        <v>148</v>
      </c>
      <c r="D1922" s="2" t="s">
        <v>218</v>
      </c>
      <c r="E1922" s="2" t="str">
        <f t="shared" si="89"/>
        <v>Missing Email</v>
      </c>
      <c r="F1922" s="2"/>
      <c r="G1922" s="2" t="s">
        <v>127</v>
      </c>
      <c r="H1922" s="2" t="s">
        <v>81</v>
      </c>
      <c r="I1922" s="2" t="s">
        <v>128</v>
      </c>
      <c r="J1922" s="2">
        <v>3</v>
      </c>
      <c r="K1922" s="2">
        <v>13.99</v>
      </c>
      <c r="L1922" s="2" t="s">
        <v>25</v>
      </c>
      <c r="M1922" s="2">
        <v>8.39</v>
      </c>
      <c r="N1922" s="2">
        <v>7.99</v>
      </c>
      <c r="O1922" s="2">
        <v>41.57</v>
      </c>
      <c r="P1922" s="2" t="s">
        <v>68</v>
      </c>
      <c r="Q1922" s="2" t="s">
        <v>28</v>
      </c>
      <c r="R1922" s="2" t="s">
        <v>99</v>
      </c>
      <c r="S1922" s="2" t="s">
        <v>30</v>
      </c>
      <c r="T1922" s="2" t="s">
        <v>31</v>
      </c>
      <c r="U1922" s="2" t="str">
        <f t="shared" si="91"/>
        <v>Valid</v>
      </c>
      <c r="V1922" s="2" t="s">
        <v>4976</v>
      </c>
    </row>
    <row r="1923" spans="1:22" hidden="1" x14ac:dyDescent="0.3">
      <c r="A1923" s="2" t="s">
        <v>4977</v>
      </c>
      <c r="B1923" s="12">
        <f t="shared" si="90"/>
        <v>46238.586240983786</v>
      </c>
      <c r="C1923" s="13">
        <v>46238.586240983786</v>
      </c>
      <c r="D1923" s="2" t="s">
        <v>4978</v>
      </c>
      <c r="E1923" s="2" t="str">
        <f t="shared" ref="E1923:E1986" si="92">IF(TRIM(F1923)="","Missing Email","Email Available")</f>
        <v>Email Available</v>
      </c>
      <c r="F1923" s="2" t="s">
        <v>4085</v>
      </c>
      <c r="G1923" s="2" t="s">
        <v>151</v>
      </c>
      <c r="H1923" s="2" t="s">
        <v>49</v>
      </c>
      <c r="I1923" s="2" t="s">
        <v>152</v>
      </c>
      <c r="J1923" s="2">
        <v>1</v>
      </c>
      <c r="K1923" s="2">
        <v>34.99</v>
      </c>
      <c r="L1923" s="2"/>
      <c r="M1923" s="2">
        <v>0</v>
      </c>
      <c r="N1923" s="2">
        <v>5.99</v>
      </c>
      <c r="O1923" s="2">
        <v>0</v>
      </c>
      <c r="P1923" s="2" t="s">
        <v>27</v>
      </c>
      <c r="Q1923" s="2" t="s">
        <v>28</v>
      </c>
      <c r="R1923" s="2" t="s">
        <v>29</v>
      </c>
      <c r="S1923" s="2" t="s">
        <v>30</v>
      </c>
      <c r="T1923" s="2" t="s">
        <v>347</v>
      </c>
      <c r="U1923" s="2" t="str">
        <f t="shared" si="91"/>
        <v>Valid</v>
      </c>
      <c r="V1923" s="2" t="s">
        <v>4979</v>
      </c>
    </row>
    <row r="1924" spans="1:22" hidden="1" x14ac:dyDescent="0.3">
      <c r="A1924" s="2" t="s">
        <v>4980</v>
      </c>
      <c r="B1924" s="12">
        <f t="shared" si="90"/>
        <v>46238.586388483804</v>
      </c>
      <c r="C1924" s="13">
        <v>46238.586388483804</v>
      </c>
      <c r="D1924" s="2" t="s">
        <v>4981</v>
      </c>
      <c r="E1924" s="2" t="str">
        <f t="shared" si="92"/>
        <v>Email Available</v>
      </c>
      <c r="F1924" s="2" t="s">
        <v>4982</v>
      </c>
      <c r="G1924" s="2" t="s">
        <v>58</v>
      </c>
      <c r="H1924" s="2" t="s">
        <v>23</v>
      </c>
      <c r="I1924" s="2" t="s">
        <v>59</v>
      </c>
      <c r="J1924" s="2">
        <v>1</v>
      </c>
      <c r="K1924" s="2">
        <v>9.99</v>
      </c>
      <c r="L1924" s="2"/>
      <c r="M1924" s="2">
        <v>0</v>
      </c>
      <c r="N1924" s="2">
        <v>4.99</v>
      </c>
      <c r="O1924" s="2">
        <v>14.98</v>
      </c>
      <c r="P1924" s="2" t="s">
        <v>27</v>
      </c>
      <c r="Q1924" s="2" t="s">
        <v>28</v>
      </c>
      <c r="R1924" s="2" t="s">
        <v>52</v>
      </c>
      <c r="S1924" s="2" t="s">
        <v>228</v>
      </c>
      <c r="T1924" s="2"/>
      <c r="U1924" s="2" t="str">
        <f t="shared" si="91"/>
        <v>Not Required</v>
      </c>
      <c r="V1924" s="2" t="s">
        <v>4983</v>
      </c>
    </row>
    <row r="1925" spans="1:22" hidden="1" x14ac:dyDescent="0.3">
      <c r="A1925" s="2" t="s">
        <v>4984</v>
      </c>
      <c r="B1925" s="12">
        <f t="shared" si="90"/>
        <v>46238.583565879628</v>
      </c>
      <c r="C1925" s="13">
        <v>46238.583565879628</v>
      </c>
      <c r="D1925" s="2" t="s">
        <v>373</v>
      </c>
      <c r="E1925" s="2" t="str">
        <f t="shared" si="92"/>
        <v>Email Available</v>
      </c>
      <c r="F1925" s="2" t="s">
        <v>374</v>
      </c>
      <c r="G1925" s="2" t="s">
        <v>368</v>
      </c>
      <c r="H1925" s="2" t="s">
        <v>88</v>
      </c>
      <c r="I1925" s="2" t="s">
        <v>369</v>
      </c>
      <c r="J1925" s="2">
        <v>1</v>
      </c>
      <c r="K1925" s="2" t="s">
        <v>370</v>
      </c>
      <c r="L1925" s="2"/>
      <c r="M1925" s="2">
        <v>0</v>
      </c>
      <c r="N1925" s="2">
        <v>5.99</v>
      </c>
      <c r="O1925" s="2">
        <v>60.98</v>
      </c>
      <c r="P1925" s="2" t="s">
        <v>74</v>
      </c>
      <c r="Q1925" s="2" t="s">
        <v>28</v>
      </c>
      <c r="R1925" s="2" t="s">
        <v>42</v>
      </c>
      <c r="S1925" s="2" t="s">
        <v>337</v>
      </c>
      <c r="T1925" s="2"/>
      <c r="U1925" s="2" t="str">
        <f t="shared" si="91"/>
        <v>Not Required</v>
      </c>
      <c r="V1925" s="2" t="s">
        <v>4985</v>
      </c>
    </row>
    <row r="1926" spans="1:22" hidden="1" x14ac:dyDescent="0.3">
      <c r="A1926" s="2" t="s">
        <v>4986</v>
      </c>
      <c r="B1926" s="12">
        <f t="shared" si="90"/>
        <v>46238.588344340278</v>
      </c>
      <c r="C1926" s="13">
        <v>46238.588344340278</v>
      </c>
      <c r="D1926" s="2" t="s">
        <v>1459</v>
      </c>
      <c r="E1926" s="2" t="str">
        <f t="shared" si="92"/>
        <v>Email Available</v>
      </c>
      <c r="F1926" s="2" t="s">
        <v>1460</v>
      </c>
      <c r="G1926" s="2" t="s">
        <v>58</v>
      </c>
      <c r="H1926" s="2" t="s">
        <v>23</v>
      </c>
      <c r="I1926" s="2" t="s">
        <v>59</v>
      </c>
      <c r="J1926" s="2">
        <v>2</v>
      </c>
      <c r="K1926" s="2">
        <v>9.99</v>
      </c>
      <c r="L1926" s="2"/>
      <c r="M1926" s="2">
        <v>0</v>
      </c>
      <c r="N1926" s="2">
        <v>7.99</v>
      </c>
      <c r="O1926" s="2">
        <v>27.97</v>
      </c>
      <c r="P1926" s="2" t="s">
        <v>74</v>
      </c>
      <c r="Q1926" s="2" t="s">
        <v>41</v>
      </c>
      <c r="R1926" s="2" t="s">
        <v>99</v>
      </c>
      <c r="S1926" s="2" t="s">
        <v>30</v>
      </c>
      <c r="T1926" s="2" t="s">
        <v>60</v>
      </c>
      <c r="U1926" s="2" t="str">
        <f t="shared" si="91"/>
        <v>Valid</v>
      </c>
      <c r="V1926" s="2" t="s">
        <v>4987</v>
      </c>
    </row>
    <row r="1927" spans="1:22" hidden="1" x14ac:dyDescent="0.3">
      <c r="A1927" s="2" t="s">
        <v>4990</v>
      </c>
      <c r="B1927" s="12">
        <f t="shared" si="90"/>
        <v>46238.587868148148</v>
      </c>
      <c r="C1927" s="13">
        <v>46238.587868148148</v>
      </c>
      <c r="D1927" s="2" t="s">
        <v>502</v>
      </c>
      <c r="E1927" s="2" t="str">
        <f t="shared" si="92"/>
        <v>Email Available</v>
      </c>
      <c r="F1927" s="2" t="s">
        <v>503</v>
      </c>
      <c r="G1927" s="2" t="s">
        <v>65</v>
      </c>
      <c r="H1927" s="2" t="s">
        <v>49</v>
      </c>
      <c r="I1927" s="2" t="s">
        <v>453</v>
      </c>
      <c r="J1927" s="2">
        <v>1</v>
      </c>
      <c r="K1927" s="2">
        <v>14.99</v>
      </c>
      <c r="L1927" s="2" t="s">
        <v>25</v>
      </c>
      <c r="M1927" s="2">
        <v>3</v>
      </c>
      <c r="N1927" s="2">
        <v>4.99</v>
      </c>
      <c r="O1927" s="2">
        <v>16.98</v>
      </c>
      <c r="P1927" s="2" t="s">
        <v>51</v>
      </c>
      <c r="Q1927" s="2" t="s">
        <v>114</v>
      </c>
      <c r="R1927" s="2" t="s">
        <v>52</v>
      </c>
      <c r="S1927" s="2" t="s">
        <v>108</v>
      </c>
      <c r="T1927" s="2"/>
      <c r="U1927" s="2" t="str">
        <f t="shared" si="91"/>
        <v>Not Required</v>
      </c>
      <c r="V1927" s="2" t="s">
        <v>4991</v>
      </c>
    </row>
    <row r="1928" spans="1:22" hidden="1" x14ac:dyDescent="0.3">
      <c r="A1928" s="2" t="s">
        <v>4992</v>
      </c>
      <c r="B1928" s="12">
        <f t="shared" si="90"/>
        <v>46238.583744108793</v>
      </c>
      <c r="C1928" s="13">
        <v>46238.583744108793</v>
      </c>
      <c r="D1928" s="2" t="s">
        <v>797</v>
      </c>
      <c r="E1928" s="2" t="str">
        <f t="shared" si="92"/>
        <v>Email Available</v>
      </c>
      <c r="F1928" s="2" t="s">
        <v>798</v>
      </c>
      <c r="G1928" s="2" t="s">
        <v>105</v>
      </c>
      <c r="H1928" s="2" t="s">
        <v>106</v>
      </c>
      <c r="I1928" s="2" t="s">
        <v>107</v>
      </c>
      <c r="J1928" s="2">
        <v>2</v>
      </c>
      <c r="K1928" s="2">
        <v>19.989999999999998</v>
      </c>
      <c r="L1928" s="2" t="s">
        <v>39</v>
      </c>
      <c r="M1928" s="2">
        <v>0</v>
      </c>
      <c r="N1928" s="2">
        <v>0</v>
      </c>
      <c r="O1928" s="2">
        <v>39.979999999999997</v>
      </c>
      <c r="P1928" s="2" t="s">
        <v>51</v>
      </c>
      <c r="Q1928" s="2" t="s">
        <v>28</v>
      </c>
      <c r="R1928" s="2" t="s">
        <v>29</v>
      </c>
      <c r="S1928" s="2" t="s">
        <v>337</v>
      </c>
      <c r="T1928" s="2"/>
      <c r="U1928" s="2" t="str">
        <f t="shared" si="91"/>
        <v>Not Required</v>
      </c>
      <c r="V1928" s="2" t="s">
        <v>4993</v>
      </c>
    </row>
    <row r="1929" spans="1:22" hidden="1" x14ac:dyDescent="0.3">
      <c r="A1929" s="2" t="s">
        <v>4994</v>
      </c>
      <c r="B1929" s="12">
        <f t="shared" si="90"/>
        <v>46238.578981874998</v>
      </c>
      <c r="C1929" s="13">
        <v>46238.578981874998</v>
      </c>
      <c r="D1929" s="2" t="s">
        <v>2495</v>
      </c>
      <c r="E1929" s="2" t="str">
        <f t="shared" si="92"/>
        <v>Email Available</v>
      </c>
      <c r="F1929" s="2" t="s">
        <v>86</v>
      </c>
      <c r="G1929" s="2" t="s">
        <v>127</v>
      </c>
      <c r="H1929" s="2" t="s">
        <v>81</v>
      </c>
      <c r="I1929" s="2" t="s">
        <v>128</v>
      </c>
      <c r="J1929" s="2">
        <v>2</v>
      </c>
      <c r="K1929" s="2">
        <v>13.99</v>
      </c>
      <c r="L1929" s="2"/>
      <c r="M1929" s="2">
        <v>0</v>
      </c>
      <c r="N1929" s="2">
        <v>7.99</v>
      </c>
      <c r="O1929" s="2" t="s">
        <v>2707</v>
      </c>
      <c r="P1929" s="2" t="s">
        <v>51</v>
      </c>
      <c r="Q1929" s="2" t="s">
        <v>90</v>
      </c>
      <c r="R1929" s="2" t="s">
        <v>99</v>
      </c>
      <c r="S1929" s="2" t="s">
        <v>30</v>
      </c>
      <c r="T1929" s="2" t="s">
        <v>939</v>
      </c>
      <c r="U1929" s="2" t="str">
        <f t="shared" si="91"/>
        <v>Valid</v>
      </c>
      <c r="V1929" s="2" t="s">
        <v>4995</v>
      </c>
    </row>
    <row r="1930" spans="1:22" hidden="1" x14ac:dyDescent="0.3">
      <c r="A1930" s="2" t="s">
        <v>4996</v>
      </c>
      <c r="B1930" s="12">
        <f t="shared" si="90"/>
        <v>46238.581323020837</v>
      </c>
      <c r="C1930" s="13">
        <v>46238.581323020837</v>
      </c>
      <c r="D1930" s="2" t="s">
        <v>3566</v>
      </c>
      <c r="E1930" s="2" t="str">
        <f t="shared" si="92"/>
        <v>Email Available</v>
      </c>
      <c r="F1930" s="2" t="s">
        <v>2292</v>
      </c>
      <c r="G1930" s="2" t="s">
        <v>80</v>
      </c>
      <c r="H1930" s="2" t="s">
        <v>81</v>
      </c>
      <c r="I1930" s="2" t="s">
        <v>82</v>
      </c>
      <c r="J1930" s="2">
        <v>1</v>
      </c>
      <c r="K1930" s="2">
        <v>89.99</v>
      </c>
      <c r="L1930" s="2" t="s">
        <v>67</v>
      </c>
      <c r="M1930" s="2">
        <v>9</v>
      </c>
      <c r="N1930" s="2">
        <v>0</v>
      </c>
      <c r="O1930" s="2">
        <v>80.989999999999995</v>
      </c>
      <c r="P1930" s="2" t="s">
        <v>51</v>
      </c>
      <c r="Q1930" s="2" t="s">
        <v>28</v>
      </c>
      <c r="R1930" s="2" t="s">
        <v>42</v>
      </c>
      <c r="S1930" s="2" t="s">
        <v>228</v>
      </c>
      <c r="T1930" s="2"/>
      <c r="U1930" s="2" t="str">
        <f t="shared" si="91"/>
        <v>Not Required</v>
      </c>
      <c r="V1930" s="2" t="s">
        <v>2961</v>
      </c>
    </row>
    <row r="1931" spans="1:22" hidden="1" x14ac:dyDescent="0.3">
      <c r="A1931" s="2" t="s">
        <v>4999</v>
      </c>
      <c r="B1931" s="12">
        <f>DATE(VALUE(RIGHT(C1931,4)),MATCH(LEFT(C1931,3),{"Jan","Feb","Mar","Apr","May","Jun","Jul","Aug","Sep","Oct","Nov","Dec"},0),VALUE(MID(C1931,5,2)))</f>
        <v>46238</v>
      </c>
      <c r="C1931" s="13" t="s">
        <v>176</v>
      </c>
      <c r="D1931" s="2" t="s">
        <v>1089</v>
      </c>
      <c r="E1931" s="2" t="str">
        <f t="shared" si="92"/>
        <v>Email Available</v>
      </c>
      <c r="F1931" s="2" t="s">
        <v>595</v>
      </c>
      <c r="G1931" s="2" t="s">
        <v>241</v>
      </c>
      <c r="H1931" s="2" t="s">
        <v>242</v>
      </c>
      <c r="I1931" s="2" t="s">
        <v>243</v>
      </c>
      <c r="J1931" s="2">
        <v>2</v>
      </c>
      <c r="K1931" s="2">
        <v>27.99</v>
      </c>
      <c r="L1931" s="2"/>
      <c r="M1931" s="2">
        <v>0</v>
      </c>
      <c r="N1931" s="2">
        <v>4.99</v>
      </c>
      <c r="O1931" s="2">
        <v>60.97</v>
      </c>
      <c r="P1931" s="2" t="s">
        <v>40</v>
      </c>
      <c r="Q1931" s="2" t="s">
        <v>90</v>
      </c>
      <c r="R1931" s="2" t="s">
        <v>52</v>
      </c>
      <c r="S1931" s="2" t="s">
        <v>30</v>
      </c>
      <c r="T1931" s="2" t="s">
        <v>248</v>
      </c>
      <c r="U1931" s="2" t="str">
        <f t="shared" si="91"/>
        <v>Valid</v>
      </c>
      <c r="V1931" s="2" t="s">
        <v>5000</v>
      </c>
    </row>
    <row r="1932" spans="1:22" hidden="1" x14ac:dyDescent="0.3">
      <c r="A1932" s="2" t="s">
        <v>5001</v>
      </c>
      <c r="B1932" s="12">
        <f t="shared" si="90"/>
        <v>46238.583763935188</v>
      </c>
      <c r="C1932" s="13">
        <v>46238.583763935188</v>
      </c>
      <c r="D1932" s="2" t="s">
        <v>637</v>
      </c>
      <c r="E1932" s="2" t="str">
        <f t="shared" si="92"/>
        <v>Email Available</v>
      </c>
      <c r="F1932" s="2" t="s">
        <v>638</v>
      </c>
      <c r="G1932" s="2" t="s">
        <v>272</v>
      </c>
      <c r="H1932" s="2" t="s">
        <v>23</v>
      </c>
      <c r="I1932" s="2" t="s">
        <v>273</v>
      </c>
      <c r="J1932" s="2">
        <v>1</v>
      </c>
      <c r="K1932" s="2">
        <v>18.989999999999998</v>
      </c>
      <c r="L1932" s="2"/>
      <c r="M1932" s="2">
        <v>0</v>
      </c>
      <c r="N1932" s="2">
        <v>7.99</v>
      </c>
      <c r="O1932" s="2">
        <v>26.98</v>
      </c>
      <c r="P1932" s="2" t="s">
        <v>40</v>
      </c>
      <c r="Q1932" s="2" t="s">
        <v>90</v>
      </c>
      <c r="R1932" s="2" t="s">
        <v>42</v>
      </c>
      <c r="S1932" s="2" t="s">
        <v>30</v>
      </c>
      <c r="T1932" s="2" t="s">
        <v>145</v>
      </c>
      <c r="U1932" s="2" t="str">
        <f t="shared" si="91"/>
        <v>Valid</v>
      </c>
      <c r="V1932" s="2" t="s">
        <v>5002</v>
      </c>
    </row>
    <row r="1933" spans="1:22" hidden="1" x14ac:dyDescent="0.3">
      <c r="A1933" s="2" t="s">
        <v>5003</v>
      </c>
      <c r="B1933" s="12">
        <f t="shared" si="90"/>
        <v>46238.586923090283</v>
      </c>
      <c r="C1933" s="13">
        <v>46238.586923090283</v>
      </c>
      <c r="D1933" s="2" t="s">
        <v>309</v>
      </c>
      <c r="E1933" s="2" t="str">
        <f t="shared" si="92"/>
        <v>Email Available</v>
      </c>
      <c r="F1933" s="2" t="s">
        <v>310</v>
      </c>
      <c r="G1933" s="2" t="s">
        <v>187</v>
      </c>
      <c r="H1933" s="2" t="s">
        <v>37</v>
      </c>
      <c r="I1933" s="2" t="s">
        <v>188</v>
      </c>
      <c r="J1933" s="2">
        <v>1</v>
      </c>
      <c r="K1933" s="2">
        <v>11.99</v>
      </c>
      <c r="L1933" s="2"/>
      <c r="M1933" s="2">
        <v>0</v>
      </c>
      <c r="N1933" s="2">
        <v>7.99</v>
      </c>
      <c r="O1933" s="2">
        <v>19.98</v>
      </c>
      <c r="P1933" s="2" t="s">
        <v>74</v>
      </c>
      <c r="Q1933" s="2" t="s">
        <v>90</v>
      </c>
      <c r="R1933" s="2" t="s">
        <v>52</v>
      </c>
      <c r="S1933" s="2" t="s">
        <v>30</v>
      </c>
      <c r="T1933" s="2" t="s">
        <v>69</v>
      </c>
      <c r="U1933" s="2" t="str">
        <f t="shared" si="91"/>
        <v>Valid</v>
      </c>
      <c r="V1933" s="2" t="s">
        <v>5004</v>
      </c>
    </row>
    <row r="1934" spans="1:22" hidden="1" x14ac:dyDescent="0.3">
      <c r="A1934" s="2" t="s">
        <v>5005</v>
      </c>
      <c r="B1934" s="12">
        <f t="shared" si="90"/>
        <v>46238.587461400457</v>
      </c>
      <c r="C1934" s="13">
        <v>46238.587461400457</v>
      </c>
      <c r="D1934" s="2" t="s">
        <v>2224</v>
      </c>
      <c r="E1934" s="2" t="str">
        <f t="shared" si="92"/>
        <v>Email Available</v>
      </c>
      <c r="F1934" s="2" t="s">
        <v>2225</v>
      </c>
      <c r="G1934" s="2" t="s">
        <v>187</v>
      </c>
      <c r="H1934" s="2" t="s">
        <v>37</v>
      </c>
      <c r="I1934" s="2" t="s">
        <v>188</v>
      </c>
      <c r="J1934" s="2">
        <v>2</v>
      </c>
      <c r="K1934" s="2">
        <v>11.99</v>
      </c>
      <c r="L1934" s="2" t="s">
        <v>25</v>
      </c>
      <c r="M1934" s="2">
        <v>4.8</v>
      </c>
      <c r="N1934" s="2">
        <v>4.99</v>
      </c>
      <c r="O1934" s="2">
        <v>24.17</v>
      </c>
      <c r="P1934" s="2" t="s">
        <v>40</v>
      </c>
      <c r="Q1934" s="2" t="s">
        <v>28</v>
      </c>
      <c r="R1934" s="2" t="s">
        <v>52</v>
      </c>
      <c r="S1934" s="2" t="s">
        <v>75</v>
      </c>
      <c r="T1934" s="2"/>
      <c r="U1934" s="2" t="str">
        <f t="shared" si="91"/>
        <v>Not Required</v>
      </c>
      <c r="V1934" s="2" t="s">
        <v>5006</v>
      </c>
    </row>
    <row r="1935" spans="1:22" hidden="1" x14ac:dyDescent="0.3">
      <c r="A1935" s="2" t="s">
        <v>5007</v>
      </c>
      <c r="B1935" s="12">
        <f t="shared" si="90"/>
        <v>46238.584728310183</v>
      </c>
      <c r="C1935" s="13">
        <v>46238.584728310183</v>
      </c>
      <c r="D1935" s="2" t="s">
        <v>3064</v>
      </c>
      <c r="E1935" s="2" t="str">
        <f t="shared" si="92"/>
        <v>Email Available</v>
      </c>
      <c r="F1935" s="2" t="s">
        <v>3065</v>
      </c>
      <c r="G1935" s="2" t="s">
        <v>127</v>
      </c>
      <c r="H1935" s="2" t="s">
        <v>81</v>
      </c>
      <c r="I1935" s="2" t="s">
        <v>128</v>
      </c>
      <c r="J1935" s="2">
        <v>1</v>
      </c>
      <c r="K1935" s="2">
        <v>13.99</v>
      </c>
      <c r="L1935" s="2"/>
      <c r="M1935" s="2">
        <v>0</v>
      </c>
      <c r="N1935" s="2">
        <v>4.99</v>
      </c>
      <c r="O1935" s="2">
        <v>18.98</v>
      </c>
      <c r="P1935" s="2" t="s">
        <v>68</v>
      </c>
      <c r="Q1935" s="2" t="s">
        <v>114</v>
      </c>
      <c r="R1935" s="2" t="s">
        <v>29</v>
      </c>
      <c r="S1935" s="2" t="s">
        <v>30</v>
      </c>
      <c r="T1935" s="2" t="s">
        <v>248</v>
      </c>
      <c r="U1935" s="2" t="str">
        <f t="shared" si="91"/>
        <v>Valid</v>
      </c>
      <c r="V1935" s="2" t="s">
        <v>5008</v>
      </c>
    </row>
    <row r="1936" spans="1:22" hidden="1" x14ac:dyDescent="0.3">
      <c r="A1936" s="2" t="s">
        <v>5009</v>
      </c>
      <c r="B1936" s="12">
        <f t="shared" si="90"/>
        <v>46238.57925545139</v>
      </c>
      <c r="C1936" s="13">
        <v>46238.57925545139</v>
      </c>
      <c r="D1936" s="2" t="s">
        <v>5010</v>
      </c>
      <c r="E1936" s="2" t="str">
        <f t="shared" si="92"/>
        <v>Email Available</v>
      </c>
      <c r="F1936" s="2" t="s">
        <v>570</v>
      </c>
      <c r="G1936" s="2" t="s">
        <v>80</v>
      </c>
      <c r="H1936" s="2" t="s">
        <v>81</v>
      </c>
      <c r="I1936" s="2" t="s">
        <v>82</v>
      </c>
      <c r="J1936" s="2">
        <v>1</v>
      </c>
      <c r="K1936" s="2">
        <v>89.99</v>
      </c>
      <c r="L1936" s="2" t="s">
        <v>39</v>
      </c>
      <c r="M1936" s="2">
        <v>0</v>
      </c>
      <c r="N1936" s="2">
        <v>0</v>
      </c>
      <c r="O1936" s="2">
        <v>89.99</v>
      </c>
      <c r="P1936" s="2" t="s">
        <v>27</v>
      </c>
      <c r="Q1936" s="2" t="s">
        <v>41</v>
      </c>
      <c r="R1936" s="2" t="s">
        <v>42</v>
      </c>
      <c r="S1936" s="2" t="s">
        <v>337</v>
      </c>
      <c r="T1936" s="2"/>
      <c r="U1936" s="2" t="str">
        <f t="shared" si="91"/>
        <v>Not Required</v>
      </c>
      <c r="V1936" s="2" t="s">
        <v>5011</v>
      </c>
    </row>
    <row r="1937" spans="1:22" hidden="1" x14ac:dyDescent="0.3">
      <c r="A1937" s="2" t="s">
        <v>5012</v>
      </c>
      <c r="B1937" s="12">
        <f t="shared" si="90"/>
        <v>46120</v>
      </c>
      <c r="C1937" s="13" t="s">
        <v>142</v>
      </c>
      <c r="D1937" s="2" t="s">
        <v>1007</v>
      </c>
      <c r="E1937" s="2" t="str">
        <f t="shared" si="92"/>
        <v>Email Available</v>
      </c>
      <c r="F1937" s="2" t="s">
        <v>1008</v>
      </c>
      <c r="G1937" s="2" t="s">
        <v>206</v>
      </c>
      <c r="H1937" s="2" t="s">
        <v>196</v>
      </c>
      <c r="I1937" s="2" t="s">
        <v>207</v>
      </c>
      <c r="J1937" s="2">
        <v>1</v>
      </c>
      <c r="K1937" s="2">
        <v>24.99</v>
      </c>
      <c r="L1937" s="2" t="s">
        <v>25</v>
      </c>
      <c r="M1937" s="2">
        <v>5</v>
      </c>
      <c r="N1937" s="2">
        <v>5.99</v>
      </c>
      <c r="O1937" s="2">
        <v>25.98</v>
      </c>
      <c r="P1937" s="2" t="s">
        <v>40</v>
      </c>
      <c r="Q1937" s="2" t="s">
        <v>90</v>
      </c>
      <c r="R1937" s="2" t="s">
        <v>42</v>
      </c>
      <c r="S1937" s="2" t="s">
        <v>43</v>
      </c>
      <c r="T1937" s="2"/>
      <c r="U1937" s="2" t="str">
        <f t="shared" si="91"/>
        <v>Not Required</v>
      </c>
      <c r="V1937" s="2" t="s">
        <v>5013</v>
      </c>
    </row>
    <row r="1938" spans="1:22" hidden="1" x14ac:dyDescent="0.3">
      <c r="A1938" s="2" t="s">
        <v>5014</v>
      </c>
      <c r="B1938" s="12">
        <f t="shared" si="90"/>
        <v>46238.581358750002</v>
      </c>
      <c r="C1938" s="13">
        <v>46238.581358750002</v>
      </c>
      <c r="D1938" s="2" t="s">
        <v>1790</v>
      </c>
      <c r="E1938" s="2" t="str">
        <f t="shared" si="92"/>
        <v>Email Available</v>
      </c>
      <c r="F1938" s="2" t="s">
        <v>1791</v>
      </c>
      <c r="G1938" s="2" t="s">
        <v>171</v>
      </c>
      <c r="H1938" s="2" t="s">
        <v>106</v>
      </c>
      <c r="I1938" s="2" t="s">
        <v>172</v>
      </c>
      <c r="J1938" s="2">
        <v>2</v>
      </c>
      <c r="K1938" s="2">
        <v>32.99</v>
      </c>
      <c r="L1938" s="2" t="s">
        <v>25</v>
      </c>
      <c r="M1938" s="2">
        <v>13.2</v>
      </c>
      <c r="N1938" s="2">
        <v>5.99</v>
      </c>
      <c r="O1938" s="2">
        <v>58.77</v>
      </c>
      <c r="P1938" s="2" t="s">
        <v>40</v>
      </c>
      <c r="Q1938" s="2" t="s">
        <v>114</v>
      </c>
      <c r="R1938" s="2" t="s">
        <v>52</v>
      </c>
      <c r="S1938" s="2" t="s">
        <v>75</v>
      </c>
      <c r="T1938" s="2"/>
      <c r="U1938" s="2" t="str">
        <f t="shared" si="91"/>
        <v>Not Required</v>
      </c>
      <c r="V1938" s="2" t="s">
        <v>762</v>
      </c>
    </row>
    <row r="1939" spans="1:22" hidden="1" x14ac:dyDescent="0.3">
      <c r="A1939" s="2" t="s">
        <v>5015</v>
      </c>
      <c r="B1939" s="12">
        <f t="shared" si="90"/>
        <v>46238.583008784721</v>
      </c>
      <c r="C1939" s="13">
        <v>46238.583008784721</v>
      </c>
      <c r="D1939" s="2" t="s">
        <v>574</v>
      </c>
      <c r="E1939" s="2" t="str">
        <f t="shared" si="92"/>
        <v>Email Available</v>
      </c>
      <c r="F1939" s="2" t="s">
        <v>575</v>
      </c>
      <c r="G1939" s="2" t="s">
        <v>65</v>
      </c>
      <c r="H1939" s="2" t="s">
        <v>49</v>
      </c>
      <c r="I1939" s="2" t="s">
        <v>453</v>
      </c>
      <c r="J1939" s="2">
        <v>1</v>
      </c>
      <c r="K1939" s="2">
        <v>14.99</v>
      </c>
      <c r="L1939" s="2"/>
      <c r="M1939" s="2">
        <v>0</v>
      </c>
      <c r="N1939" s="2">
        <v>7.99</v>
      </c>
      <c r="O1939" s="2">
        <v>22.98</v>
      </c>
      <c r="P1939" s="2" t="s">
        <v>74</v>
      </c>
      <c r="Q1939" s="2" t="s">
        <v>90</v>
      </c>
      <c r="R1939" s="2" t="s">
        <v>99</v>
      </c>
      <c r="S1939" s="2" t="s">
        <v>108</v>
      </c>
      <c r="T1939" s="2"/>
      <c r="U1939" s="2" t="str">
        <f t="shared" si="91"/>
        <v>Not Required</v>
      </c>
      <c r="V1939" s="2" t="s">
        <v>5016</v>
      </c>
    </row>
    <row r="1940" spans="1:22" hidden="1" x14ac:dyDescent="0.3">
      <c r="A1940" s="2" t="s">
        <v>5017</v>
      </c>
      <c r="B1940" s="12">
        <f t="shared" si="90"/>
        <v>46238.580543703712</v>
      </c>
      <c r="C1940" s="13">
        <v>46238.580543703712</v>
      </c>
      <c r="D1940" s="2" t="s">
        <v>169</v>
      </c>
      <c r="E1940" s="2" t="str">
        <f t="shared" si="92"/>
        <v>Email Available</v>
      </c>
      <c r="F1940" s="2" t="s">
        <v>170</v>
      </c>
      <c r="G1940" s="2" t="s">
        <v>187</v>
      </c>
      <c r="H1940" s="2" t="s">
        <v>37</v>
      </c>
      <c r="I1940" s="2" t="s">
        <v>188</v>
      </c>
      <c r="J1940" s="2">
        <v>1</v>
      </c>
      <c r="K1940" s="2">
        <v>11.99</v>
      </c>
      <c r="L1940" s="2" t="s">
        <v>121</v>
      </c>
      <c r="M1940" s="2">
        <v>3</v>
      </c>
      <c r="N1940" s="2">
        <v>4.99</v>
      </c>
      <c r="O1940" s="2">
        <v>13.98</v>
      </c>
      <c r="P1940" s="2" t="s">
        <v>27</v>
      </c>
      <c r="Q1940" s="2" t="s">
        <v>28</v>
      </c>
      <c r="R1940" s="2" t="s">
        <v>29</v>
      </c>
      <c r="S1940" s="2" t="s">
        <v>108</v>
      </c>
      <c r="T1940" s="2"/>
      <c r="U1940" s="2" t="str">
        <f t="shared" si="91"/>
        <v>Not Required</v>
      </c>
      <c r="V1940" s="2" t="s">
        <v>5018</v>
      </c>
    </row>
    <row r="1941" spans="1:22" hidden="1" x14ac:dyDescent="0.3">
      <c r="A1941" s="2" t="s">
        <v>5019</v>
      </c>
      <c r="B1941" s="12">
        <f t="shared" si="90"/>
        <v>46120</v>
      </c>
      <c r="C1941" s="13" t="s">
        <v>142</v>
      </c>
      <c r="D1941" s="2" t="s">
        <v>666</v>
      </c>
      <c r="E1941" s="2" t="str">
        <f t="shared" si="92"/>
        <v>Email Available</v>
      </c>
      <c r="F1941" s="2" t="s">
        <v>667</v>
      </c>
      <c r="G1941" s="2" t="s">
        <v>266</v>
      </c>
      <c r="H1941" s="2" t="s">
        <v>37</v>
      </c>
      <c r="I1941" s="2" t="s">
        <v>267</v>
      </c>
      <c r="J1941" s="2">
        <v>1</v>
      </c>
      <c r="K1941" s="2">
        <v>15.49</v>
      </c>
      <c r="L1941" s="2" t="s">
        <v>208</v>
      </c>
      <c r="M1941" s="2">
        <v>2.3199999999999998</v>
      </c>
      <c r="N1941" s="2">
        <v>4.99</v>
      </c>
      <c r="O1941" s="2" t="s">
        <v>3605</v>
      </c>
      <c r="P1941" s="2" t="s">
        <v>74</v>
      </c>
      <c r="Q1941" s="2" t="s">
        <v>41</v>
      </c>
      <c r="R1941" s="2" t="s">
        <v>29</v>
      </c>
      <c r="S1941" s="2" t="s">
        <v>75</v>
      </c>
      <c r="T1941" s="2"/>
      <c r="U1941" s="2" t="str">
        <f t="shared" si="91"/>
        <v>Not Required</v>
      </c>
      <c r="V1941" s="2" t="s">
        <v>5020</v>
      </c>
    </row>
    <row r="1942" spans="1:22" x14ac:dyDescent="0.3">
      <c r="A1942" s="2" t="s">
        <v>5021</v>
      </c>
      <c r="B1942" s="12">
        <f t="shared" si="90"/>
        <v>46238.589036215279</v>
      </c>
      <c r="C1942" s="13">
        <v>46238.589036215279</v>
      </c>
      <c r="D1942" s="2" t="s">
        <v>1670</v>
      </c>
      <c r="E1942" s="2" t="str">
        <f t="shared" si="92"/>
        <v>Missing Email</v>
      </c>
      <c r="F1942" s="2"/>
      <c r="G1942" s="2" t="s">
        <v>4384</v>
      </c>
      <c r="H1942" s="2" t="s">
        <v>37</v>
      </c>
      <c r="I1942" s="2" t="s">
        <v>38</v>
      </c>
      <c r="J1942" s="2">
        <v>1</v>
      </c>
      <c r="K1942" s="2">
        <v>21.99</v>
      </c>
      <c r="L1942" s="2" t="s">
        <v>208</v>
      </c>
      <c r="M1942" s="2">
        <v>3.3</v>
      </c>
      <c r="N1942" s="2">
        <v>4.99</v>
      </c>
      <c r="O1942" s="2">
        <v>23.68</v>
      </c>
      <c r="P1942" s="2" t="s">
        <v>27</v>
      </c>
      <c r="Q1942" s="2" t="s">
        <v>28</v>
      </c>
      <c r="R1942" s="2" t="s">
        <v>52</v>
      </c>
      <c r="S1942" s="2" t="s">
        <v>30</v>
      </c>
      <c r="T1942" s="2" t="s">
        <v>31</v>
      </c>
      <c r="U1942" s="2" t="str">
        <f t="shared" si="91"/>
        <v>Valid</v>
      </c>
      <c r="V1942" s="2" t="s">
        <v>5022</v>
      </c>
    </row>
    <row r="1943" spans="1:22" hidden="1" x14ac:dyDescent="0.3">
      <c r="A1943" s="2" t="s">
        <v>5023</v>
      </c>
      <c r="B1943" s="12">
        <f t="shared" si="90"/>
        <v>46238.584372384263</v>
      </c>
      <c r="C1943" s="13">
        <v>46238.584372384263</v>
      </c>
      <c r="D1943" s="2" t="s">
        <v>492</v>
      </c>
      <c r="E1943" s="2" t="str">
        <f t="shared" si="92"/>
        <v>Email Available</v>
      </c>
      <c r="F1943" s="2" t="s">
        <v>493</v>
      </c>
      <c r="G1943" s="2" t="s">
        <v>58</v>
      </c>
      <c r="H1943" s="2" t="s">
        <v>23</v>
      </c>
      <c r="I1943" s="2" t="s">
        <v>59</v>
      </c>
      <c r="J1943" s="2">
        <v>1</v>
      </c>
      <c r="K1943" s="2">
        <v>9.99</v>
      </c>
      <c r="L1943" s="2" t="s">
        <v>67</v>
      </c>
      <c r="M1943" s="2">
        <v>1</v>
      </c>
      <c r="N1943" s="2">
        <v>4.99</v>
      </c>
      <c r="O1943" s="2">
        <v>13.98</v>
      </c>
      <c r="P1943" s="2" t="s">
        <v>27</v>
      </c>
      <c r="Q1943" s="2" t="s">
        <v>41</v>
      </c>
      <c r="R1943" s="2" t="s">
        <v>42</v>
      </c>
      <c r="S1943" s="2" t="s">
        <v>75</v>
      </c>
      <c r="T1943" s="2"/>
      <c r="U1943" s="2" t="str">
        <f t="shared" si="91"/>
        <v>Not Required</v>
      </c>
      <c r="V1943" s="2" t="s">
        <v>5024</v>
      </c>
    </row>
    <row r="1944" spans="1:22" x14ac:dyDescent="0.3">
      <c r="A1944" s="2" t="s">
        <v>5025</v>
      </c>
      <c r="B1944" s="12">
        <f t="shared" si="90"/>
        <v>46238.579887280102</v>
      </c>
      <c r="C1944" s="13">
        <v>46238.579887280102</v>
      </c>
      <c r="D1944" s="2" t="s">
        <v>1339</v>
      </c>
      <c r="E1944" s="2" t="str">
        <f t="shared" si="92"/>
        <v>Missing Email</v>
      </c>
      <c r="F1944" s="2"/>
      <c r="G1944" s="2" t="s">
        <v>171</v>
      </c>
      <c r="H1944" s="2" t="s">
        <v>106</v>
      </c>
      <c r="I1944" s="2" t="s">
        <v>172</v>
      </c>
      <c r="J1944" s="2">
        <v>2</v>
      </c>
      <c r="K1944" s="2">
        <v>32.99</v>
      </c>
      <c r="L1944" s="2"/>
      <c r="M1944" s="2" t="s">
        <v>189</v>
      </c>
      <c r="N1944" s="2">
        <v>4.99</v>
      </c>
      <c r="O1944" s="2">
        <v>70.97</v>
      </c>
      <c r="P1944" s="2" t="s">
        <v>74</v>
      </c>
      <c r="Q1944" s="2" t="s">
        <v>41</v>
      </c>
      <c r="R1944" s="2" t="s">
        <v>52</v>
      </c>
      <c r="S1944" s="2" t="s">
        <v>43</v>
      </c>
      <c r="T1944" s="2"/>
      <c r="U1944" s="2" t="str">
        <f t="shared" si="91"/>
        <v>Not Required</v>
      </c>
      <c r="V1944" s="2" t="s">
        <v>5026</v>
      </c>
    </row>
    <row r="1945" spans="1:22" hidden="1" x14ac:dyDescent="0.3">
      <c r="A1945" s="2" t="s">
        <v>5027</v>
      </c>
      <c r="B1945" s="12">
        <f t="shared" si="90"/>
        <v>46238.585938622688</v>
      </c>
      <c r="C1945" s="13">
        <v>46238.585938622688</v>
      </c>
      <c r="D1945" s="2" t="s">
        <v>866</v>
      </c>
      <c r="E1945" s="2" t="str">
        <f t="shared" si="92"/>
        <v>Email Available</v>
      </c>
      <c r="F1945" s="2" t="s">
        <v>867</v>
      </c>
      <c r="G1945" s="2" t="s">
        <v>206</v>
      </c>
      <c r="H1945" s="2" t="s">
        <v>196</v>
      </c>
      <c r="I1945" s="2" t="s">
        <v>207</v>
      </c>
      <c r="J1945" s="2">
        <v>1</v>
      </c>
      <c r="K1945" s="2">
        <v>24.99</v>
      </c>
      <c r="L1945" s="2" t="s">
        <v>208</v>
      </c>
      <c r="M1945" s="2" t="s">
        <v>4095</v>
      </c>
      <c r="N1945" s="2">
        <v>4.99</v>
      </c>
      <c r="O1945" s="2" t="s">
        <v>5028</v>
      </c>
      <c r="P1945" s="2" t="s">
        <v>27</v>
      </c>
      <c r="Q1945" s="2" t="s">
        <v>41</v>
      </c>
      <c r="R1945" s="2" t="s">
        <v>52</v>
      </c>
      <c r="S1945" s="2" t="s">
        <v>108</v>
      </c>
      <c r="T1945" s="2"/>
      <c r="U1945" s="2" t="str">
        <f t="shared" si="91"/>
        <v>Not Required</v>
      </c>
      <c r="V1945" s="2" t="s">
        <v>3436</v>
      </c>
    </row>
    <row r="1946" spans="1:22" hidden="1" x14ac:dyDescent="0.3">
      <c r="A1946" s="2" t="s">
        <v>5029</v>
      </c>
      <c r="B1946" s="12">
        <f t="shared" si="90"/>
        <v>46238.57989616898</v>
      </c>
      <c r="C1946" s="13">
        <v>46238.57989616898</v>
      </c>
      <c r="D1946" s="2" t="s">
        <v>388</v>
      </c>
      <c r="E1946" s="2" t="str">
        <f t="shared" si="92"/>
        <v>Email Available</v>
      </c>
      <c r="F1946" s="2" t="s">
        <v>389</v>
      </c>
      <c r="G1946" s="2" t="s">
        <v>133</v>
      </c>
      <c r="H1946" s="2" t="s">
        <v>106</v>
      </c>
      <c r="I1946" s="2" t="s">
        <v>134</v>
      </c>
      <c r="J1946" s="2">
        <v>1</v>
      </c>
      <c r="K1946" s="2">
        <v>16.989999999999998</v>
      </c>
      <c r="L1946" s="2"/>
      <c r="M1946" s="2">
        <v>0</v>
      </c>
      <c r="N1946" s="2">
        <v>4.99</v>
      </c>
      <c r="O1946" s="2">
        <v>21.98</v>
      </c>
      <c r="P1946" s="2" t="s">
        <v>68</v>
      </c>
      <c r="Q1946" s="2" t="s">
        <v>90</v>
      </c>
      <c r="R1946" s="2" t="s">
        <v>52</v>
      </c>
      <c r="S1946" s="2" t="s">
        <v>30</v>
      </c>
      <c r="T1946" s="2" t="s">
        <v>60</v>
      </c>
      <c r="U1946" s="2" t="str">
        <f t="shared" si="91"/>
        <v>Valid</v>
      </c>
      <c r="V1946" s="2" t="s">
        <v>522</v>
      </c>
    </row>
    <row r="1947" spans="1:22" hidden="1" x14ac:dyDescent="0.3">
      <c r="A1947" s="2" t="s">
        <v>5030</v>
      </c>
      <c r="B1947" s="12">
        <f t="shared" si="90"/>
        <v>46238.57956377315</v>
      </c>
      <c r="C1947" s="13">
        <v>46238.57956377315</v>
      </c>
      <c r="D1947" s="2" t="s">
        <v>204</v>
      </c>
      <c r="E1947" s="2" t="str">
        <f t="shared" si="92"/>
        <v>Email Available</v>
      </c>
      <c r="F1947" s="2" t="s">
        <v>205</v>
      </c>
      <c r="G1947" s="2" t="s">
        <v>272</v>
      </c>
      <c r="H1947" s="2" t="s">
        <v>23</v>
      </c>
      <c r="I1947" s="2" t="s">
        <v>273</v>
      </c>
      <c r="J1947" s="2">
        <v>2</v>
      </c>
      <c r="K1947" s="2">
        <v>18.989999999999998</v>
      </c>
      <c r="L1947" s="2"/>
      <c r="M1947" s="2">
        <v>0</v>
      </c>
      <c r="N1947" s="2">
        <v>5.99</v>
      </c>
      <c r="O1947" s="2">
        <v>43.97</v>
      </c>
      <c r="P1947" s="2" t="s">
        <v>68</v>
      </c>
      <c r="Q1947" s="2" t="s">
        <v>28</v>
      </c>
      <c r="R1947" s="2" t="s">
        <v>52</v>
      </c>
      <c r="S1947" s="2" t="s">
        <v>75</v>
      </c>
      <c r="T1947" s="2"/>
      <c r="U1947" s="2" t="str">
        <f t="shared" si="91"/>
        <v>Not Required</v>
      </c>
      <c r="V1947" s="2" t="s">
        <v>5031</v>
      </c>
    </row>
    <row r="1948" spans="1:22" hidden="1" x14ac:dyDescent="0.3">
      <c r="A1948" s="2" t="s">
        <v>5032</v>
      </c>
      <c r="B1948" s="12">
        <f t="shared" si="90"/>
        <v>46238</v>
      </c>
      <c r="C1948" s="13" t="s">
        <v>148</v>
      </c>
      <c r="D1948" s="2" t="s">
        <v>3463</v>
      </c>
      <c r="E1948" s="2" t="str">
        <f t="shared" si="92"/>
        <v>Email Available</v>
      </c>
      <c r="F1948" s="2" t="s">
        <v>3464</v>
      </c>
      <c r="G1948" s="2" t="s">
        <v>187</v>
      </c>
      <c r="H1948" s="2" t="s">
        <v>37</v>
      </c>
      <c r="I1948" s="2" t="s">
        <v>188</v>
      </c>
      <c r="J1948" s="2">
        <v>2</v>
      </c>
      <c r="K1948" s="2">
        <v>11.99</v>
      </c>
      <c r="L1948" s="2"/>
      <c r="M1948" s="2">
        <v>0</v>
      </c>
      <c r="N1948" s="2">
        <v>4.99</v>
      </c>
      <c r="O1948" s="2">
        <v>28.97</v>
      </c>
      <c r="P1948" s="2" t="s">
        <v>51</v>
      </c>
      <c r="Q1948" s="2" t="s">
        <v>90</v>
      </c>
      <c r="R1948" s="2" t="s">
        <v>42</v>
      </c>
      <c r="S1948" s="2" t="s">
        <v>43</v>
      </c>
      <c r="T1948" s="2"/>
      <c r="U1948" s="2" t="str">
        <f t="shared" si="91"/>
        <v>Not Required</v>
      </c>
      <c r="V1948" s="2" t="s">
        <v>5033</v>
      </c>
    </row>
    <row r="1949" spans="1:22" hidden="1" x14ac:dyDescent="0.3">
      <c r="A1949" s="2" t="s">
        <v>5034</v>
      </c>
      <c r="B1949" s="12">
        <f t="shared" si="90"/>
        <v>46238.587999456016</v>
      </c>
      <c r="C1949" s="13">
        <v>46238.587999456016</v>
      </c>
      <c r="D1949" s="2" t="s">
        <v>1953</v>
      </c>
      <c r="E1949" s="2" t="str">
        <f t="shared" si="92"/>
        <v>Email Available</v>
      </c>
      <c r="F1949" s="2" t="s">
        <v>4037</v>
      </c>
      <c r="G1949" s="2" t="s">
        <v>48</v>
      </c>
      <c r="H1949" s="2" t="s">
        <v>49</v>
      </c>
      <c r="I1949" s="2" t="s">
        <v>50</v>
      </c>
      <c r="J1949" s="2">
        <v>1</v>
      </c>
      <c r="K1949" s="2">
        <v>39.99</v>
      </c>
      <c r="L1949" s="2"/>
      <c r="M1949" s="2">
        <v>0</v>
      </c>
      <c r="N1949" s="2">
        <v>5.99</v>
      </c>
      <c r="O1949" s="2">
        <v>45.98</v>
      </c>
      <c r="P1949" s="2" t="s">
        <v>74</v>
      </c>
      <c r="Q1949" s="2" t="s">
        <v>41</v>
      </c>
      <c r="R1949" s="2" t="s">
        <v>42</v>
      </c>
      <c r="S1949" s="2" t="s">
        <v>228</v>
      </c>
      <c r="T1949" s="2"/>
      <c r="U1949" s="2" t="str">
        <f t="shared" si="91"/>
        <v>Not Required</v>
      </c>
      <c r="V1949" s="2" t="s">
        <v>5035</v>
      </c>
    </row>
    <row r="1950" spans="1:22" hidden="1" x14ac:dyDescent="0.3">
      <c r="A1950" s="2" t="s">
        <v>5036</v>
      </c>
      <c r="B1950" s="12">
        <f t="shared" si="90"/>
        <v>46238.583952951391</v>
      </c>
      <c r="C1950" s="13">
        <v>46238.583952951391</v>
      </c>
      <c r="D1950" s="2" t="s">
        <v>5037</v>
      </c>
      <c r="E1950" s="2" t="str">
        <f t="shared" si="92"/>
        <v>Email Available</v>
      </c>
      <c r="F1950" s="2" t="s">
        <v>615</v>
      </c>
      <c r="G1950" s="2" t="s">
        <v>368</v>
      </c>
      <c r="H1950" s="2" t="s">
        <v>88</v>
      </c>
      <c r="I1950" s="2" t="s">
        <v>369</v>
      </c>
      <c r="J1950" s="2">
        <v>1</v>
      </c>
      <c r="K1950" s="2">
        <v>54.99</v>
      </c>
      <c r="L1950" s="2" t="s">
        <v>121</v>
      </c>
      <c r="M1950" s="2">
        <v>13.75</v>
      </c>
      <c r="N1950" s="2">
        <v>4.99</v>
      </c>
      <c r="O1950" s="2">
        <v>46.23</v>
      </c>
      <c r="P1950" s="2" t="s">
        <v>51</v>
      </c>
      <c r="Q1950" s="2" t="s">
        <v>41</v>
      </c>
      <c r="R1950" s="2" t="s">
        <v>99</v>
      </c>
      <c r="S1950" s="2" t="s">
        <v>43</v>
      </c>
      <c r="T1950" s="2"/>
      <c r="U1950" s="2" t="str">
        <f t="shared" si="91"/>
        <v>Not Required</v>
      </c>
      <c r="V1950" s="2" t="s">
        <v>5038</v>
      </c>
    </row>
    <row r="1951" spans="1:22" hidden="1" x14ac:dyDescent="0.3">
      <c r="A1951" s="2" t="s">
        <v>5039</v>
      </c>
      <c r="B1951" s="12">
        <f t="shared" si="90"/>
        <v>46238.588087800927</v>
      </c>
      <c r="C1951" s="13">
        <v>46238.588087800927</v>
      </c>
      <c r="D1951" s="2" t="s">
        <v>319</v>
      </c>
      <c r="E1951" s="2" t="str">
        <f t="shared" si="92"/>
        <v>Email Available</v>
      </c>
      <c r="F1951" s="2" t="s">
        <v>320</v>
      </c>
      <c r="G1951" s="2" t="s">
        <v>171</v>
      </c>
      <c r="H1951" s="2" t="s">
        <v>106</v>
      </c>
      <c r="I1951" s="2" t="s">
        <v>172</v>
      </c>
      <c r="J1951" s="2">
        <v>2</v>
      </c>
      <c r="K1951" s="2">
        <v>32.99</v>
      </c>
      <c r="L1951" s="2" t="s">
        <v>39</v>
      </c>
      <c r="M1951" s="2">
        <v>0</v>
      </c>
      <c r="N1951" s="2">
        <v>0</v>
      </c>
      <c r="O1951" s="2">
        <v>65.98</v>
      </c>
      <c r="P1951" s="2" t="s">
        <v>51</v>
      </c>
      <c r="Q1951" s="2" t="s">
        <v>90</v>
      </c>
      <c r="R1951" s="2" t="s">
        <v>52</v>
      </c>
      <c r="S1951" s="2" t="s">
        <v>75</v>
      </c>
      <c r="T1951" s="2"/>
      <c r="U1951" s="2" t="str">
        <f t="shared" si="91"/>
        <v>Not Required</v>
      </c>
      <c r="V1951" s="2" t="s">
        <v>5040</v>
      </c>
    </row>
    <row r="1952" spans="1:22" hidden="1" x14ac:dyDescent="0.3">
      <c r="A1952" s="2" t="s">
        <v>5041</v>
      </c>
      <c r="B1952" s="12">
        <f t="shared" si="90"/>
        <v>46238.584658333333</v>
      </c>
      <c r="C1952" s="13">
        <v>46238.584658333333</v>
      </c>
      <c r="D1952" s="2" t="s">
        <v>769</v>
      </c>
      <c r="E1952" s="2" t="str">
        <f t="shared" si="92"/>
        <v>Email Available</v>
      </c>
      <c r="F1952" s="2" t="s">
        <v>770</v>
      </c>
      <c r="G1952" s="2" t="s">
        <v>284</v>
      </c>
      <c r="H1952" s="2" t="s">
        <v>23</v>
      </c>
      <c r="I1952" s="2" t="s">
        <v>285</v>
      </c>
      <c r="J1952" s="2">
        <v>1</v>
      </c>
      <c r="K1952" s="2">
        <v>24.99</v>
      </c>
      <c r="L1952" s="2"/>
      <c r="M1952" s="2">
        <v>0</v>
      </c>
      <c r="N1952" s="2">
        <v>5.99</v>
      </c>
      <c r="O1952" s="2">
        <v>30.98</v>
      </c>
      <c r="P1952" s="2" t="s">
        <v>74</v>
      </c>
      <c r="Q1952" s="2" t="s">
        <v>90</v>
      </c>
      <c r="R1952" s="2" t="s">
        <v>52</v>
      </c>
      <c r="S1952" s="2" t="s">
        <v>30</v>
      </c>
      <c r="T1952" s="2" t="s">
        <v>31</v>
      </c>
      <c r="U1952" s="2" t="str">
        <f t="shared" si="91"/>
        <v>Valid</v>
      </c>
      <c r="V1952" s="2" t="s">
        <v>5042</v>
      </c>
    </row>
    <row r="1953" spans="1:22" hidden="1" x14ac:dyDescent="0.3">
      <c r="A1953" s="2" t="s">
        <v>5043</v>
      </c>
      <c r="B1953" s="12">
        <f t="shared" si="90"/>
        <v>46238</v>
      </c>
      <c r="C1953" s="13" t="s">
        <v>148</v>
      </c>
      <c r="D1953" s="2" t="s">
        <v>416</v>
      </c>
      <c r="E1953" s="2" t="str">
        <f t="shared" si="92"/>
        <v>Email Available</v>
      </c>
      <c r="F1953" s="2" t="s">
        <v>417</v>
      </c>
      <c r="G1953" s="2" t="s">
        <v>120</v>
      </c>
      <c r="H1953" s="2" t="s">
        <v>23</v>
      </c>
      <c r="I1953" s="2" t="s">
        <v>24</v>
      </c>
      <c r="J1953" s="2">
        <v>1</v>
      </c>
      <c r="K1953" s="2">
        <v>12.99</v>
      </c>
      <c r="L1953" s="2" t="s">
        <v>25</v>
      </c>
      <c r="M1953" s="2">
        <v>2.6</v>
      </c>
      <c r="N1953" s="2">
        <v>4.99</v>
      </c>
      <c r="O1953" s="2">
        <v>15.38</v>
      </c>
      <c r="P1953" s="2" t="s">
        <v>51</v>
      </c>
      <c r="Q1953" s="2" t="s">
        <v>28</v>
      </c>
      <c r="R1953" s="2" t="s">
        <v>29</v>
      </c>
      <c r="S1953" s="2" t="s">
        <v>43</v>
      </c>
      <c r="T1953" s="2"/>
      <c r="U1953" s="2" t="str">
        <f t="shared" si="91"/>
        <v>Not Required</v>
      </c>
      <c r="V1953" s="2" t="s">
        <v>5044</v>
      </c>
    </row>
    <row r="1954" spans="1:22" hidden="1" x14ac:dyDescent="0.3">
      <c r="A1954" s="2" t="s">
        <v>5048</v>
      </c>
      <c r="B1954" s="12">
        <f t="shared" si="90"/>
        <v>46238</v>
      </c>
      <c r="C1954" s="13" t="s">
        <v>1138</v>
      </c>
      <c r="D1954" s="2" t="s">
        <v>825</v>
      </c>
      <c r="E1954" s="2" t="str">
        <f t="shared" si="92"/>
        <v>Email Available</v>
      </c>
      <c r="F1954" s="2" t="s">
        <v>826</v>
      </c>
      <c r="G1954" s="2" t="s">
        <v>36</v>
      </c>
      <c r="H1954" s="2" t="s">
        <v>37</v>
      </c>
      <c r="I1954" s="2" t="s">
        <v>38</v>
      </c>
      <c r="J1954" s="2">
        <v>1</v>
      </c>
      <c r="K1954" s="2">
        <v>21.99</v>
      </c>
      <c r="L1954" s="2"/>
      <c r="M1954" s="2">
        <v>0</v>
      </c>
      <c r="N1954" s="2">
        <v>5.99</v>
      </c>
      <c r="O1954" s="2">
        <v>27.98</v>
      </c>
      <c r="P1954" s="2" t="s">
        <v>51</v>
      </c>
      <c r="Q1954" s="2" t="s">
        <v>28</v>
      </c>
      <c r="R1954" s="2" t="s">
        <v>52</v>
      </c>
      <c r="S1954" s="2" t="s">
        <v>75</v>
      </c>
      <c r="T1954" s="2"/>
      <c r="U1954" s="2" t="str">
        <f t="shared" si="91"/>
        <v>Not Required</v>
      </c>
      <c r="V1954" s="2" t="s">
        <v>5049</v>
      </c>
    </row>
    <row r="1955" spans="1:22" hidden="1" x14ac:dyDescent="0.3">
      <c r="A1955" s="2" t="s">
        <v>5050</v>
      </c>
      <c r="B1955" s="12">
        <f t="shared" si="90"/>
        <v>46238.582082754627</v>
      </c>
      <c r="C1955" s="13">
        <v>46238.582082754627</v>
      </c>
      <c r="D1955" s="2" t="s">
        <v>1368</v>
      </c>
      <c r="E1955" s="2" t="str">
        <f t="shared" si="92"/>
        <v>Email Available</v>
      </c>
      <c r="F1955" s="2" t="s">
        <v>1369</v>
      </c>
      <c r="G1955" s="2" t="s">
        <v>112</v>
      </c>
      <c r="H1955" s="2" t="s">
        <v>81</v>
      </c>
      <c r="I1955" s="2" t="s">
        <v>113</v>
      </c>
      <c r="J1955" s="2">
        <v>1</v>
      </c>
      <c r="K1955" s="2">
        <v>22.99</v>
      </c>
      <c r="L1955" s="2" t="s">
        <v>39</v>
      </c>
      <c r="M1955" s="2">
        <v>0</v>
      </c>
      <c r="N1955" s="2">
        <v>0</v>
      </c>
      <c r="O1955" s="2">
        <v>22.99</v>
      </c>
      <c r="P1955" s="2" t="s">
        <v>74</v>
      </c>
      <c r="Q1955" s="2" t="s">
        <v>28</v>
      </c>
      <c r="R1955" s="2" t="s">
        <v>52</v>
      </c>
      <c r="S1955" s="2" t="s">
        <v>43</v>
      </c>
      <c r="T1955" s="2"/>
      <c r="U1955" s="2" t="str">
        <f t="shared" si="91"/>
        <v>Not Required</v>
      </c>
      <c r="V1955" s="2" t="s">
        <v>5051</v>
      </c>
    </row>
    <row r="1956" spans="1:22" hidden="1" x14ac:dyDescent="0.3">
      <c r="A1956" s="2" t="s">
        <v>5052</v>
      </c>
      <c r="B1956" s="12">
        <f t="shared" si="90"/>
        <v>46238.579029155087</v>
      </c>
      <c r="C1956" s="13">
        <v>46238.579029155087</v>
      </c>
      <c r="D1956" s="2" t="s">
        <v>5053</v>
      </c>
      <c r="E1956" s="2" t="str">
        <f t="shared" si="92"/>
        <v>Email Available</v>
      </c>
      <c r="F1956" s="2" t="s">
        <v>95</v>
      </c>
      <c r="G1956" s="2" t="s">
        <v>151</v>
      </c>
      <c r="H1956" s="2" t="s">
        <v>49</v>
      </c>
      <c r="I1956" s="2" t="s">
        <v>152</v>
      </c>
      <c r="J1956" s="2">
        <v>1</v>
      </c>
      <c r="K1956" s="2">
        <v>34.99</v>
      </c>
      <c r="L1956" s="2"/>
      <c r="M1956" s="2" t="s">
        <v>189</v>
      </c>
      <c r="N1956" s="2">
        <v>4.99</v>
      </c>
      <c r="O1956" s="2" t="s">
        <v>3501</v>
      </c>
      <c r="P1956" s="2" t="s">
        <v>51</v>
      </c>
      <c r="Q1956" s="2" t="s">
        <v>28</v>
      </c>
      <c r="R1956" s="2" t="s">
        <v>29</v>
      </c>
      <c r="S1956" s="2" t="s">
        <v>43</v>
      </c>
      <c r="T1956" s="2"/>
      <c r="U1956" s="2" t="str">
        <f t="shared" si="91"/>
        <v>Not Required</v>
      </c>
      <c r="V1956" s="2" t="s">
        <v>5054</v>
      </c>
    </row>
    <row r="1957" spans="1:22" hidden="1" x14ac:dyDescent="0.3">
      <c r="A1957" s="2" t="s">
        <v>5055</v>
      </c>
      <c r="B1957" s="12">
        <f t="shared" si="90"/>
        <v>46238.581657025461</v>
      </c>
      <c r="C1957" s="13">
        <v>46238.581657025461</v>
      </c>
      <c r="D1957" s="2" t="s">
        <v>655</v>
      </c>
      <c r="E1957" s="2" t="str">
        <f t="shared" si="92"/>
        <v>Email Available</v>
      </c>
      <c r="F1957" s="2" t="s">
        <v>656</v>
      </c>
      <c r="G1957" s="2" t="s">
        <v>266</v>
      </c>
      <c r="H1957" s="2" t="s">
        <v>37</v>
      </c>
      <c r="I1957" s="2" t="s">
        <v>267</v>
      </c>
      <c r="J1957" s="2">
        <v>1</v>
      </c>
      <c r="K1957" s="2">
        <v>15.49</v>
      </c>
      <c r="L1957" s="2"/>
      <c r="M1957" s="2">
        <v>0</v>
      </c>
      <c r="N1957" s="2">
        <v>7.99</v>
      </c>
      <c r="O1957" s="2" t="s">
        <v>5056</v>
      </c>
      <c r="P1957" s="2" t="s">
        <v>68</v>
      </c>
      <c r="Q1957" s="2" t="s">
        <v>28</v>
      </c>
      <c r="R1957" s="2" t="s">
        <v>52</v>
      </c>
      <c r="S1957" s="2" t="s">
        <v>228</v>
      </c>
      <c r="T1957" s="2"/>
      <c r="U1957" s="2" t="str">
        <f t="shared" si="91"/>
        <v>Not Required</v>
      </c>
      <c r="V1957" s="2" t="s">
        <v>5057</v>
      </c>
    </row>
    <row r="1958" spans="1:22" hidden="1" x14ac:dyDescent="0.3">
      <c r="A1958" s="2" t="s">
        <v>5058</v>
      </c>
      <c r="B1958" s="12">
        <f t="shared" si="90"/>
        <v>46120</v>
      </c>
      <c r="C1958" s="13" t="s">
        <v>142</v>
      </c>
      <c r="D1958" s="2" t="s">
        <v>1172</v>
      </c>
      <c r="E1958" s="2" t="str">
        <f t="shared" si="92"/>
        <v>Email Available</v>
      </c>
      <c r="F1958" s="2" t="s">
        <v>1173</v>
      </c>
      <c r="G1958" s="2" t="s">
        <v>127</v>
      </c>
      <c r="H1958" s="2" t="s">
        <v>81</v>
      </c>
      <c r="I1958" s="2" t="s">
        <v>128</v>
      </c>
      <c r="J1958" s="2">
        <v>1</v>
      </c>
      <c r="K1958" s="2">
        <v>13.99</v>
      </c>
      <c r="L1958" s="2" t="s">
        <v>121</v>
      </c>
      <c r="M1958" s="2">
        <v>3.5</v>
      </c>
      <c r="N1958" s="2">
        <v>4.99</v>
      </c>
      <c r="O1958" s="2">
        <v>15.48</v>
      </c>
      <c r="P1958" s="2" t="s">
        <v>51</v>
      </c>
      <c r="Q1958" s="2" t="s">
        <v>28</v>
      </c>
      <c r="R1958" s="2" t="s">
        <v>52</v>
      </c>
      <c r="S1958" s="2" t="s">
        <v>43</v>
      </c>
      <c r="T1958" s="2"/>
      <c r="U1958" s="2" t="str">
        <f t="shared" si="91"/>
        <v>Not Required</v>
      </c>
      <c r="V1958" s="2" t="s">
        <v>5059</v>
      </c>
    </row>
    <row r="1959" spans="1:22" hidden="1" x14ac:dyDescent="0.3">
      <c r="A1959" s="2" t="s">
        <v>5060</v>
      </c>
      <c r="B1959" s="12">
        <f t="shared" si="90"/>
        <v>46238.586526909719</v>
      </c>
      <c r="C1959" s="13">
        <v>46238.586526909719</v>
      </c>
      <c r="D1959" s="2" t="s">
        <v>1526</v>
      </c>
      <c r="E1959" s="2" t="str">
        <f t="shared" si="92"/>
        <v>Email Available</v>
      </c>
      <c r="F1959" s="2" t="s">
        <v>1527</v>
      </c>
      <c r="G1959" s="2" t="s">
        <v>315</v>
      </c>
      <c r="H1959" s="2" t="s">
        <v>37</v>
      </c>
      <c r="I1959" s="2" t="s">
        <v>316</v>
      </c>
      <c r="J1959" s="2">
        <v>1</v>
      </c>
      <c r="K1959" s="2">
        <v>8.99</v>
      </c>
      <c r="L1959" s="2" t="s">
        <v>25</v>
      </c>
      <c r="M1959" s="2">
        <v>1.8</v>
      </c>
      <c r="N1959" s="2">
        <v>4.99</v>
      </c>
      <c r="O1959" s="2">
        <v>12.18</v>
      </c>
      <c r="P1959" s="2" t="s">
        <v>40</v>
      </c>
      <c r="Q1959" s="2" t="s">
        <v>114</v>
      </c>
      <c r="R1959" s="2" t="s">
        <v>29</v>
      </c>
      <c r="S1959" s="2" t="s">
        <v>108</v>
      </c>
      <c r="T1959" s="2"/>
      <c r="U1959" s="2" t="str">
        <f t="shared" si="91"/>
        <v>Not Required</v>
      </c>
      <c r="V1959" s="2" t="s">
        <v>5061</v>
      </c>
    </row>
    <row r="1960" spans="1:22" hidden="1" x14ac:dyDescent="0.3">
      <c r="A1960" s="2" t="s">
        <v>5062</v>
      </c>
      <c r="B1960" s="12">
        <f t="shared" si="90"/>
        <v>46238.57905148148</v>
      </c>
      <c r="C1960" s="13">
        <v>46238.57905148148</v>
      </c>
      <c r="D1960" s="2" t="s">
        <v>3025</v>
      </c>
      <c r="E1960" s="2" t="str">
        <f t="shared" si="92"/>
        <v>Email Available</v>
      </c>
      <c r="F1960" s="2" t="s">
        <v>3026</v>
      </c>
      <c r="G1960" s="2" t="s">
        <v>65</v>
      </c>
      <c r="H1960" s="2" t="s">
        <v>49</v>
      </c>
      <c r="I1960" s="2" t="s">
        <v>453</v>
      </c>
      <c r="J1960" s="2">
        <v>3</v>
      </c>
      <c r="K1960" s="2">
        <v>14.99</v>
      </c>
      <c r="L1960" s="2" t="s">
        <v>121</v>
      </c>
      <c r="M1960" s="2">
        <v>11.24</v>
      </c>
      <c r="N1960" s="2">
        <v>5.99</v>
      </c>
      <c r="O1960" s="2">
        <v>39.72</v>
      </c>
      <c r="P1960" s="2" t="s">
        <v>27</v>
      </c>
      <c r="Q1960" s="2" t="s">
        <v>28</v>
      </c>
      <c r="R1960" s="2" t="s">
        <v>99</v>
      </c>
      <c r="S1960" s="2" t="s">
        <v>337</v>
      </c>
      <c r="T1960" s="2"/>
      <c r="U1960" s="2" t="str">
        <f t="shared" si="91"/>
        <v>Not Required</v>
      </c>
      <c r="V1960" s="2" t="s">
        <v>5063</v>
      </c>
    </row>
    <row r="1961" spans="1:22" hidden="1" x14ac:dyDescent="0.3">
      <c r="A1961" s="2" t="s">
        <v>5064</v>
      </c>
      <c r="B1961" s="12">
        <f t="shared" si="90"/>
        <v>46238.583460300928</v>
      </c>
      <c r="C1961" s="13">
        <v>46238.583460300928</v>
      </c>
      <c r="D1961" s="2" t="s">
        <v>1284</v>
      </c>
      <c r="E1961" s="2" t="str">
        <f t="shared" si="92"/>
        <v>Email Available</v>
      </c>
      <c r="F1961" s="2" t="s">
        <v>1285</v>
      </c>
      <c r="G1961" s="2" t="s">
        <v>120</v>
      </c>
      <c r="H1961" s="2" t="s">
        <v>23</v>
      </c>
      <c r="I1961" s="2" t="s">
        <v>24</v>
      </c>
      <c r="J1961" s="2">
        <v>2</v>
      </c>
      <c r="K1961" s="2">
        <v>12.99</v>
      </c>
      <c r="L1961" s="2" t="s">
        <v>208</v>
      </c>
      <c r="M1961" s="2">
        <v>3.9</v>
      </c>
      <c r="N1961" s="2">
        <v>7.99</v>
      </c>
      <c r="O1961" s="2">
        <v>30.07</v>
      </c>
      <c r="P1961" s="2" t="s">
        <v>51</v>
      </c>
      <c r="Q1961" s="2" t="s">
        <v>28</v>
      </c>
      <c r="R1961" s="2" t="s">
        <v>29</v>
      </c>
      <c r="S1961" s="2" t="s">
        <v>30</v>
      </c>
      <c r="T1961" s="2" t="s">
        <v>60</v>
      </c>
      <c r="U1961" s="2" t="str">
        <f t="shared" si="91"/>
        <v>Valid</v>
      </c>
      <c r="V1961" s="2" t="s">
        <v>5065</v>
      </c>
    </row>
    <row r="1962" spans="1:22" hidden="1" x14ac:dyDescent="0.3">
      <c r="A1962" s="2" t="s">
        <v>5066</v>
      </c>
      <c r="B1962" s="12">
        <f t="shared" si="90"/>
        <v>46120</v>
      </c>
      <c r="C1962" s="13" t="s">
        <v>142</v>
      </c>
      <c r="D1962" s="2" t="s">
        <v>4294</v>
      </c>
      <c r="E1962" s="2" t="str">
        <f t="shared" si="92"/>
        <v>Email Available</v>
      </c>
      <c r="F1962" s="2" t="s">
        <v>4085</v>
      </c>
      <c r="G1962" s="2" t="s">
        <v>195</v>
      </c>
      <c r="H1962" s="2" t="s">
        <v>196</v>
      </c>
      <c r="I1962" s="2" t="s">
        <v>197</v>
      </c>
      <c r="J1962" s="2">
        <v>2</v>
      </c>
      <c r="K1962" s="2">
        <v>13.49</v>
      </c>
      <c r="L1962" s="2"/>
      <c r="M1962" s="2">
        <v>0</v>
      </c>
      <c r="N1962" s="2">
        <v>5.99</v>
      </c>
      <c r="O1962" s="2">
        <v>0</v>
      </c>
      <c r="P1962" s="2" t="s">
        <v>68</v>
      </c>
      <c r="Q1962" s="2" t="s">
        <v>41</v>
      </c>
      <c r="R1962" s="2" t="s">
        <v>52</v>
      </c>
      <c r="S1962" s="2" t="s">
        <v>337</v>
      </c>
      <c r="T1962" s="2"/>
      <c r="U1962" s="2" t="str">
        <f t="shared" si="91"/>
        <v>Not Required</v>
      </c>
      <c r="V1962" s="2" t="s">
        <v>5067</v>
      </c>
    </row>
    <row r="1963" spans="1:22" hidden="1" x14ac:dyDescent="0.3">
      <c r="A1963" s="2" t="s">
        <v>5068</v>
      </c>
      <c r="B1963" s="12">
        <f t="shared" si="90"/>
        <v>46238.58063650463</v>
      </c>
      <c r="C1963" s="13">
        <v>46238.58063650463</v>
      </c>
      <c r="D1963" s="2" t="s">
        <v>825</v>
      </c>
      <c r="E1963" s="2" t="str">
        <f t="shared" si="92"/>
        <v>Email Available</v>
      </c>
      <c r="F1963" s="2" t="s">
        <v>826</v>
      </c>
      <c r="G1963" s="2" t="s">
        <v>195</v>
      </c>
      <c r="H1963" s="2" t="s">
        <v>196</v>
      </c>
      <c r="I1963" s="2" t="s">
        <v>197</v>
      </c>
      <c r="J1963" s="2">
        <v>1</v>
      </c>
      <c r="K1963" s="2">
        <v>13.49</v>
      </c>
      <c r="L1963" s="2" t="s">
        <v>121</v>
      </c>
      <c r="M1963" s="2">
        <v>3.37</v>
      </c>
      <c r="N1963" s="2">
        <v>5.99</v>
      </c>
      <c r="O1963" s="2">
        <v>16.11</v>
      </c>
      <c r="P1963" s="2" t="s">
        <v>51</v>
      </c>
      <c r="Q1963" s="2" t="s">
        <v>28</v>
      </c>
      <c r="R1963" s="2" t="s">
        <v>52</v>
      </c>
      <c r="S1963" s="2" t="s">
        <v>75</v>
      </c>
      <c r="T1963" s="2"/>
      <c r="U1963" s="2" t="str">
        <f t="shared" si="91"/>
        <v>Not Required</v>
      </c>
      <c r="V1963" s="2" t="s">
        <v>1286</v>
      </c>
    </row>
    <row r="1964" spans="1:22" hidden="1" x14ac:dyDescent="0.3">
      <c r="A1964" s="2" t="s">
        <v>5069</v>
      </c>
      <c r="B1964" s="12">
        <f t="shared" si="90"/>
        <v>46238.587749583327</v>
      </c>
      <c r="C1964" s="13">
        <v>46238.587749583327</v>
      </c>
      <c r="D1964" s="2" t="s">
        <v>177</v>
      </c>
      <c r="E1964" s="2" t="str">
        <f t="shared" si="92"/>
        <v>Email Available</v>
      </c>
      <c r="F1964" s="2" t="s">
        <v>178</v>
      </c>
      <c r="G1964" s="2" t="s">
        <v>284</v>
      </c>
      <c r="H1964" s="2" t="s">
        <v>23</v>
      </c>
      <c r="I1964" s="2" t="s">
        <v>285</v>
      </c>
      <c r="J1964" s="2">
        <v>2</v>
      </c>
      <c r="K1964" s="2">
        <v>24.99</v>
      </c>
      <c r="L1964" s="2"/>
      <c r="M1964" s="2">
        <v>0</v>
      </c>
      <c r="N1964" s="2">
        <v>7.99</v>
      </c>
      <c r="O1964" s="2">
        <v>57.97</v>
      </c>
      <c r="P1964" s="2" t="s">
        <v>68</v>
      </c>
      <c r="Q1964" s="2" t="s">
        <v>90</v>
      </c>
      <c r="R1964" s="2" t="s">
        <v>52</v>
      </c>
      <c r="S1964" s="2" t="s">
        <v>30</v>
      </c>
      <c r="T1964" s="2" t="s">
        <v>454</v>
      </c>
      <c r="U1964" s="2" t="str">
        <f t="shared" si="91"/>
        <v>Valid</v>
      </c>
      <c r="V1964" s="2" t="s">
        <v>5070</v>
      </c>
    </row>
    <row r="1965" spans="1:22" hidden="1" x14ac:dyDescent="0.3">
      <c r="A1965" s="2" t="s">
        <v>5071</v>
      </c>
      <c r="B1965" s="12">
        <f t="shared" si="90"/>
        <v>46238.583682777768</v>
      </c>
      <c r="C1965" s="13">
        <v>46238.583682777768</v>
      </c>
      <c r="D1965" s="2" t="s">
        <v>424</v>
      </c>
      <c r="E1965" s="2" t="str">
        <f t="shared" si="92"/>
        <v>Email Available</v>
      </c>
      <c r="F1965" s="2" t="s">
        <v>425</v>
      </c>
      <c r="G1965" s="2" t="s">
        <v>187</v>
      </c>
      <c r="H1965" s="2" t="s">
        <v>37</v>
      </c>
      <c r="I1965" s="2" t="s">
        <v>188</v>
      </c>
      <c r="J1965" s="2">
        <v>1</v>
      </c>
      <c r="K1965" s="2">
        <v>11.99</v>
      </c>
      <c r="L1965" s="2" t="s">
        <v>25</v>
      </c>
      <c r="M1965" s="2" t="s">
        <v>3666</v>
      </c>
      <c r="N1965" s="2">
        <v>4.99</v>
      </c>
      <c r="O1965" s="2">
        <v>14.58</v>
      </c>
      <c r="P1965" s="2" t="s">
        <v>40</v>
      </c>
      <c r="Q1965" s="2" t="s">
        <v>28</v>
      </c>
      <c r="R1965" s="2" t="s">
        <v>52</v>
      </c>
      <c r="S1965" s="2" t="s">
        <v>30</v>
      </c>
      <c r="T1965" s="2" t="s">
        <v>248</v>
      </c>
      <c r="U1965" s="2" t="str">
        <f t="shared" si="91"/>
        <v>Valid</v>
      </c>
      <c r="V1965" s="2" t="s">
        <v>5072</v>
      </c>
    </row>
    <row r="1966" spans="1:22" hidden="1" x14ac:dyDescent="0.3">
      <c r="A1966" s="2" t="s">
        <v>5073</v>
      </c>
      <c r="B1966" s="12">
        <f t="shared" si="90"/>
        <v>46238.581787650473</v>
      </c>
      <c r="C1966" s="13">
        <v>46238.581787650473</v>
      </c>
      <c r="D1966" s="2" t="s">
        <v>2097</v>
      </c>
      <c r="E1966" s="2" t="str">
        <f t="shared" si="92"/>
        <v>Email Available</v>
      </c>
      <c r="F1966" s="2" t="s">
        <v>2470</v>
      </c>
      <c r="G1966" s="2" t="s">
        <v>105</v>
      </c>
      <c r="H1966" s="2" t="s">
        <v>106</v>
      </c>
      <c r="I1966" s="2" t="s">
        <v>107</v>
      </c>
      <c r="J1966" s="2">
        <v>1</v>
      </c>
      <c r="K1966" s="2">
        <v>19.989999999999998</v>
      </c>
      <c r="L1966" s="2" t="s">
        <v>25</v>
      </c>
      <c r="M1966" s="2">
        <v>4</v>
      </c>
      <c r="N1966" s="2">
        <v>7.99</v>
      </c>
      <c r="O1966" s="2">
        <v>23.98</v>
      </c>
      <c r="P1966" s="2" t="s">
        <v>68</v>
      </c>
      <c r="Q1966" s="2" t="s">
        <v>28</v>
      </c>
      <c r="R1966" s="2" t="s">
        <v>52</v>
      </c>
      <c r="S1966" s="2" t="s">
        <v>75</v>
      </c>
      <c r="T1966" s="2"/>
      <c r="U1966" s="2" t="str">
        <f t="shared" si="91"/>
        <v>Not Required</v>
      </c>
      <c r="V1966" s="2" t="s">
        <v>5074</v>
      </c>
    </row>
    <row r="1967" spans="1:22" hidden="1" x14ac:dyDescent="0.3">
      <c r="A1967" s="2" t="s">
        <v>5075</v>
      </c>
      <c r="B1967" s="12">
        <f t="shared" si="90"/>
        <v>46238.582492256937</v>
      </c>
      <c r="C1967" s="13">
        <v>46238.582492256937</v>
      </c>
      <c r="D1967" s="2" t="s">
        <v>1506</v>
      </c>
      <c r="E1967" s="2" t="str">
        <f t="shared" si="92"/>
        <v>Email Available</v>
      </c>
      <c r="F1967" s="2" t="s">
        <v>1507</v>
      </c>
      <c r="G1967" s="2" t="s">
        <v>171</v>
      </c>
      <c r="H1967" s="2" t="s">
        <v>106</v>
      </c>
      <c r="I1967" s="2" t="s">
        <v>172</v>
      </c>
      <c r="J1967" s="2">
        <v>1</v>
      </c>
      <c r="K1967" s="2">
        <v>32.99</v>
      </c>
      <c r="L1967" s="2"/>
      <c r="M1967" s="2">
        <v>0</v>
      </c>
      <c r="N1967" s="2">
        <v>4.99</v>
      </c>
      <c r="O1967" s="2">
        <v>37.979999999999997</v>
      </c>
      <c r="P1967" s="2" t="s">
        <v>40</v>
      </c>
      <c r="Q1967" s="2" t="s">
        <v>90</v>
      </c>
      <c r="R1967" s="2" t="s">
        <v>52</v>
      </c>
      <c r="S1967" s="2" t="s">
        <v>43</v>
      </c>
      <c r="T1967" s="2"/>
      <c r="U1967" s="2" t="str">
        <f t="shared" si="91"/>
        <v>Not Required</v>
      </c>
      <c r="V1967" s="2" t="s">
        <v>5076</v>
      </c>
    </row>
    <row r="1968" spans="1:22" hidden="1" x14ac:dyDescent="0.3">
      <c r="A1968" s="2" t="s">
        <v>5077</v>
      </c>
      <c r="B1968" s="12">
        <f t="shared" si="90"/>
        <v>46238.58783016204</v>
      </c>
      <c r="C1968" s="13">
        <v>46238.58783016204</v>
      </c>
      <c r="D1968" s="2" t="s">
        <v>5078</v>
      </c>
      <c r="E1968" s="2" t="str">
        <f t="shared" si="92"/>
        <v>Email Available</v>
      </c>
      <c r="F1968" s="2" t="s">
        <v>5079</v>
      </c>
      <c r="G1968" s="2" t="s">
        <v>284</v>
      </c>
      <c r="H1968" s="2" t="s">
        <v>23</v>
      </c>
      <c r="I1968" s="2" t="s">
        <v>285</v>
      </c>
      <c r="J1968" s="2">
        <v>1</v>
      </c>
      <c r="K1968" s="2">
        <v>24.99</v>
      </c>
      <c r="L1968" s="2" t="s">
        <v>208</v>
      </c>
      <c r="M1968" s="2">
        <v>3.75</v>
      </c>
      <c r="N1968" s="2">
        <v>5.99</v>
      </c>
      <c r="O1968" s="2">
        <v>27.23</v>
      </c>
      <c r="P1968" s="2" t="s">
        <v>68</v>
      </c>
      <c r="Q1968" s="2" t="s">
        <v>28</v>
      </c>
      <c r="R1968" s="2" t="s">
        <v>52</v>
      </c>
      <c r="S1968" s="2" t="s">
        <v>30</v>
      </c>
      <c r="T1968" s="2" t="s">
        <v>115</v>
      </c>
      <c r="U1968" s="2" t="str">
        <f t="shared" si="91"/>
        <v>Valid</v>
      </c>
      <c r="V1968" s="2" t="s">
        <v>5080</v>
      </c>
    </row>
    <row r="1969" spans="1:22" hidden="1" x14ac:dyDescent="0.3">
      <c r="A1969" s="2" t="s">
        <v>5081</v>
      </c>
      <c r="B1969" s="12">
        <f t="shared" si="90"/>
        <v>46238.587821631947</v>
      </c>
      <c r="C1969" s="13">
        <v>46238.587821631947</v>
      </c>
      <c r="D1969" s="2" t="s">
        <v>1543</v>
      </c>
      <c r="E1969" s="2" t="str">
        <f t="shared" si="92"/>
        <v>Email Available</v>
      </c>
      <c r="F1969" s="2" t="s">
        <v>1544</v>
      </c>
      <c r="G1969" s="2" t="s">
        <v>226</v>
      </c>
      <c r="H1969" s="2" t="s">
        <v>23</v>
      </c>
      <c r="I1969" s="2" t="s">
        <v>227</v>
      </c>
      <c r="J1969" s="2">
        <v>2</v>
      </c>
      <c r="K1969" s="2">
        <v>17.989999999999998</v>
      </c>
      <c r="L1969" s="2" t="s">
        <v>25</v>
      </c>
      <c r="M1969" s="2">
        <v>7.2</v>
      </c>
      <c r="N1969" s="2">
        <v>5.99</v>
      </c>
      <c r="O1969" s="2">
        <v>34.770000000000003</v>
      </c>
      <c r="P1969" s="2" t="s">
        <v>74</v>
      </c>
      <c r="Q1969" s="2" t="s">
        <v>28</v>
      </c>
      <c r="R1969" s="2" t="s">
        <v>29</v>
      </c>
      <c r="S1969" s="2" t="s">
        <v>30</v>
      </c>
      <c r="T1969" s="2" t="s">
        <v>115</v>
      </c>
      <c r="U1969" s="2" t="str">
        <f t="shared" si="91"/>
        <v>Valid</v>
      </c>
      <c r="V1969" s="2" t="s">
        <v>5082</v>
      </c>
    </row>
    <row r="1970" spans="1:22" hidden="1" x14ac:dyDescent="0.3">
      <c r="A1970" s="2" t="s">
        <v>5083</v>
      </c>
      <c r="B1970" s="12">
        <f t="shared" si="90"/>
        <v>46238.579876956021</v>
      </c>
      <c r="C1970" s="13">
        <v>46238.579876956021</v>
      </c>
      <c r="D1970" s="2" t="s">
        <v>524</v>
      </c>
      <c r="E1970" s="2" t="str">
        <f t="shared" si="92"/>
        <v>Email Available</v>
      </c>
      <c r="F1970" s="2" t="s">
        <v>525</v>
      </c>
      <c r="G1970" s="2" t="s">
        <v>105</v>
      </c>
      <c r="H1970" s="2" t="s">
        <v>106</v>
      </c>
      <c r="I1970" s="2" t="s">
        <v>107</v>
      </c>
      <c r="J1970" s="2">
        <v>1</v>
      </c>
      <c r="K1970" s="2">
        <v>19.989999999999998</v>
      </c>
      <c r="L1970" s="2" t="s">
        <v>208</v>
      </c>
      <c r="M1970" s="2">
        <v>3</v>
      </c>
      <c r="N1970" s="2">
        <v>7.99</v>
      </c>
      <c r="O1970" s="2">
        <v>24.98</v>
      </c>
      <c r="P1970" s="2" t="s">
        <v>27</v>
      </c>
      <c r="Q1970" s="2" t="s">
        <v>28</v>
      </c>
      <c r="R1970" s="2" t="s">
        <v>99</v>
      </c>
      <c r="S1970" s="2" t="s">
        <v>30</v>
      </c>
      <c r="T1970" s="2" t="s">
        <v>69</v>
      </c>
      <c r="U1970" s="2" t="str">
        <f t="shared" si="91"/>
        <v>Valid</v>
      </c>
      <c r="V1970" s="2" t="s">
        <v>5084</v>
      </c>
    </row>
    <row r="1971" spans="1:22" hidden="1" x14ac:dyDescent="0.3">
      <c r="A1971" s="2" t="s">
        <v>5085</v>
      </c>
      <c r="B1971" s="12">
        <f t="shared" si="90"/>
        <v>46238.585463541669</v>
      </c>
      <c r="C1971" s="13">
        <v>46238.585463541669</v>
      </c>
      <c r="D1971" s="2" t="s">
        <v>3628</v>
      </c>
      <c r="E1971" s="2" t="str">
        <f t="shared" si="92"/>
        <v>Email Available</v>
      </c>
      <c r="F1971" s="2" t="s">
        <v>3629</v>
      </c>
      <c r="G1971" s="2" t="s">
        <v>127</v>
      </c>
      <c r="H1971" s="2" t="s">
        <v>81</v>
      </c>
      <c r="I1971" s="2" t="s">
        <v>128</v>
      </c>
      <c r="J1971" s="2">
        <v>1</v>
      </c>
      <c r="K1971" s="2">
        <v>13.99</v>
      </c>
      <c r="L1971" s="2" t="s">
        <v>25</v>
      </c>
      <c r="M1971" s="2">
        <v>2.8</v>
      </c>
      <c r="N1971" s="2">
        <v>4.99</v>
      </c>
      <c r="O1971" s="2">
        <v>16.18</v>
      </c>
      <c r="P1971" s="2" t="s">
        <v>51</v>
      </c>
      <c r="Q1971" s="2" t="s">
        <v>28</v>
      </c>
      <c r="R1971" s="2" t="s">
        <v>42</v>
      </c>
      <c r="S1971" s="2" t="s">
        <v>337</v>
      </c>
      <c r="T1971" s="2"/>
      <c r="U1971" s="2" t="str">
        <f t="shared" si="91"/>
        <v>Not Required</v>
      </c>
      <c r="V1971" s="2" t="s">
        <v>5086</v>
      </c>
    </row>
    <row r="1972" spans="1:22" hidden="1" x14ac:dyDescent="0.3">
      <c r="A1972" s="2" t="s">
        <v>5087</v>
      </c>
      <c r="B1972" s="12">
        <f t="shared" si="90"/>
        <v>46238.587636539349</v>
      </c>
      <c r="C1972" s="13">
        <v>46238.587636539349</v>
      </c>
      <c r="D1972" s="2" t="s">
        <v>993</v>
      </c>
      <c r="E1972" s="2" t="str">
        <f t="shared" si="92"/>
        <v>Email Available</v>
      </c>
      <c r="F1972" s="2" t="s">
        <v>678</v>
      </c>
      <c r="G1972" s="2" t="s">
        <v>133</v>
      </c>
      <c r="H1972" s="2" t="s">
        <v>106</v>
      </c>
      <c r="I1972" s="2" t="s">
        <v>134</v>
      </c>
      <c r="J1972" s="2">
        <v>2</v>
      </c>
      <c r="K1972" s="2">
        <v>16.989999999999998</v>
      </c>
      <c r="L1972" s="2" t="s">
        <v>67</v>
      </c>
      <c r="M1972" s="2">
        <v>3.4</v>
      </c>
      <c r="N1972" s="2">
        <v>5.99</v>
      </c>
      <c r="O1972" s="2">
        <v>36.57</v>
      </c>
      <c r="P1972" s="2" t="s">
        <v>51</v>
      </c>
      <c r="Q1972" s="2" t="s">
        <v>114</v>
      </c>
      <c r="R1972" s="2" t="s">
        <v>29</v>
      </c>
      <c r="S1972" s="2" t="s">
        <v>30</v>
      </c>
      <c r="T1972" s="2" t="s">
        <v>351</v>
      </c>
      <c r="U1972" s="2" t="str">
        <f t="shared" si="91"/>
        <v>Valid</v>
      </c>
      <c r="V1972" s="2" t="s">
        <v>5088</v>
      </c>
    </row>
    <row r="1973" spans="1:22" hidden="1" x14ac:dyDescent="0.3">
      <c r="A1973" s="2" t="s">
        <v>5089</v>
      </c>
      <c r="B1973" s="12">
        <f t="shared" si="90"/>
        <v>46238.581807129631</v>
      </c>
      <c r="C1973" s="13">
        <v>46238.581807129631</v>
      </c>
      <c r="D1973" s="2" t="s">
        <v>1698</v>
      </c>
      <c r="E1973" s="2" t="str">
        <f t="shared" si="92"/>
        <v>Email Available</v>
      </c>
      <c r="F1973" s="2" t="s">
        <v>1699</v>
      </c>
      <c r="G1973" s="2" t="s">
        <v>127</v>
      </c>
      <c r="H1973" s="2" t="s">
        <v>81</v>
      </c>
      <c r="I1973" s="2" t="s">
        <v>128</v>
      </c>
      <c r="J1973" s="2">
        <v>2</v>
      </c>
      <c r="K1973" s="2">
        <v>13.99</v>
      </c>
      <c r="L1973" s="2" t="s">
        <v>2965</v>
      </c>
      <c r="M1973" s="2">
        <v>5.6</v>
      </c>
      <c r="N1973" s="2">
        <v>5.99</v>
      </c>
      <c r="O1973" s="2">
        <v>28.37</v>
      </c>
      <c r="P1973" s="2" t="s">
        <v>27</v>
      </c>
      <c r="Q1973" s="2" t="s">
        <v>28</v>
      </c>
      <c r="R1973" s="2" t="s">
        <v>52</v>
      </c>
      <c r="S1973" s="2" t="s">
        <v>228</v>
      </c>
      <c r="T1973" s="2"/>
      <c r="U1973" s="2" t="str">
        <f t="shared" si="91"/>
        <v>Not Required</v>
      </c>
      <c r="V1973" s="2" t="s">
        <v>4882</v>
      </c>
    </row>
    <row r="1974" spans="1:22" hidden="1" x14ac:dyDescent="0.3">
      <c r="A1974" s="2" t="s">
        <v>5090</v>
      </c>
      <c r="B1974" s="12">
        <f t="shared" si="90"/>
        <v>46238.587305601854</v>
      </c>
      <c r="C1974" s="13">
        <v>46238.587305601854</v>
      </c>
      <c r="D1974" s="2" t="s">
        <v>1089</v>
      </c>
      <c r="E1974" s="2" t="str">
        <f t="shared" si="92"/>
        <v>Email Available</v>
      </c>
      <c r="F1974" s="2" t="s">
        <v>595</v>
      </c>
      <c r="G1974" s="2" t="s">
        <v>36</v>
      </c>
      <c r="H1974" s="2" t="s">
        <v>37</v>
      </c>
      <c r="I1974" s="2" t="s">
        <v>38</v>
      </c>
      <c r="J1974" s="2">
        <v>1</v>
      </c>
      <c r="K1974" s="2" t="s">
        <v>571</v>
      </c>
      <c r="L1974" s="2" t="s">
        <v>67</v>
      </c>
      <c r="M1974" s="2">
        <v>2.2000000000000002</v>
      </c>
      <c r="N1974" s="2">
        <v>7.99</v>
      </c>
      <c r="O1974" s="2">
        <v>27.78</v>
      </c>
      <c r="P1974" s="2" t="s">
        <v>40</v>
      </c>
      <c r="Q1974" s="2" t="s">
        <v>28</v>
      </c>
      <c r="R1974" s="2" t="s">
        <v>52</v>
      </c>
      <c r="S1974" s="2" t="s">
        <v>30</v>
      </c>
      <c r="T1974" s="2" t="s">
        <v>31</v>
      </c>
      <c r="U1974" s="2" t="str">
        <f t="shared" si="91"/>
        <v>Valid</v>
      </c>
      <c r="V1974" s="2" t="s">
        <v>5091</v>
      </c>
    </row>
    <row r="1975" spans="1:22" hidden="1" x14ac:dyDescent="0.3">
      <c r="A1975" s="2" t="s">
        <v>5092</v>
      </c>
      <c r="B1975" s="12">
        <f t="shared" si="90"/>
        <v>46238.579182187503</v>
      </c>
      <c r="C1975" s="13">
        <v>46238.579182187503</v>
      </c>
      <c r="D1975" s="2" t="s">
        <v>3786</v>
      </c>
      <c r="E1975" s="2" t="str">
        <f t="shared" si="92"/>
        <v>Email Available</v>
      </c>
      <c r="F1975" s="2" t="s">
        <v>3787</v>
      </c>
      <c r="G1975" s="2" t="s">
        <v>195</v>
      </c>
      <c r="H1975" s="2" t="s">
        <v>196</v>
      </c>
      <c r="I1975" s="2" t="s">
        <v>197</v>
      </c>
      <c r="J1975" s="2">
        <v>1</v>
      </c>
      <c r="K1975" s="2">
        <v>13.49</v>
      </c>
      <c r="L1975" s="2" t="s">
        <v>67</v>
      </c>
      <c r="M1975" s="2">
        <v>1.35</v>
      </c>
      <c r="N1975" s="2">
        <v>5.99</v>
      </c>
      <c r="O1975" s="2" t="s">
        <v>5093</v>
      </c>
      <c r="P1975" s="2" t="s">
        <v>40</v>
      </c>
      <c r="Q1975" s="2" t="s">
        <v>28</v>
      </c>
      <c r="R1975" s="2" t="s">
        <v>52</v>
      </c>
      <c r="S1975" s="2" t="s">
        <v>228</v>
      </c>
      <c r="T1975" s="2"/>
      <c r="U1975" s="2" t="str">
        <f t="shared" si="91"/>
        <v>Not Required</v>
      </c>
      <c r="V1975" s="2" t="s">
        <v>5094</v>
      </c>
    </row>
    <row r="1976" spans="1:22" hidden="1" x14ac:dyDescent="0.3">
      <c r="A1976" s="2" t="s">
        <v>5095</v>
      </c>
      <c r="B1976" s="12">
        <f t="shared" si="90"/>
        <v>46238.585184131953</v>
      </c>
      <c r="C1976" s="13">
        <v>46238.585184131953</v>
      </c>
      <c r="D1976" s="2" t="s">
        <v>78</v>
      </c>
      <c r="E1976" s="2" t="str">
        <f t="shared" si="92"/>
        <v>Email Available</v>
      </c>
      <c r="F1976" s="2" t="s">
        <v>79</v>
      </c>
      <c r="G1976" s="2" t="s">
        <v>368</v>
      </c>
      <c r="H1976" s="2" t="s">
        <v>88</v>
      </c>
      <c r="I1976" s="2" t="s">
        <v>369</v>
      </c>
      <c r="J1976" s="2">
        <v>2</v>
      </c>
      <c r="K1976" s="2">
        <v>54.99</v>
      </c>
      <c r="L1976" s="2"/>
      <c r="M1976" s="2">
        <v>0</v>
      </c>
      <c r="N1976" s="2">
        <v>0</v>
      </c>
      <c r="O1976" s="2">
        <v>109.98</v>
      </c>
      <c r="P1976" s="2" t="s">
        <v>27</v>
      </c>
      <c r="Q1976" s="2" t="s">
        <v>28</v>
      </c>
      <c r="R1976" s="2" t="s">
        <v>99</v>
      </c>
      <c r="S1976" s="2" t="s">
        <v>75</v>
      </c>
      <c r="T1976" s="2"/>
      <c r="U1976" s="2" t="str">
        <f t="shared" si="91"/>
        <v>Not Required</v>
      </c>
      <c r="V1976" s="2" t="s">
        <v>5096</v>
      </c>
    </row>
    <row r="1977" spans="1:22" hidden="1" x14ac:dyDescent="0.3">
      <c r="A1977" s="2" t="s">
        <v>5097</v>
      </c>
      <c r="B1977" s="12">
        <f t="shared" si="90"/>
        <v>46238.58610990741</v>
      </c>
      <c r="C1977" s="13">
        <v>46238.58610990741</v>
      </c>
      <c r="D1977" s="2" t="s">
        <v>3061</v>
      </c>
      <c r="E1977" s="2" t="str">
        <f t="shared" si="92"/>
        <v>Email Available</v>
      </c>
      <c r="F1977" s="2" t="s">
        <v>166</v>
      </c>
      <c r="G1977" s="2" t="s">
        <v>206</v>
      </c>
      <c r="H1977" s="2" t="s">
        <v>196</v>
      </c>
      <c r="I1977" s="2" t="s">
        <v>207</v>
      </c>
      <c r="J1977" s="2">
        <v>1</v>
      </c>
      <c r="K1977" s="2">
        <v>24.99</v>
      </c>
      <c r="L1977" s="2"/>
      <c r="M1977" s="2">
        <v>0</v>
      </c>
      <c r="N1977" s="2">
        <v>5.99</v>
      </c>
      <c r="O1977" s="2">
        <v>30.98</v>
      </c>
      <c r="P1977" s="2" t="s">
        <v>74</v>
      </c>
      <c r="Q1977" s="2" t="s">
        <v>28</v>
      </c>
      <c r="R1977" s="2" t="s">
        <v>52</v>
      </c>
      <c r="S1977" s="2" t="s">
        <v>30</v>
      </c>
      <c r="T1977" s="2" t="s">
        <v>69</v>
      </c>
      <c r="U1977" s="2" t="str">
        <f t="shared" si="91"/>
        <v>Valid</v>
      </c>
      <c r="V1977" s="2" t="s">
        <v>5098</v>
      </c>
    </row>
    <row r="1978" spans="1:22" hidden="1" x14ac:dyDescent="0.3">
      <c r="A1978" s="2" t="s">
        <v>5099</v>
      </c>
      <c r="B1978" s="12">
        <f t="shared" si="90"/>
        <v>46238.579247314818</v>
      </c>
      <c r="C1978" s="13">
        <v>46238.579247314818</v>
      </c>
      <c r="D1978" s="2" t="s">
        <v>193</v>
      </c>
      <c r="E1978" s="2" t="str">
        <f t="shared" si="92"/>
        <v>Email Available</v>
      </c>
      <c r="F1978" s="2" t="s">
        <v>194</v>
      </c>
      <c r="G1978" s="2" t="s">
        <v>112</v>
      </c>
      <c r="H1978" s="2" t="s">
        <v>81</v>
      </c>
      <c r="I1978" s="2" t="s">
        <v>113</v>
      </c>
      <c r="J1978" s="2">
        <v>1</v>
      </c>
      <c r="K1978" s="2">
        <v>22.99</v>
      </c>
      <c r="L1978" s="2" t="s">
        <v>25</v>
      </c>
      <c r="M1978" s="2" t="s">
        <v>5100</v>
      </c>
      <c r="N1978" s="2">
        <v>5.99</v>
      </c>
      <c r="O1978" s="2">
        <v>24.38</v>
      </c>
      <c r="P1978" s="2" t="s">
        <v>51</v>
      </c>
      <c r="Q1978" s="2" t="s">
        <v>90</v>
      </c>
      <c r="R1978" s="2" t="s">
        <v>42</v>
      </c>
      <c r="S1978" s="2" t="s">
        <v>30</v>
      </c>
      <c r="T1978" s="2" t="s">
        <v>115</v>
      </c>
      <c r="U1978" s="2" t="str">
        <f t="shared" si="91"/>
        <v>Valid</v>
      </c>
      <c r="V1978" s="2" t="s">
        <v>5101</v>
      </c>
    </row>
    <row r="1979" spans="1:22" hidden="1" x14ac:dyDescent="0.3">
      <c r="A1979" s="2" t="s">
        <v>5102</v>
      </c>
      <c r="B1979" s="12">
        <f t="shared" ref="B1979:B2036" si="93">IF(ISNUMBER(C1979),C1979,DATEVALUE(SUBSTITUTE(TRIM(C1979),CHAR(160)," ")))</f>
        <v>46238.584741307874</v>
      </c>
      <c r="C1979" s="13">
        <v>46238.584741307874</v>
      </c>
      <c r="D1979" s="2" t="s">
        <v>825</v>
      </c>
      <c r="E1979" s="2" t="str">
        <f t="shared" si="92"/>
        <v>Email Available</v>
      </c>
      <c r="F1979" s="2" t="s">
        <v>826</v>
      </c>
      <c r="G1979" s="2" t="s">
        <v>151</v>
      </c>
      <c r="H1979" s="2" t="s">
        <v>49</v>
      </c>
      <c r="I1979" s="2" t="s">
        <v>152</v>
      </c>
      <c r="J1979" s="2">
        <v>3</v>
      </c>
      <c r="K1979" s="2" t="s">
        <v>346</v>
      </c>
      <c r="L1979" s="2" t="s">
        <v>39</v>
      </c>
      <c r="M1979" s="2">
        <v>0</v>
      </c>
      <c r="N1979" s="2">
        <v>0</v>
      </c>
      <c r="O1979" s="2">
        <v>104.97</v>
      </c>
      <c r="P1979" s="2" t="s">
        <v>74</v>
      </c>
      <c r="Q1979" s="2" t="s">
        <v>28</v>
      </c>
      <c r="R1979" s="2" t="s">
        <v>52</v>
      </c>
      <c r="S1979" s="2" t="s">
        <v>75</v>
      </c>
      <c r="T1979" s="2"/>
      <c r="U1979" s="2" t="str">
        <f t="shared" ref="U1979:U2036" si="94">IF(AND(S1979="United States",T1979=""),"Missing state",IF(T1979="","Not Required","Valid"))</f>
        <v>Not Required</v>
      </c>
      <c r="V1979" s="2" t="s">
        <v>5103</v>
      </c>
    </row>
    <row r="1980" spans="1:22" hidden="1" x14ac:dyDescent="0.3">
      <c r="A1980" s="2" t="s">
        <v>5104</v>
      </c>
      <c r="B1980" s="12">
        <f>DATE(VALUE(RIGHT(C1980,4)),MATCH(LEFT(C1980,3),{"Jan","Feb","Mar","Apr","May","Jun","Jul","Aug","Sep","Oct","Nov","Dec"},0),VALUE(MID(C1980,5,2)))</f>
        <v>46238</v>
      </c>
      <c r="C1980" s="13" t="s">
        <v>176</v>
      </c>
      <c r="D1980" s="2" t="s">
        <v>733</v>
      </c>
      <c r="E1980" s="2" t="str">
        <f t="shared" si="92"/>
        <v>Email Available</v>
      </c>
      <c r="F1980" s="2" t="s">
        <v>734</v>
      </c>
      <c r="G1980" s="2" t="s">
        <v>226</v>
      </c>
      <c r="H1980" s="2" t="s">
        <v>23</v>
      </c>
      <c r="I1980" s="2" t="s">
        <v>227</v>
      </c>
      <c r="J1980" s="2">
        <v>2</v>
      </c>
      <c r="K1980" s="2">
        <v>17.989999999999998</v>
      </c>
      <c r="L1980" s="2" t="s">
        <v>208</v>
      </c>
      <c r="M1980" s="2">
        <v>5.4</v>
      </c>
      <c r="N1980" s="2">
        <v>5.99</v>
      </c>
      <c r="O1980" s="2">
        <v>36.57</v>
      </c>
      <c r="P1980" s="2" t="s">
        <v>68</v>
      </c>
      <c r="Q1980" s="2" t="s">
        <v>28</v>
      </c>
      <c r="R1980" s="2" t="s">
        <v>52</v>
      </c>
      <c r="S1980" s="2" t="s">
        <v>108</v>
      </c>
      <c r="T1980" s="2"/>
      <c r="U1980" s="2" t="str">
        <f t="shared" si="94"/>
        <v>Not Required</v>
      </c>
      <c r="V1980" s="2" t="s">
        <v>5105</v>
      </c>
    </row>
    <row r="1981" spans="1:22" hidden="1" x14ac:dyDescent="0.3">
      <c r="A1981" s="2" t="s">
        <v>5106</v>
      </c>
      <c r="B1981" s="12">
        <f t="shared" si="93"/>
        <v>46238.588891319443</v>
      </c>
      <c r="C1981" s="13">
        <v>46238.588891319443</v>
      </c>
      <c r="D1981" s="2" t="s">
        <v>181</v>
      </c>
      <c r="E1981" s="2" t="str">
        <f t="shared" si="92"/>
        <v>Email Available</v>
      </c>
      <c r="F1981" s="2" t="s">
        <v>182</v>
      </c>
      <c r="G1981" s="2" t="s">
        <v>1779</v>
      </c>
      <c r="H1981" s="2" t="s">
        <v>49</v>
      </c>
      <c r="I1981" s="2" t="s">
        <v>453</v>
      </c>
      <c r="J1981" s="2">
        <v>1</v>
      </c>
      <c r="K1981" s="2">
        <v>14.99</v>
      </c>
      <c r="L1981" s="2"/>
      <c r="M1981" s="2">
        <v>0</v>
      </c>
      <c r="N1981" s="2">
        <v>4.99</v>
      </c>
      <c r="O1981" s="2">
        <v>19.98</v>
      </c>
      <c r="P1981" s="2" t="s">
        <v>40</v>
      </c>
      <c r="Q1981" s="2" t="s">
        <v>41</v>
      </c>
      <c r="R1981" s="2" t="s">
        <v>42</v>
      </c>
      <c r="S1981" s="2" t="s">
        <v>30</v>
      </c>
      <c r="T1981" s="2" t="s">
        <v>115</v>
      </c>
      <c r="U1981" s="2" t="str">
        <f t="shared" si="94"/>
        <v>Valid</v>
      </c>
      <c r="V1981" s="2" t="s">
        <v>5107</v>
      </c>
    </row>
    <row r="1982" spans="1:22" hidden="1" x14ac:dyDescent="0.3">
      <c r="A1982" s="2" t="s">
        <v>5108</v>
      </c>
      <c r="B1982" s="12">
        <f t="shared" si="93"/>
        <v>46238.584643321759</v>
      </c>
      <c r="C1982" s="13">
        <v>46238.584643321759</v>
      </c>
      <c r="D1982" s="2" t="s">
        <v>428</v>
      </c>
      <c r="E1982" s="2" t="str">
        <f t="shared" si="92"/>
        <v>Email Available</v>
      </c>
      <c r="F1982" s="2" t="s">
        <v>429</v>
      </c>
      <c r="G1982" s="2" t="s">
        <v>171</v>
      </c>
      <c r="H1982" s="2" t="s">
        <v>106</v>
      </c>
      <c r="I1982" s="2" t="s">
        <v>172</v>
      </c>
      <c r="J1982" s="2">
        <v>1</v>
      </c>
      <c r="K1982" s="2">
        <v>32.99</v>
      </c>
      <c r="L1982" s="2" t="s">
        <v>67</v>
      </c>
      <c r="M1982" s="2">
        <v>3.3</v>
      </c>
      <c r="N1982" s="2">
        <v>7.99</v>
      </c>
      <c r="O1982" s="2">
        <v>37.68</v>
      </c>
      <c r="P1982" s="2" t="s">
        <v>51</v>
      </c>
      <c r="Q1982" s="2" t="s">
        <v>28</v>
      </c>
      <c r="R1982" s="2" t="s">
        <v>52</v>
      </c>
      <c r="S1982" s="2" t="s">
        <v>30</v>
      </c>
      <c r="T1982" s="2" t="s">
        <v>145</v>
      </c>
      <c r="U1982" s="2" t="str">
        <f t="shared" si="94"/>
        <v>Valid</v>
      </c>
      <c r="V1982" s="2" t="s">
        <v>5109</v>
      </c>
    </row>
    <row r="1983" spans="1:22" hidden="1" x14ac:dyDescent="0.3">
      <c r="A1983" s="2" t="s">
        <v>5110</v>
      </c>
      <c r="B1983" s="12">
        <f t="shared" si="93"/>
        <v>46238.578866863427</v>
      </c>
      <c r="C1983" s="13">
        <v>46238.578866863427</v>
      </c>
      <c r="D1983" s="2" t="s">
        <v>1471</v>
      </c>
      <c r="E1983" s="2" t="str">
        <f t="shared" si="92"/>
        <v>Email Available</v>
      </c>
      <c r="F1983" s="2" t="s">
        <v>1472</v>
      </c>
      <c r="G1983" s="2" t="s">
        <v>105</v>
      </c>
      <c r="H1983" s="2" t="s">
        <v>106</v>
      </c>
      <c r="I1983" s="2" t="s">
        <v>107</v>
      </c>
      <c r="J1983" s="2">
        <v>1</v>
      </c>
      <c r="K1983" s="2">
        <v>19.989999999999998</v>
      </c>
      <c r="L1983" s="2"/>
      <c r="M1983" s="2">
        <v>0</v>
      </c>
      <c r="N1983" s="2">
        <v>7.99</v>
      </c>
      <c r="O1983" s="2">
        <v>27.98</v>
      </c>
      <c r="P1983" s="2" t="s">
        <v>68</v>
      </c>
      <c r="Q1983" s="2" t="s">
        <v>41</v>
      </c>
      <c r="R1983" s="2" t="s">
        <v>52</v>
      </c>
      <c r="S1983" s="2" t="s">
        <v>30</v>
      </c>
      <c r="T1983" s="2" t="s">
        <v>347</v>
      </c>
      <c r="U1983" s="2" t="str">
        <f t="shared" si="94"/>
        <v>Valid</v>
      </c>
      <c r="V1983" s="2" t="s">
        <v>5111</v>
      </c>
    </row>
    <row r="1984" spans="1:22" hidden="1" x14ac:dyDescent="0.3">
      <c r="A1984" s="2" t="s">
        <v>5112</v>
      </c>
      <c r="B1984" s="12">
        <f t="shared" si="93"/>
        <v>46238.584248634259</v>
      </c>
      <c r="C1984" s="13">
        <v>46238.584248634259</v>
      </c>
      <c r="D1984" s="2" t="s">
        <v>2908</v>
      </c>
      <c r="E1984" s="2" t="str">
        <f t="shared" si="92"/>
        <v>Email Available</v>
      </c>
      <c r="F1984" s="2" t="s">
        <v>2909</v>
      </c>
      <c r="G1984" s="2" t="s">
        <v>105</v>
      </c>
      <c r="H1984" s="2" t="s">
        <v>106</v>
      </c>
      <c r="I1984" s="2" t="s">
        <v>107</v>
      </c>
      <c r="J1984" s="2">
        <v>3</v>
      </c>
      <c r="K1984" s="2">
        <v>19.989999999999998</v>
      </c>
      <c r="L1984" s="2"/>
      <c r="M1984" s="2">
        <v>0</v>
      </c>
      <c r="N1984" s="2">
        <v>5.99</v>
      </c>
      <c r="O1984" s="2">
        <v>65.959999999999994</v>
      </c>
      <c r="P1984" s="2" t="s">
        <v>68</v>
      </c>
      <c r="Q1984" s="2" t="s">
        <v>28</v>
      </c>
      <c r="R1984" s="2" t="s">
        <v>52</v>
      </c>
      <c r="S1984" s="2" t="s">
        <v>30</v>
      </c>
      <c r="T1984" s="2" t="s">
        <v>69</v>
      </c>
      <c r="U1984" s="2" t="str">
        <f t="shared" si="94"/>
        <v>Valid</v>
      </c>
      <c r="V1984" s="2" t="s">
        <v>2830</v>
      </c>
    </row>
    <row r="1985" spans="1:22" hidden="1" x14ac:dyDescent="0.3">
      <c r="A1985" s="2" t="s">
        <v>5113</v>
      </c>
      <c r="B1985" s="12">
        <f t="shared" si="93"/>
        <v>46120</v>
      </c>
      <c r="C1985" s="13" t="s">
        <v>142</v>
      </c>
      <c r="D1985" s="2" t="s">
        <v>2396</v>
      </c>
      <c r="E1985" s="2" t="str">
        <f t="shared" si="92"/>
        <v>Email Available</v>
      </c>
      <c r="F1985" s="2" t="s">
        <v>2397</v>
      </c>
      <c r="G1985" s="2" t="s">
        <v>65</v>
      </c>
      <c r="H1985" s="2" t="s">
        <v>49</v>
      </c>
      <c r="I1985" s="2" t="s">
        <v>66</v>
      </c>
      <c r="J1985" s="2">
        <v>2</v>
      </c>
      <c r="K1985" s="2">
        <v>14.99</v>
      </c>
      <c r="L1985" s="2" t="s">
        <v>208</v>
      </c>
      <c r="M1985" s="2">
        <v>4.5</v>
      </c>
      <c r="N1985" s="2">
        <v>7.99</v>
      </c>
      <c r="O1985" s="2">
        <v>33.47</v>
      </c>
      <c r="P1985" s="2" t="s">
        <v>74</v>
      </c>
      <c r="Q1985" s="2" t="s">
        <v>41</v>
      </c>
      <c r="R1985" s="2" t="s">
        <v>52</v>
      </c>
      <c r="S1985" s="2" t="s">
        <v>108</v>
      </c>
      <c r="T1985" s="2"/>
      <c r="U1985" s="2" t="str">
        <f t="shared" si="94"/>
        <v>Not Required</v>
      </c>
      <c r="V1985" s="2" t="s">
        <v>5114</v>
      </c>
    </row>
    <row r="1986" spans="1:22" hidden="1" x14ac:dyDescent="0.3">
      <c r="A1986" s="2" t="s">
        <v>5115</v>
      </c>
      <c r="B1986" s="12">
        <f t="shared" si="93"/>
        <v>46238.583600740742</v>
      </c>
      <c r="C1986" s="13">
        <v>46238.583600740742</v>
      </c>
      <c r="D1986" s="2" t="s">
        <v>3869</v>
      </c>
      <c r="E1986" s="2" t="str">
        <f t="shared" si="92"/>
        <v>Email Available</v>
      </c>
      <c r="F1986" s="2" t="s">
        <v>3870</v>
      </c>
      <c r="G1986" s="2" t="s">
        <v>48</v>
      </c>
      <c r="H1986" s="2" t="s">
        <v>49</v>
      </c>
      <c r="I1986" s="2" t="s">
        <v>50</v>
      </c>
      <c r="J1986" s="2">
        <v>1</v>
      </c>
      <c r="K1986" s="2">
        <v>39.99</v>
      </c>
      <c r="L1986" s="2"/>
      <c r="M1986" s="2">
        <v>0</v>
      </c>
      <c r="N1986" s="2">
        <v>4.99</v>
      </c>
      <c r="O1986" s="2">
        <v>44.98</v>
      </c>
      <c r="P1986" s="2" t="s">
        <v>27</v>
      </c>
      <c r="Q1986" s="2" t="s">
        <v>28</v>
      </c>
      <c r="R1986" s="2" t="s">
        <v>29</v>
      </c>
      <c r="S1986" s="2" t="s">
        <v>337</v>
      </c>
      <c r="T1986" s="2"/>
      <c r="U1986" s="2" t="str">
        <f t="shared" si="94"/>
        <v>Not Required</v>
      </c>
      <c r="V1986" s="2" t="s">
        <v>5116</v>
      </c>
    </row>
    <row r="1987" spans="1:22" hidden="1" x14ac:dyDescent="0.3">
      <c r="A1987" s="2" t="s">
        <v>5117</v>
      </c>
      <c r="B1987" s="12">
        <f t="shared" si="93"/>
        <v>46238.582801215278</v>
      </c>
      <c r="C1987" s="13">
        <v>46238.582801215278</v>
      </c>
      <c r="D1987" s="2" t="s">
        <v>231</v>
      </c>
      <c r="E1987" s="2" t="str">
        <f t="shared" ref="E1987:E2044" si="95">IF(TRIM(F1987)="","Missing Email","Email Available")</f>
        <v>Email Available</v>
      </c>
      <c r="F1987" s="2" t="s">
        <v>232</v>
      </c>
      <c r="G1987" s="2" t="s">
        <v>241</v>
      </c>
      <c r="H1987" s="2" t="s">
        <v>242</v>
      </c>
      <c r="I1987" s="2" t="s">
        <v>243</v>
      </c>
      <c r="J1987" s="2">
        <v>2</v>
      </c>
      <c r="K1987" s="2">
        <v>27.99</v>
      </c>
      <c r="L1987" s="2" t="s">
        <v>39</v>
      </c>
      <c r="M1987" s="2">
        <v>0</v>
      </c>
      <c r="N1987" s="2">
        <v>0</v>
      </c>
      <c r="O1987" s="2" t="s">
        <v>2639</v>
      </c>
      <c r="P1987" s="2" t="s">
        <v>68</v>
      </c>
      <c r="Q1987" s="2" t="s">
        <v>28</v>
      </c>
      <c r="R1987" s="2" t="s">
        <v>52</v>
      </c>
      <c r="S1987" s="2" t="s">
        <v>30</v>
      </c>
      <c r="T1987" s="2" t="s">
        <v>115</v>
      </c>
      <c r="U1987" s="2" t="str">
        <f t="shared" si="94"/>
        <v>Valid</v>
      </c>
      <c r="V1987" s="2" t="s">
        <v>5118</v>
      </c>
    </row>
    <row r="1988" spans="1:22" hidden="1" x14ac:dyDescent="0.3">
      <c r="A1988" s="2" t="s">
        <v>5119</v>
      </c>
      <c r="B1988" s="12">
        <f t="shared" si="93"/>
        <v>46238.580760011573</v>
      </c>
      <c r="C1988" s="13">
        <v>46238.580760011573</v>
      </c>
      <c r="D1988" s="2" t="s">
        <v>1560</v>
      </c>
      <c r="E1988" s="2" t="str">
        <f t="shared" si="95"/>
        <v>Email Available</v>
      </c>
      <c r="F1988" s="2" t="s">
        <v>1561</v>
      </c>
      <c r="G1988" s="2" t="s">
        <v>87</v>
      </c>
      <c r="H1988" s="2" t="s">
        <v>88</v>
      </c>
      <c r="I1988" s="2" t="s">
        <v>89</v>
      </c>
      <c r="J1988" s="2">
        <v>2</v>
      </c>
      <c r="K1988" s="2">
        <v>54.99</v>
      </c>
      <c r="L1988" s="2" t="s">
        <v>39</v>
      </c>
      <c r="M1988" s="2">
        <v>0</v>
      </c>
      <c r="N1988" s="2">
        <v>0</v>
      </c>
      <c r="O1988" s="2">
        <v>109.98</v>
      </c>
      <c r="P1988" s="2" t="s">
        <v>40</v>
      </c>
      <c r="Q1988" s="2" t="s">
        <v>90</v>
      </c>
      <c r="R1988" s="2" t="s">
        <v>52</v>
      </c>
      <c r="S1988" s="2" t="s">
        <v>30</v>
      </c>
      <c r="T1988" s="2" t="s">
        <v>248</v>
      </c>
      <c r="U1988" s="2" t="str">
        <f t="shared" si="94"/>
        <v>Valid</v>
      </c>
      <c r="V1988" s="2" t="s">
        <v>5120</v>
      </c>
    </row>
    <row r="1989" spans="1:22" hidden="1" x14ac:dyDescent="0.3">
      <c r="A1989" s="2" t="s">
        <v>5121</v>
      </c>
      <c r="B1989" s="12">
        <f t="shared" si="93"/>
        <v>46238.581403715281</v>
      </c>
      <c r="C1989" s="13">
        <v>46238.581403715281</v>
      </c>
      <c r="D1989" s="2" t="s">
        <v>3540</v>
      </c>
      <c r="E1989" s="2" t="str">
        <f t="shared" si="95"/>
        <v>Email Available</v>
      </c>
      <c r="F1989" s="2" t="s">
        <v>3541</v>
      </c>
      <c r="G1989" s="2" t="s">
        <v>65</v>
      </c>
      <c r="H1989" s="2" t="s">
        <v>49</v>
      </c>
      <c r="I1989" s="2" t="s">
        <v>66</v>
      </c>
      <c r="J1989" s="2">
        <v>1</v>
      </c>
      <c r="K1989" s="2">
        <v>14.99</v>
      </c>
      <c r="L1989" s="2"/>
      <c r="M1989" s="2">
        <v>0</v>
      </c>
      <c r="N1989" s="2">
        <v>7.99</v>
      </c>
      <c r="O1989" s="2">
        <v>22.98</v>
      </c>
      <c r="P1989" s="2" t="s">
        <v>51</v>
      </c>
      <c r="Q1989" s="2" t="s">
        <v>28</v>
      </c>
      <c r="R1989" s="2" t="s">
        <v>52</v>
      </c>
      <c r="S1989" s="2" t="s">
        <v>30</v>
      </c>
      <c r="T1989" s="2" t="s">
        <v>347</v>
      </c>
      <c r="U1989" s="2" t="str">
        <f t="shared" si="94"/>
        <v>Valid</v>
      </c>
      <c r="V1989" s="2" t="s">
        <v>5122</v>
      </c>
    </row>
    <row r="1990" spans="1:22" hidden="1" x14ac:dyDescent="0.3">
      <c r="A1990" s="2" t="s">
        <v>5123</v>
      </c>
      <c r="B1990" s="12">
        <f t="shared" si="93"/>
        <v>46238.588749641203</v>
      </c>
      <c r="C1990" s="13">
        <v>46238.588749641203</v>
      </c>
      <c r="D1990" s="2" t="s">
        <v>1290</v>
      </c>
      <c r="E1990" s="2" t="str">
        <f t="shared" si="95"/>
        <v>Email Available</v>
      </c>
      <c r="F1990" s="2" t="s">
        <v>1291</v>
      </c>
      <c r="G1990" s="2" t="s">
        <v>105</v>
      </c>
      <c r="H1990" s="2" t="s">
        <v>106</v>
      </c>
      <c r="I1990" s="2" t="s">
        <v>107</v>
      </c>
      <c r="J1990" s="2">
        <v>1</v>
      </c>
      <c r="K1990" s="2">
        <v>19.989999999999998</v>
      </c>
      <c r="L1990" s="2"/>
      <c r="M1990" s="2">
        <v>0</v>
      </c>
      <c r="N1990" s="2">
        <v>4.99</v>
      </c>
      <c r="O1990" s="2">
        <v>24.98</v>
      </c>
      <c r="P1990" s="2" t="s">
        <v>74</v>
      </c>
      <c r="Q1990" s="2" t="s">
        <v>28</v>
      </c>
      <c r="R1990" s="2" t="s">
        <v>52</v>
      </c>
      <c r="S1990" s="2" t="s">
        <v>75</v>
      </c>
      <c r="T1990" s="2"/>
      <c r="U1990" s="2" t="str">
        <f t="shared" si="94"/>
        <v>Not Required</v>
      </c>
      <c r="V1990" s="2" t="s">
        <v>505</v>
      </c>
    </row>
    <row r="1991" spans="1:22" hidden="1" x14ac:dyDescent="0.3">
      <c r="A1991" s="2" t="s">
        <v>5124</v>
      </c>
      <c r="B1991" s="12">
        <f t="shared" si="93"/>
        <v>46238.587453738422</v>
      </c>
      <c r="C1991" s="13">
        <v>46238.587453738422</v>
      </c>
      <c r="D1991" s="2" t="s">
        <v>3045</v>
      </c>
      <c r="E1991" s="2" t="str">
        <f t="shared" si="95"/>
        <v>Email Available</v>
      </c>
      <c r="F1991" s="2" t="s">
        <v>3046</v>
      </c>
      <c r="G1991" s="2" t="s">
        <v>65</v>
      </c>
      <c r="H1991" s="2" t="s">
        <v>49</v>
      </c>
      <c r="I1991" s="2" t="s">
        <v>453</v>
      </c>
      <c r="J1991" s="2">
        <v>1</v>
      </c>
      <c r="K1991" s="2" t="s">
        <v>1485</v>
      </c>
      <c r="L1991" s="2" t="s">
        <v>25</v>
      </c>
      <c r="M1991" s="2" t="s">
        <v>4624</v>
      </c>
      <c r="N1991" s="2">
        <v>5.99</v>
      </c>
      <c r="O1991" s="2">
        <v>17.98</v>
      </c>
      <c r="P1991" s="2" t="s">
        <v>40</v>
      </c>
      <c r="Q1991" s="2" t="s">
        <v>90</v>
      </c>
      <c r="R1991" s="2" t="s">
        <v>52</v>
      </c>
      <c r="S1991" s="2" t="s">
        <v>30</v>
      </c>
      <c r="T1991" s="2" t="s">
        <v>248</v>
      </c>
      <c r="U1991" s="2" t="str">
        <f t="shared" si="94"/>
        <v>Valid</v>
      </c>
      <c r="V1991" s="2" t="s">
        <v>1688</v>
      </c>
    </row>
    <row r="1992" spans="1:22" hidden="1" x14ac:dyDescent="0.3">
      <c r="A1992" s="2" t="s">
        <v>5125</v>
      </c>
      <c r="B1992" s="12">
        <f t="shared" si="93"/>
        <v>46238.583896076387</v>
      </c>
      <c r="C1992" s="13">
        <v>46238.583896076387</v>
      </c>
      <c r="D1992" s="2" t="s">
        <v>5126</v>
      </c>
      <c r="E1992" s="2" t="str">
        <f t="shared" si="95"/>
        <v>Email Available</v>
      </c>
      <c r="F1992" s="2" t="s">
        <v>820</v>
      </c>
      <c r="G1992" s="2" t="s">
        <v>241</v>
      </c>
      <c r="H1992" s="2" t="s">
        <v>242</v>
      </c>
      <c r="I1992" s="2" t="s">
        <v>243</v>
      </c>
      <c r="J1992" s="2">
        <v>1</v>
      </c>
      <c r="K1992" s="2">
        <v>27.99</v>
      </c>
      <c r="L1992" s="2" t="s">
        <v>67</v>
      </c>
      <c r="M1992" s="2">
        <v>2.8</v>
      </c>
      <c r="N1992" s="2">
        <v>7.99</v>
      </c>
      <c r="O1992" s="2">
        <v>33.18</v>
      </c>
      <c r="P1992" s="2" t="s">
        <v>68</v>
      </c>
      <c r="Q1992" s="2" t="s">
        <v>114</v>
      </c>
      <c r="R1992" s="2" t="s">
        <v>52</v>
      </c>
      <c r="S1992" s="2" t="s">
        <v>30</v>
      </c>
      <c r="T1992" s="2" t="s">
        <v>139</v>
      </c>
      <c r="U1992" s="2" t="str">
        <f t="shared" si="94"/>
        <v>Valid</v>
      </c>
      <c r="V1992" s="2" t="s">
        <v>5127</v>
      </c>
    </row>
    <row r="1993" spans="1:22" hidden="1" x14ac:dyDescent="0.3">
      <c r="A1993" s="2" t="s">
        <v>5128</v>
      </c>
      <c r="B1993" s="12">
        <f t="shared" si="93"/>
        <v>46238</v>
      </c>
      <c r="C1993" s="13" t="s">
        <v>148</v>
      </c>
      <c r="D1993" s="2" t="s">
        <v>200</v>
      </c>
      <c r="E1993" s="2" t="str">
        <f t="shared" si="95"/>
        <v>Email Available</v>
      </c>
      <c r="F1993" s="2" t="s">
        <v>201</v>
      </c>
      <c r="G1993" s="2" t="s">
        <v>48</v>
      </c>
      <c r="H1993" s="2" t="s">
        <v>49</v>
      </c>
      <c r="I1993" s="2" t="s">
        <v>50</v>
      </c>
      <c r="J1993" s="2">
        <v>1</v>
      </c>
      <c r="K1993" s="2">
        <v>39.99</v>
      </c>
      <c r="L1993" s="2" t="s">
        <v>208</v>
      </c>
      <c r="M1993" s="2">
        <v>6</v>
      </c>
      <c r="N1993" s="2">
        <v>4.99</v>
      </c>
      <c r="O1993" s="2">
        <v>38.979999999999997</v>
      </c>
      <c r="P1993" s="2" t="s">
        <v>40</v>
      </c>
      <c r="Q1993" s="2" t="s">
        <v>28</v>
      </c>
      <c r="R1993" s="2" t="s">
        <v>99</v>
      </c>
      <c r="S1993" s="2" t="s">
        <v>30</v>
      </c>
      <c r="T1993" s="2" t="s">
        <v>60</v>
      </c>
      <c r="U1993" s="2" t="str">
        <f t="shared" si="94"/>
        <v>Valid</v>
      </c>
      <c r="V1993" s="2" t="s">
        <v>5129</v>
      </c>
    </row>
    <row r="1994" spans="1:22" hidden="1" x14ac:dyDescent="0.3">
      <c r="A1994" s="2" t="s">
        <v>5130</v>
      </c>
      <c r="B1994" s="12">
        <f t="shared" si="93"/>
        <v>46238.58793577546</v>
      </c>
      <c r="C1994" s="13">
        <v>46238.58793577546</v>
      </c>
      <c r="D1994" s="2" t="s">
        <v>5131</v>
      </c>
      <c r="E1994" s="2" t="str">
        <f t="shared" si="95"/>
        <v>Email Available</v>
      </c>
      <c r="F1994" s="2" t="s">
        <v>1104</v>
      </c>
      <c r="G1994" s="2" t="s">
        <v>105</v>
      </c>
      <c r="H1994" s="2" t="s">
        <v>106</v>
      </c>
      <c r="I1994" s="2" t="s">
        <v>107</v>
      </c>
      <c r="J1994" s="2">
        <v>1</v>
      </c>
      <c r="K1994" s="2">
        <v>19.989999999999998</v>
      </c>
      <c r="L1994" s="2"/>
      <c r="M1994" s="2">
        <v>0</v>
      </c>
      <c r="N1994" s="2">
        <v>7.99</v>
      </c>
      <c r="O1994" s="2">
        <v>27.98</v>
      </c>
      <c r="P1994" s="2" t="s">
        <v>68</v>
      </c>
      <c r="Q1994" s="2" t="s">
        <v>28</v>
      </c>
      <c r="R1994" s="2" t="s">
        <v>42</v>
      </c>
      <c r="S1994" s="2" t="s">
        <v>337</v>
      </c>
      <c r="T1994" s="2"/>
      <c r="U1994" s="2" t="str">
        <f t="shared" si="94"/>
        <v>Not Required</v>
      </c>
      <c r="V1994" s="2" t="s">
        <v>5132</v>
      </c>
    </row>
    <row r="1995" spans="1:22" hidden="1" x14ac:dyDescent="0.3">
      <c r="A1995" s="2" t="s">
        <v>5133</v>
      </c>
      <c r="B1995" s="12">
        <f t="shared" si="93"/>
        <v>46238.583800381937</v>
      </c>
      <c r="C1995" s="13">
        <v>46238.583800381937</v>
      </c>
      <c r="D1995" s="2" t="s">
        <v>384</v>
      </c>
      <c r="E1995" s="2" t="str">
        <f t="shared" si="95"/>
        <v>Email Available</v>
      </c>
      <c r="F1995" s="2" t="s">
        <v>385</v>
      </c>
      <c r="G1995" s="2" t="s">
        <v>368</v>
      </c>
      <c r="H1995" s="2" t="s">
        <v>88</v>
      </c>
      <c r="I1995" s="2" t="s">
        <v>369</v>
      </c>
      <c r="J1995" s="2">
        <v>2</v>
      </c>
      <c r="K1995" s="2">
        <v>54.99</v>
      </c>
      <c r="L1995" s="2" t="s">
        <v>67</v>
      </c>
      <c r="M1995" s="2" t="s">
        <v>445</v>
      </c>
      <c r="N1995" s="2">
        <v>0</v>
      </c>
      <c r="O1995" s="2">
        <v>98.98</v>
      </c>
      <c r="P1995" s="2" t="s">
        <v>74</v>
      </c>
      <c r="Q1995" s="2" t="s">
        <v>28</v>
      </c>
      <c r="R1995" s="2" t="s">
        <v>99</v>
      </c>
      <c r="S1995" s="2" t="s">
        <v>75</v>
      </c>
      <c r="T1995" s="2"/>
      <c r="U1995" s="2" t="str">
        <f t="shared" si="94"/>
        <v>Not Required</v>
      </c>
      <c r="V1995" s="2" t="s">
        <v>5134</v>
      </c>
    </row>
    <row r="1996" spans="1:22" hidden="1" x14ac:dyDescent="0.3">
      <c r="A1996" s="2" t="s">
        <v>5135</v>
      </c>
      <c r="B1996" s="12">
        <f t="shared" si="93"/>
        <v>46238.582257060189</v>
      </c>
      <c r="C1996" s="13">
        <v>46238.582257060189</v>
      </c>
      <c r="D1996" s="2" t="s">
        <v>1645</v>
      </c>
      <c r="E1996" s="2" t="str">
        <f t="shared" si="95"/>
        <v>Email Available</v>
      </c>
      <c r="F1996" s="2" t="s">
        <v>1553</v>
      </c>
      <c r="G1996" s="2" t="s">
        <v>241</v>
      </c>
      <c r="H1996" s="2" t="s">
        <v>242</v>
      </c>
      <c r="I1996" s="2" t="s">
        <v>243</v>
      </c>
      <c r="J1996" s="2">
        <v>1</v>
      </c>
      <c r="K1996" s="2">
        <v>27.99</v>
      </c>
      <c r="L1996" s="2" t="s">
        <v>208</v>
      </c>
      <c r="M1996" s="2">
        <v>4.2</v>
      </c>
      <c r="N1996" s="2">
        <v>5.99</v>
      </c>
      <c r="O1996" s="2">
        <v>29.78</v>
      </c>
      <c r="P1996" s="2" t="s">
        <v>51</v>
      </c>
      <c r="Q1996" s="2" t="s">
        <v>28</v>
      </c>
      <c r="R1996" s="2" t="s">
        <v>29</v>
      </c>
      <c r="S1996" s="2" t="s">
        <v>75</v>
      </c>
      <c r="T1996" s="2"/>
      <c r="U1996" s="2" t="str">
        <f t="shared" si="94"/>
        <v>Not Required</v>
      </c>
      <c r="V1996" s="2" t="s">
        <v>5136</v>
      </c>
    </row>
    <row r="1997" spans="1:22" hidden="1" x14ac:dyDescent="0.3">
      <c r="A1997" s="2" t="s">
        <v>5137</v>
      </c>
      <c r="B1997" s="12">
        <f t="shared" si="93"/>
        <v>46238.58909778935</v>
      </c>
      <c r="C1997" s="13">
        <v>46238.58909778935</v>
      </c>
      <c r="D1997" s="2" t="s">
        <v>1045</v>
      </c>
      <c r="E1997" s="2" t="str">
        <f t="shared" si="95"/>
        <v>Email Available</v>
      </c>
      <c r="F1997" s="2" t="s">
        <v>1046</v>
      </c>
      <c r="G1997" s="2" t="s">
        <v>127</v>
      </c>
      <c r="H1997" s="2" t="s">
        <v>81</v>
      </c>
      <c r="I1997" s="2" t="s">
        <v>128</v>
      </c>
      <c r="J1997" s="2">
        <v>1</v>
      </c>
      <c r="K1997" s="2">
        <v>13.99</v>
      </c>
      <c r="L1997" s="2"/>
      <c r="M1997" s="2">
        <v>0</v>
      </c>
      <c r="N1997" s="2">
        <v>4.99</v>
      </c>
      <c r="O1997" s="2" t="s">
        <v>5138</v>
      </c>
      <c r="P1997" s="2" t="s">
        <v>51</v>
      </c>
      <c r="Q1997" s="2" t="s">
        <v>114</v>
      </c>
      <c r="R1997" s="2" t="s">
        <v>99</v>
      </c>
      <c r="S1997" s="2" t="s">
        <v>30</v>
      </c>
      <c r="T1997" s="2" t="s">
        <v>115</v>
      </c>
      <c r="U1997" s="2" t="str">
        <f t="shared" si="94"/>
        <v>Valid</v>
      </c>
      <c r="V1997" s="2" t="s">
        <v>5139</v>
      </c>
    </row>
    <row r="1998" spans="1:22" hidden="1" x14ac:dyDescent="0.3">
      <c r="A1998" s="2" t="s">
        <v>5140</v>
      </c>
      <c r="B1998" s="12">
        <f t="shared" si="93"/>
        <v>46238.586128541669</v>
      </c>
      <c r="C1998" s="13">
        <v>46238.586128541669</v>
      </c>
      <c r="D1998" s="2" t="s">
        <v>2536</v>
      </c>
      <c r="E1998" s="2" t="str">
        <f t="shared" si="95"/>
        <v>Email Available</v>
      </c>
      <c r="F1998" s="2" t="s">
        <v>2537</v>
      </c>
      <c r="G1998" s="2" t="s">
        <v>80</v>
      </c>
      <c r="H1998" s="2" t="s">
        <v>81</v>
      </c>
      <c r="I1998" s="2" t="s">
        <v>82</v>
      </c>
      <c r="J1998" s="2">
        <v>2</v>
      </c>
      <c r="K1998" s="2">
        <v>89.99</v>
      </c>
      <c r="L1998" s="2" t="s">
        <v>208</v>
      </c>
      <c r="M1998" s="2">
        <v>27</v>
      </c>
      <c r="N1998" s="2">
        <v>0</v>
      </c>
      <c r="O1998" s="2">
        <v>152.97999999999999</v>
      </c>
      <c r="P1998" s="2" t="s">
        <v>51</v>
      </c>
      <c r="Q1998" s="2" t="s">
        <v>90</v>
      </c>
      <c r="R1998" s="2" t="s">
        <v>99</v>
      </c>
      <c r="S1998" s="2" t="s">
        <v>43</v>
      </c>
      <c r="T1998" s="2"/>
      <c r="U1998" s="2" t="str">
        <f t="shared" si="94"/>
        <v>Not Required</v>
      </c>
      <c r="V1998" s="2" t="s">
        <v>5141</v>
      </c>
    </row>
    <row r="1999" spans="1:22" hidden="1" x14ac:dyDescent="0.3">
      <c r="A1999" s="2" t="s">
        <v>5142</v>
      </c>
      <c r="B1999" s="12">
        <f t="shared" si="93"/>
        <v>46238.579505104157</v>
      </c>
      <c r="C1999" s="13">
        <v>46238.579505104157</v>
      </c>
      <c r="D1999" s="2" t="s">
        <v>165</v>
      </c>
      <c r="E1999" s="2" t="str">
        <f t="shared" si="95"/>
        <v>Email Available</v>
      </c>
      <c r="F1999" s="2" t="s">
        <v>166</v>
      </c>
      <c r="G1999" s="2" t="s">
        <v>368</v>
      </c>
      <c r="H1999" s="2" t="s">
        <v>88</v>
      </c>
      <c r="I1999" s="2" t="s">
        <v>369</v>
      </c>
      <c r="J1999" s="2">
        <v>1</v>
      </c>
      <c r="K1999" s="2">
        <v>54.99</v>
      </c>
      <c r="L1999" s="2" t="s">
        <v>121</v>
      </c>
      <c r="M1999" s="2">
        <v>13.75</v>
      </c>
      <c r="N1999" s="2">
        <v>5.99</v>
      </c>
      <c r="O1999" s="2">
        <v>47.23</v>
      </c>
      <c r="P1999" s="2" t="s">
        <v>51</v>
      </c>
      <c r="Q1999" s="2" t="s">
        <v>28</v>
      </c>
      <c r="R1999" s="2" t="s">
        <v>99</v>
      </c>
      <c r="S1999" s="2" t="s">
        <v>30</v>
      </c>
      <c r="T1999" s="2" t="s">
        <v>53</v>
      </c>
      <c r="U1999" s="2" t="str">
        <f t="shared" si="94"/>
        <v>Valid</v>
      </c>
      <c r="V1999" s="2" t="s">
        <v>5143</v>
      </c>
    </row>
    <row r="2000" spans="1:22" hidden="1" x14ac:dyDescent="0.3">
      <c r="A2000" s="2" t="s">
        <v>5144</v>
      </c>
      <c r="B2000" s="12">
        <f t="shared" si="93"/>
        <v>46238.582218460651</v>
      </c>
      <c r="C2000" s="13">
        <v>46238.582218460651</v>
      </c>
      <c r="D2000" s="2" t="s">
        <v>456</v>
      </c>
      <c r="E2000" s="2" t="str">
        <f t="shared" si="95"/>
        <v>Email Available</v>
      </c>
      <c r="F2000" s="2" t="s">
        <v>457</v>
      </c>
      <c r="G2000" s="2" t="s">
        <v>266</v>
      </c>
      <c r="H2000" s="2" t="s">
        <v>37</v>
      </c>
      <c r="I2000" s="2" t="s">
        <v>267</v>
      </c>
      <c r="J2000" s="2">
        <v>1</v>
      </c>
      <c r="K2000" s="2">
        <v>15.49</v>
      </c>
      <c r="L2000" s="2" t="s">
        <v>121</v>
      </c>
      <c r="M2000" s="2">
        <v>3.87</v>
      </c>
      <c r="N2000" s="2">
        <v>7.99</v>
      </c>
      <c r="O2000" s="2">
        <v>19.61</v>
      </c>
      <c r="P2000" s="2" t="s">
        <v>27</v>
      </c>
      <c r="Q2000" s="2" t="s">
        <v>28</v>
      </c>
      <c r="R2000" s="2" t="s">
        <v>52</v>
      </c>
      <c r="S2000" s="2" t="s">
        <v>30</v>
      </c>
      <c r="T2000" s="2" t="s">
        <v>145</v>
      </c>
      <c r="U2000" s="2" t="str">
        <f t="shared" si="94"/>
        <v>Valid</v>
      </c>
      <c r="V2000" s="2" t="s">
        <v>5145</v>
      </c>
    </row>
    <row r="2001" spans="1:22" hidden="1" x14ac:dyDescent="0.3">
      <c r="A2001" s="2" t="s">
        <v>5146</v>
      </c>
      <c r="B2001" s="12">
        <f>DATE(VALUE(RIGHT(C2001,4)),MATCH(LEFT(C2001,3),{"Jan","Feb","Mar","Apr","May","Jun","Jul","Aug","Sep","Oct","Nov","Dec"},0),VALUE(MID(C2001,5,2)))</f>
        <v>46238</v>
      </c>
      <c r="C2001" s="13" t="s">
        <v>176</v>
      </c>
      <c r="D2001" s="2" t="s">
        <v>5147</v>
      </c>
      <c r="E2001" s="2" t="str">
        <f t="shared" si="95"/>
        <v>Email Available</v>
      </c>
      <c r="F2001" s="2" t="s">
        <v>2813</v>
      </c>
      <c r="G2001" s="2" t="s">
        <v>58</v>
      </c>
      <c r="H2001" s="2" t="s">
        <v>23</v>
      </c>
      <c r="I2001" s="2" t="s">
        <v>59</v>
      </c>
      <c r="J2001" s="2">
        <v>1</v>
      </c>
      <c r="K2001" s="2">
        <v>9.99</v>
      </c>
      <c r="L2001" s="2" t="s">
        <v>208</v>
      </c>
      <c r="M2001" s="2">
        <v>1.5</v>
      </c>
      <c r="N2001" s="2">
        <v>7.99</v>
      </c>
      <c r="O2001" s="2">
        <v>16.48</v>
      </c>
      <c r="P2001" s="2" t="s">
        <v>74</v>
      </c>
      <c r="Q2001" s="2" t="s">
        <v>28</v>
      </c>
      <c r="R2001" s="2" t="s">
        <v>52</v>
      </c>
      <c r="S2001" s="2" t="s">
        <v>30</v>
      </c>
      <c r="T2001" s="2" t="s">
        <v>454</v>
      </c>
      <c r="U2001" s="2" t="str">
        <f t="shared" si="94"/>
        <v>Valid</v>
      </c>
      <c r="V2001" s="2" t="s">
        <v>5148</v>
      </c>
    </row>
    <row r="2002" spans="1:22" hidden="1" x14ac:dyDescent="0.3">
      <c r="A2002" s="2" t="s">
        <v>5149</v>
      </c>
      <c r="B2002" s="12">
        <f t="shared" si="93"/>
        <v>46238.58895484954</v>
      </c>
      <c r="C2002" s="13">
        <v>46238.58895484954</v>
      </c>
      <c r="D2002" s="2" t="s">
        <v>335</v>
      </c>
      <c r="E2002" s="2" t="str">
        <f t="shared" si="95"/>
        <v>Email Available</v>
      </c>
      <c r="F2002" s="2" t="s">
        <v>336</v>
      </c>
      <c r="G2002" s="2" t="s">
        <v>87</v>
      </c>
      <c r="H2002" s="2" t="s">
        <v>88</v>
      </c>
      <c r="I2002" s="2" t="s">
        <v>89</v>
      </c>
      <c r="J2002" s="2">
        <v>1</v>
      </c>
      <c r="K2002" s="2" t="s">
        <v>370</v>
      </c>
      <c r="L2002" s="2" t="s">
        <v>121</v>
      </c>
      <c r="M2002" s="2">
        <v>13.75</v>
      </c>
      <c r="N2002" s="2">
        <v>4.99</v>
      </c>
      <c r="O2002" s="2">
        <v>46.23</v>
      </c>
      <c r="P2002" s="2" t="s">
        <v>74</v>
      </c>
      <c r="Q2002" s="2" t="s">
        <v>28</v>
      </c>
      <c r="R2002" s="2" t="s">
        <v>52</v>
      </c>
      <c r="S2002" s="2" t="s">
        <v>337</v>
      </c>
      <c r="T2002" s="2"/>
      <c r="U2002" s="2" t="str">
        <f t="shared" si="94"/>
        <v>Not Required</v>
      </c>
      <c r="V2002" s="2" t="s">
        <v>5150</v>
      </c>
    </row>
    <row r="2003" spans="1:22" hidden="1" x14ac:dyDescent="0.3">
      <c r="A2003" s="2" t="s">
        <v>5151</v>
      </c>
      <c r="B2003" s="12">
        <f t="shared" si="93"/>
        <v>46238.588343252311</v>
      </c>
      <c r="C2003" s="13">
        <v>46238.588343252311</v>
      </c>
      <c r="D2003" s="2" t="s">
        <v>177</v>
      </c>
      <c r="E2003" s="2" t="str">
        <f t="shared" si="95"/>
        <v>Email Available</v>
      </c>
      <c r="F2003" s="2" t="s">
        <v>178</v>
      </c>
      <c r="G2003" s="2" t="s">
        <v>36</v>
      </c>
      <c r="H2003" s="2" t="s">
        <v>37</v>
      </c>
      <c r="I2003" s="2" t="s">
        <v>38</v>
      </c>
      <c r="J2003" s="2">
        <v>1</v>
      </c>
      <c r="K2003" s="2">
        <v>21.99</v>
      </c>
      <c r="L2003" s="2" t="s">
        <v>39</v>
      </c>
      <c r="M2003" s="2">
        <v>0</v>
      </c>
      <c r="N2003" s="2">
        <v>0</v>
      </c>
      <c r="O2003" s="2">
        <v>21.99</v>
      </c>
      <c r="P2003" s="2" t="s">
        <v>51</v>
      </c>
      <c r="Q2003" s="2" t="s">
        <v>28</v>
      </c>
      <c r="R2003" s="2" t="s">
        <v>29</v>
      </c>
      <c r="S2003" s="2" t="s">
        <v>30</v>
      </c>
      <c r="T2003" s="2" t="s">
        <v>347</v>
      </c>
      <c r="U2003" s="2" t="str">
        <f t="shared" si="94"/>
        <v>Valid</v>
      </c>
      <c r="V2003" s="2" t="s">
        <v>5152</v>
      </c>
    </row>
    <row r="2004" spans="1:22" hidden="1" x14ac:dyDescent="0.3">
      <c r="A2004" s="2" t="s">
        <v>5153</v>
      </c>
      <c r="B2004" s="12">
        <f t="shared" si="93"/>
        <v>46120</v>
      </c>
      <c r="C2004" s="13" t="s">
        <v>142</v>
      </c>
      <c r="D2004" s="2" t="s">
        <v>5154</v>
      </c>
      <c r="E2004" s="2" t="str">
        <f t="shared" si="95"/>
        <v>Email Available</v>
      </c>
      <c r="F2004" s="2" t="s">
        <v>1971</v>
      </c>
      <c r="G2004" s="2" t="s">
        <v>58</v>
      </c>
      <c r="H2004" s="2" t="s">
        <v>23</v>
      </c>
      <c r="I2004" s="2" t="s">
        <v>59</v>
      </c>
      <c r="J2004" s="2">
        <v>1</v>
      </c>
      <c r="K2004" s="2">
        <v>9.99</v>
      </c>
      <c r="L2004" s="2" t="s">
        <v>121</v>
      </c>
      <c r="M2004" s="2">
        <v>2.5</v>
      </c>
      <c r="N2004" s="2">
        <v>7.99</v>
      </c>
      <c r="O2004" s="2">
        <v>15.48</v>
      </c>
      <c r="P2004" s="2" t="s">
        <v>74</v>
      </c>
      <c r="Q2004" s="2" t="s">
        <v>28</v>
      </c>
      <c r="R2004" s="2" t="s">
        <v>52</v>
      </c>
      <c r="S2004" s="2" t="s">
        <v>108</v>
      </c>
      <c r="T2004" s="2"/>
      <c r="U2004" s="2" t="str">
        <f t="shared" si="94"/>
        <v>Not Required</v>
      </c>
      <c r="V2004" s="2" t="s">
        <v>5155</v>
      </c>
    </row>
    <row r="2005" spans="1:22" hidden="1" x14ac:dyDescent="0.3">
      <c r="A2005" s="2" t="s">
        <v>5156</v>
      </c>
      <c r="B2005" s="12">
        <f t="shared" si="93"/>
        <v>46238.586358437497</v>
      </c>
      <c r="C2005" s="13">
        <v>46238.586358437497</v>
      </c>
      <c r="D2005" s="2" t="s">
        <v>204</v>
      </c>
      <c r="E2005" s="2" t="str">
        <f t="shared" si="95"/>
        <v>Email Available</v>
      </c>
      <c r="F2005" s="2" t="s">
        <v>205</v>
      </c>
      <c r="G2005" s="2" t="s">
        <v>58</v>
      </c>
      <c r="H2005" s="2" t="s">
        <v>23</v>
      </c>
      <c r="I2005" s="2" t="s">
        <v>59</v>
      </c>
      <c r="J2005" s="2">
        <v>1</v>
      </c>
      <c r="K2005" s="2">
        <v>9.99</v>
      </c>
      <c r="L2005" s="2" t="s">
        <v>39</v>
      </c>
      <c r="M2005" s="2">
        <v>0</v>
      </c>
      <c r="N2005" s="2">
        <v>0</v>
      </c>
      <c r="O2005" s="2">
        <v>9.99</v>
      </c>
      <c r="P2005" s="2" t="s">
        <v>74</v>
      </c>
      <c r="Q2005" s="2" t="s">
        <v>28</v>
      </c>
      <c r="R2005" s="2" t="s">
        <v>52</v>
      </c>
      <c r="S2005" s="2" t="s">
        <v>75</v>
      </c>
      <c r="T2005" s="2"/>
      <c r="U2005" s="2" t="str">
        <f t="shared" si="94"/>
        <v>Not Required</v>
      </c>
      <c r="V2005" s="2" t="s">
        <v>5157</v>
      </c>
    </row>
    <row r="2006" spans="1:22" hidden="1" x14ac:dyDescent="0.3">
      <c r="A2006" s="2" t="s">
        <v>5158</v>
      </c>
      <c r="B2006" s="12">
        <f t="shared" si="93"/>
        <v>46120</v>
      </c>
      <c r="C2006" s="13" t="s">
        <v>142</v>
      </c>
      <c r="D2006" s="2" t="s">
        <v>1653</v>
      </c>
      <c r="E2006" s="2" t="str">
        <f t="shared" si="95"/>
        <v>Email Available</v>
      </c>
      <c r="F2006" s="2" t="s">
        <v>1654</v>
      </c>
      <c r="G2006" s="2" t="s">
        <v>206</v>
      </c>
      <c r="H2006" s="2" t="s">
        <v>196</v>
      </c>
      <c r="I2006" s="2" t="s">
        <v>207</v>
      </c>
      <c r="J2006" s="2">
        <v>1</v>
      </c>
      <c r="K2006" s="2">
        <v>24.99</v>
      </c>
      <c r="L2006" s="2" t="s">
        <v>25</v>
      </c>
      <c r="M2006" s="2">
        <v>5</v>
      </c>
      <c r="N2006" s="2">
        <v>4.99</v>
      </c>
      <c r="O2006" s="2">
        <v>24.98</v>
      </c>
      <c r="P2006" s="2" t="s">
        <v>74</v>
      </c>
      <c r="Q2006" s="2" t="s">
        <v>28</v>
      </c>
      <c r="R2006" s="2" t="s">
        <v>52</v>
      </c>
      <c r="S2006" s="2" t="s">
        <v>228</v>
      </c>
      <c r="T2006" s="2"/>
      <c r="U2006" s="2" t="str">
        <f t="shared" si="94"/>
        <v>Not Required</v>
      </c>
      <c r="V2006" s="2" t="s">
        <v>5159</v>
      </c>
    </row>
    <row r="2007" spans="1:22" hidden="1" x14ac:dyDescent="0.3">
      <c r="A2007" s="2" t="s">
        <v>5160</v>
      </c>
      <c r="B2007" s="12">
        <f t="shared" si="93"/>
        <v>46238.579664814817</v>
      </c>
      <c r="C2007" s="13">
        <v>46238.579664814817</v>
      </c>
      <c r="D2007" s="2" t="s">
        <v>5161</v>
      </c>
      <c r="E2007" s="2" t="str">
        <f t="shared" si="95"/>
        <v>Email Available</v>
      </c>
      <c r="F2007" s="2" t="s">
        <v>4482</v>
      </c>
      <c r="G2007" s="2" t="s">
        <v>171</v>
      </c>
      <c r="H2007" s="2" t="s">
        <v>106</v>
      </c>
      <c r="I2007" s="2" t="s">
        <v>172</v>
      </c>
      <c r="J2007" s="2">
        <v>1</v>
      </c>
      <c r="K2007" s="2">
        <v>32.99</v>
      </c>
      <c r="L2007" s="2" t="s">
        <v>121</v>
      </c>
      <c r="M2007" s="2">
        <v>8.25</v>
      </c>
      <c r="N2007" s="2">
        <v>5.99</v>
      </c>
      <c r="O2007" s="2">
        <v>30.73</v>
      </c>
      <c r="P2007" s="2" t="s">
        <v>74</v>
      </c>
      <c r="Q2007" s="2" t="s">
        <v>114</v>
      </c>
      <c r="R2007" s="2" t="s">
        <v>52</v>
      </c>
      <c r="S2007" s="2" t="s">
        <v>30</v>
      </c>
      <c r="T2007" s="2" t="s">
        <v>53</v>
      </c>
      <c r="U2007" s="2" t="str">
        <f t="shared" si="94"/>
        <v>Valid</v>
      </c>
      <c r="V2007" s="2" t="s">
        <v>5162</v>
      </c>
    </row>
    <row r="2008" spans="1:22" x14ac:dyDescent="0.3">
      <c r="A2008" s="2" t="s">
        <v>5163</v>
      </c>
      <c r="B2008" s="12">
        <f t="shared" si="93"/>
        <v>46120</v>
      </c>
      <c r="C2008" s="13" t="s">
        <v>142</v>
      </c>
      <c r="D2008" s="2" t="s">
        <v>2055</v>
      </c>
      <c r="E2008" s="2" t="str">
        <f t="shared" si="95"/>
        <v>Missing Email</v>
      </c>
      <c r="F2008" s="2"/>
      <c r="G2008" s="2" t="s">
        <v>315</v>
      </c>
      <c r="H2008" s="2" t="s">
        <v>37</v>
      </c>
      <c r="I2008" s="2" t="s">
        <v>316</v>
      </c>
      <c r="J2008" s="2">
        <v>1</v>
      </c>
      <c r="K2008" s="2" t="s">
        <v>2267</v>
      </c>
      <c r="L2008" s="2" t="s">
        <v>121</v>
      </c>
      <c r="M2008" s="2">
        <v>2.25</v>
      </c>
      <c r="N2008" s="2">
        <v>7.99</v>
      </c>
      <c r="O2008" s="2">
        <v>14.73</v>
      </c>
      <c r="P2008" s="2" t="s">
        <v>51</v>
      </c>
      <c r="Q2008" s="2" t="s">
        <v>28</v>
      </c>
      <c r="R2008" s="2" t="s">
        <v>99</v>
      </c>
      <c r="S2008" s="2" t="s">
        <v>30</v>
      </c>
      <c r="T2008" s="2" t="s">
        <v>766</v>
      </c>
      <c r="U2008" s="2" t="str">
        <f t="shared" si="94"/>
        <v>Valid</v>
      </c>
      <c r="V2008" s="2" t="s">
        <v>5164</v>
      </c>
    </row>
    <row r="2009" spans="1:22" hidden="1" x14ac:dyDescent="0.3">
      <c r="A2009" s="2" t="s">
        <v>5165</v>
      </c>
      <c r="B2009" s="12">
        <f t="shared" si="93"/>
        <v>46238</v>
      </c>
      <c r="C2009" s="13" t="s">
        <v>148</v>
      </c>
      <c r="D2009" s="2" t="s">
        <v>3566</v>
      </c>
      <c r="E2009" s="2" t="str">
        <f t="shared" si="95"/>
        <v>Email Available</v>
      </c>
      <c r="F2009" s="2" t="s">
        <v>2292</v>
      </c>
      <c r="G2009" s="2" t="s">
        <v>315</v>
      </c>
      <c r="H2009" s="2" t="s">
        <v>37</v>
      </c>
      <c r="I2009" s="2" t="s">
        <v>316</v>
      </c>
      <c r="J2009" s="2">
        <v>1</v>
      </c>
      <c r="K2009" s="2">
        <v>8.99</v>
      </c>
      <c r="L2009" s="2"/>
      <c r="M2009" s="2">
        <v>0</v>
      </c>
      <c r="N2009" s="2">
        <v>5.99</v>
      </c>
      <c r="O2009" s="2">
        <v>14.98</v>
      </c>
      <c r="P2009" s="2" t="s">
        <v>74</v>
      </c>
      <c r="Q2009" s="2" t="s">
        <v>41</v>
      </c>
      <c r="R2009" s="2" t="s">
        <v>29</v>
      </c>
      <c r="S2009" s="2" t="s">
        <v>228</v>
      </c>
      <c r="T2009" s="2"/>
      <c r="U2009" s="2" t="str">
        <f t="shared" si="94"/>
        <v>Not Required</v>
      </c>
      <c r="V2009" s="2" t="s">
        <v>5166</v>
      </c>
    </row>
    <row r="2010" spans="1:22" hidden="1" x14ac:dyDescent="0.3">
      <c r="A2010" s="2" t="s">
        <v>5167</v>
      </c>
      <c r="B2010" s="12">
        <f t="shared" si="93"/>
        <v>46120</v>
      </c>
      <c r="C2010" s="13" t="s">
        <v>142</v>
      </c>
      <c r="D2010" s="2" t="s">
        <v>1339</v>
      </c>
      <c r="E2010" s="2" t="str">
        <f t="shared" si="95"/>
        <v>Email Available</v>
      </c>
      <c r="F2010" s="2" t="s">
        <v>1340</v>
      </c>
      <c r="G2010" s="2" t="s">
        <v>133</v>
      </c>
      <c r="H2010" s="2" t="s">
        <v>106</v>
      </c>
      <c r="I2010" s="2" t="s">
        <v>134</v>
      </c>
      <c r="J2010" s="2">
        <v>2</v>
      </c>
      <c r="K2010" s="2">
        <v>16.989999999999998</v>
      </c>
      <c r="L2010" s="2" t="s">
        <v>25</v>
      </c>
      <c r="M2010" s="2">
        <v>6.8</v>
      </c>
      <c r="N2010" s="2">
        <v>5.99</v>
      </c>
      <c r="O2010" s="2">
        <v>33.17</v>
      </c>
      <c r="P2010" s="2" t="s">
        <v>51</v>
      </c>
      <c r="Q2010" s="2" t="s">
        <v>90</v>
      </c>
      <c r="R2010" s="2" t="s">
        <v>52</v>
      </c>
      <c r="S2010" s="2" t="s">
        <v>43</v>
      </c>
      <c r="T2010" s="2"/>
      <c r="U2010" s="2" t="str">
        <f t="shared" si="94"/>
        <v>Not Required</v>
      </c>
      <c r="V2010" s="2" t="s">
        <v>5168</v>
      </c>
    </row>
    <row r="2011" spans="1:22" hidden="1" x14ac:dyDescent="0.3">
      <c r="A2011" s="2" t="s">
        <v>5169</v>
      </c>
      <c r="B2011" s="12">
        <f t="shared" si="93"/>
        <v>46238.587663761573</v>
      </c>
      <c r="C2011" s="13">
        <v>46238.587663761573</v>
      </c>
      <c r="D2011" s="2" t="s">
        <v>748</v>
      </c>
      <c r="E2011" s="2" t="str">
        <f t="shared" si="95"/>
        <v>Email Available</v>
      </c>
      <c r="F2011" s="2" t="s">
        <v>749</v>
      </c>
      <c r="G2011" s="2" t="s">
        <v>133</v>
      </c>
      <c r="H2011" s="2" t="s">
        <v>106</v>
      </c>
      <c r="I2011" s="2" t="s">
        <v>134</v>
      </c>
      <c r="J2011" s="2">
        <v>1</v>
      </c>
      <c r="K2011" s="2">
        <v>16.989999999999998</v>
      </c>
      <c r="L2011" s="2" t="s">
        <v>39</v>
      </c>
      <c r="M2011" s="2">
        <v>0</v>
      </c>
      <c r="N2011" s="2">
        <v>0</v>
      </c>
      <c r="O2011" s="2">
        <v>16.989999999999998</v>
      </c>
      <c r="P2011" s="2" t="s">
        <v>74</v>
      </c>
      <c r="Q2011" s="2" t="s">
        <v>90</v>
      </c>
      <c r="R2011" s="2" t="s">
        <v>52</v>
      </c>
      <c r="S2011" s="2" t="s">
        <v>108</v>
      </c>
      <c r="T2011" s="2"/>
      <c r="U2011" s="2" t="str">
        <f t="shared" si="94"/>
        <v>Not Required</v>
      </c>
      <c r="V2011" s="2" t="s">
        <v>5170</v>
      </c>
    </row>
    <row r="2012" spans="1:22" hidden="1" x14ac:dyDescent="0.3">
      <c r="A2012" s="2" t="s">
        <v>5171</v>
      </c>
      <c r="B2012" s="12">
        <f t="shared" si="93"/>
        <v>46238.582684016197</v>
      </c>
      <c r="C2012" s="13">
        <v>46238.582684016197</v>
      </c>
      <c r="D2012" s="2" t="s">
        <v>364</v>
      </c>
      <c r="E2012" s="2" t="str">
        <f t="shared" si="95"/>
        <v>Email Available</v>
      </c>
      <c r="F2012" s="2" t="s">
        <v>365</v>
      </c>
      <c r="G2012" s="2" t="s">
        <v>48</v>
      </c>
      <c r="H2012" s="2" t="s">
        <v>49</v>
      </c>
      <c r="I2012" s="2" t="s">
        <v>50</v>
      </c>
      <c r="J2012" s="2">
        <v>1</v>
      </c>
      <c r="K2012" s="2">
        <v>39.99</v>
      </c>
      <c r="L2012" s="2" t="s">
        <v>121</v>
      </c>
      <c r="M2012" s="2">
        <v>10</v>
      </c>
      <c r="N2012" s="2">
        <v>4.99</v>
      </c>
      <c r="O2012" s="2">
        <v>34.979999999999997</v>
      </c>
      <c r="P2012" s="2" t="s">
        <v>51</v>
      </c>
      <c r="Q2012" s="2" t="s">
        <v>90</v>
      </c>
      <c r="R2012" s="2" t="s">
        <v>42</v>
      </c>
      <c r="S2012" s="2" t="s">
        <v>75</v>
      </c>
      <c r="T2012" s="2"/>
      <c r="U2012" s="2" t="str">
        <f t="shared" si="94"/>
        <v>Not Required</v>
      </c>
      <c r="V2012" s="2" t="s">
        <v>5172</v>
      </c>
    </row>
    <row r="2013" spans="1:22" hidden="1" x14ac:dyDescent="0.3">
      <c r="A2013" s="2" t="s">
        <v>5173</v>
      </c>
      <c r="B2013" s="12">
        <f t="shared" si="93"/>
        <v>46238.58633229167</v>
      </c>
      <c r="C2013" s="13">
        <v>46238.58633229167</v>
      </c>
      <c r="D2013" s="2" t="s">
        <v>256</v>
      </c>
      <c r="E2013" s="2" t="str">
        <f t="shared" si="95"/>
        <v>Email Available</v>
      </c>
      <c r="F2013" s="2" t="s">
        <v>350</v>
      </c>
      <c r="G2013" s="2" t="s">
        <v>127</v>
      </c>
      <c r="H2013" s="2" t="s">
        <v>81</v>
      </c>
      <c r="I2013" s="2" t="s">
        <v>128</v>
      </c>
      <c r="J2013" s="2">
        <v>1</v>
      </c>
      <c r="K2013" s="2">
        <v>13.99</v>
      </c>
      <c r="L2013" s="2" t="s">
        <v>25</v>
      </c>
      <c r="M2013" s="2">
        <v>2.8</v>
      </c>
      <c r="N2013" s="2">
        <v>7.99</v>
      </c>
      <c r="O2013" s="2">
        <v>19.18</v>
      </c>
      <c r="P2013" s="2" t="s">
        <v>68</v>
      </c>
      <c r="Q2013" s="2" t="s">
        <v>28</v>
      </c>
      <c r="R2013" s="2" t="s">
        <v>52</v>
      </c>
      <c r="S2013" s="2" t="s">
        <v>30</v>
      </c>
      <c r="T2013" s="2" t="s">
        <v>53</v>
      </c>
      <c r="U2013" s="2" t="str">
        <f t="shared" si="94"/>
        <v>Valid</v>
      </c>
      <c r="V2013" s="2" t="s">
        <v>635</v>
      </c>
    </row>
    <row r="2014" spans="1:22" hidden="1" x14ac:dyDescent="0.3">
      <c r="A2014" s="2" t="s">
        <v>5174</v>
      </c>
      <c r="B2014" s="12">
        <f t="shared" si="93"/>
        <v>46238.583589351852</v>
      </c>
      <c r="C2014" s="13">
        <v>46238.583589351852</v>
      </c>
      <c r="D2014" s="2" t="s">
        <v>2055</v>
      </c>
      <c r="E2014" s="2" t="str">
        <f t="shared" si="95"/>
        <v>Email Available</v>
      </c>
      <c r="F2014" s="2" t="s">
        <v>2056</v>
      </c>
      <c r="G2014" s="2" t="s">
        <v>58</v>
      </c>
      <c r="H2014" s="2" t="s">
        <v>23</v>
      </c>
      <c r="I2014" s="2" t="s">
        <v>59</v>
      </c>
      <c r="J2014" s="2">
        <v>1</v>
      </c>
      <c r="K2014" s="2">
        <v>9.99</v>
      </c>
      <c r="L2014" s="2"/>
      <c r="M2014" s="2">
        <v>0</v>
      </c>
      <c r="N2014" s="2">
        <v>7.99</v>
      </c>
      <c r="O2014" s="2" t="s">
        <v>555</v>
      </c>
      <c r="P2014" s="2" t="s">
        <v>74</v>
      </c>
      <c r="Q2014" s="2" t="s">
        <v>41</v>
      </c>
      <c r="R2014" s="2" t="s">
        <v>52</v>
      </c>
      <c r="S2014" s="2" t="s">
        <v>30</v>
      </c>
      <c r="T2014" s="2" t="s">
        <v>31</v>
      </c>
      <c r="U2014" s="2" t="str">
        <f t="shared" si="94"/>
        <v>Valid</v>
      </c>
      <c r="V2014" s="2" t="s">
        <v>5175</v>
      </c>
    </row>
    <row r="2015" spans="1:22" hidden="1" x14ac:dyDescent="0.3">
      <c r="A2015" s="2" t="s">
        <v>5176</v>
      </c>
      <c r="B2015" s="12">
        <f t="shared" si="93"/>
        <v>46120</v>
      </c>
      <c r="C2015" s="13" t="s">
        <v>142</v>
      </c>
      <c r="D2015" s="2" t="s">
        <v>3148</v>
      </c>
      <c r="E2015" s="2" t="str">
        <f t="shared" si="95"/>
        <v>Email Available</v>
      </c>
      <c r="F2015" s="2" t="s">
        <v>265</v>
      </c>
      <c r="G2015" s="2" t="s">
        <v>315</v>
      </c>
      <c r="H2015" s="2" t="s">
        <v>37</v>
      </c>
      <c r="I2015" s="2" t="s">
        <v>316</v>
      </c>
      <c r="J2015" s="2">
        <v>4</v>
      </c>
      <c r="K2015" s="2">
        <v>8.99</v>
      </c>
      <c r="L2015" s="2"/>
      <c r="M2015" s="2">
        <v>0</v>
      </c>
      <c r="N2015" s="2">
        <v>7.99</v>
      </c>
      <c r="O2015" s="2">
        <v>43.95</v>
      </c>
      <c r="P2015" s="2" t="s">
        <v>40</v>
      </c>
      <c r="Q2015" s="2" t="s">
        <v>28</v>
      </c>
      <c r="R2015" s="2" t="s">
        <v>52</v>
      </c>
      <c r="S2015" s="2" t="s">
        <v>30</v>
      </c>
      <c r="T2015" s="2" t="s">
        <v>53</v>
      </c>
      <c r="U2015" s="2" t="str">
        <f t="shared" si="94"/>
        <v>Valid</v>
      </c>
      <c r="V2015" s="2" t="s">
        <v>5177</v>
      </c>
    </row>
    <row r="2016" spans="1:22" hidden="1" x14ac:dyDescent="0.3">
      <c r="A2016" s="2" t="s">
        <v>5178</v>
      </c>
      <c r="B2016" s="12">
        <f t="shared" si="93"/>
        <v>46120</v>
      </c>
      <c r="C2016" s="13" t="s">
        <v>142</v>
      </c>
      <c r="D2016" s="2" t="s">
        <v>1220</v>
      </c>
      <c r="E2016" s="2" t="str">
        <f t="shared" si="95"/>
        <v>Email Available</v>
      </c>
      <c r="F2016" s="2" t="s">
        <v>1221</v>
      </c>
      <c r="G2016" s="2" t="s">
        <v>151</v>
      </c>
      <c r="H2016" s="2" t="s">
        <v>49</v>
      </c>
      <c r="I2016" s="2" t="s">
        <v>152</v>
      </c>
      <c r="J2016" s="2">
        <v>1</v>
      </c>
      <c r="K2016" s="2">
        <v>34.99</v>
      </c>
      <c r="L2016" s="2" t="s">
        <v>25</v>
      </c>
      <c r="M2016" s="2">
        <v>7</v>
      </c>
      <c r="N2016" s="2">
        <v>4.99</v>
      </c>
      <c r="O2016" s="2">
        <v>32.979999999999997</v>
      </c>
      <c r="P2016" s="2" t="s">
        <v>74</v>
      </c>
      <c r="Q2016" s="2" t="s">
        <v>28</v>
      </c>
      <c r="R2016" s="2" t="s">
        <v>52</v>
      </c>
      <c r="S2016" s="2" t="s">
        <v>75</v>
      </c>
      <c r="T2016" s="2"/>
      <c r="U2016" s="2" t="str">
        <f t="shared" si="94"/>
        <v>Not Required</v>
      </c>
      <c r="V2016" s="2" t="s">
        <v>5179</v>
      </c>
    </row>
    <row r="2017" spans="1:22" hidden="1" x14ac:dyDescent="0.3">
      <c r="A2017" s="2" t="s">
        <v>5180</v>
      </c>
      <c r="B2017" s="12">
        <f t="shared" si="93"/>
        <v>46238</v>
      </c>
      <c r="C2017" s="13" t="s">
        <v>1037</v>
      </c>
      <c r="D2017" s="2" t="s">
        <v>416</v>
      </c>
      <c r="E2017" s="2" t="str">
        <f t="shared" si="95"/>
        <v>Email Available</v>
      </c>
      <c r="F2017" s="2" t="s">
        <v>417</v>
      </c>
      <c r="G2017" s="2" t="s">
        <v>151</v>
      </c>
      <c r="H2017" s="2" t="s">
        <v>49</v>
      </c>
      <c r="I2017" s="2" t="s">
        <v>152</v>
      </c>
      <c r="J2017" s="2">
        <v>1</v>
      </c>
      <c r="K2017" s="2">
        <v>34.99</v>
      </c>
      <c r="L2017" s="2" t="s">
        <v>208</v>
      </c>
      <c r="M2017" s="2">
        <v>5.25</v>
      </c>
      <c r="N2017" s="2">
        <v>7.99</v>
      </c>
      <c r="O2017" s="2">
        <v>37.729999999999997</v>
      </c>
      <c r="P2017" s="2" t="s">
        <v>74</v>
      </c>
      <c r="Q2017" s="2" t="s">
        <v>114</v>
      </c>
      <c r="R2017" s="2" t="s">
        <v>52</v>
      </c>
      <c r="S2017" s="2" t="s">
        <v>43</v>
      </c>
      <c r="T2017" s="2"/>
      <c r="U2017" s="2" t="str">
        <f t="shared" si="94"/>
        <v>Not Required</v>
      </c>
      <c r="V2017" s="2" t="s">
        <v>5181</v>
      </c>
    </row>
    <row r="2018" spans="1:22" hidden="1" x14ac:dyDescent="0.3">
      <c r="A2018" s="2" t="s">
        <v>5182</v>
      </c>
      <c r="B2018" s="12">
        <f t="shared" si="93"/>
        <v>46238.581990520826</v>
      </c>
      <c r="C2018" s="13">
        <v>46238.581990520826</v>
      </c>
      <c r="D2018" s="2" t="s">
        <v>5183</v>
      </c>
      <c r="E2018" s="2" t="str">
        <f t="shared" si="95"/>
        <v>Email Available</v>
      </c>
      <c r="F2018" s="2" t="s">
        <v>4538</v>
      </c>
      <c r="G2018" s="2" t="s">
        <v>105</v>
      </c>
      <c r="H2018" s="2" t="s">
        <v>106</v>
      </c>
      <c r="I2018" s="2" t="s">
        <v>107</v>
      </c>
      <c r="J2018" s="2">
        <v>1</v>
      </c>
      <c r="K2018" s="2">
        <v>19.989999999999998</v>
      </c>
      <c r="L2018" s="2" t="s">
        <v>208</v>
      </c>
      <c r="M2018" s="2" t="s">
        <v>4624</v>
      </c>
      <c r="N2018" s="2">
        <v>7.99</v>
      </c>
      <c r="O2018" s="2">
        <v>24.98</v>
      </c>
      <c r="P2018" s="2" t="s">
        <v>51</v>
      </c>
      <c r="Q2018" s="2" t="s">
        <v>41</v>
      </c>
      <c r="R2018" s="2" t="s">
        <v>52</v>
      </c>
      <c r="S2018" s="2" t="s">
        <v>337</v>
      </c>
      <c r="T2018" s="2"/>
      <c r="U2018" s="2" t="str">
        <f t="shared" si="94"/>
        <v>Not Required</v>
      </c>
      <c r="V2018" s="2" t="s">
        <v>5184</v>
      </c>
    </row>
    <row r="2019" spans="1:22" hidden="1" x14ac:dyDescent="0.3">
      <c r="A2019" s="2" t="s">
        <v>5185</v>
      </c>
      <c r="B2019" s="12">
        <f t="shared" si="93"/>
        <v>46238.588507256944</v>
      </c>
      <c r="C2019" s="13">
        <v>46238.588507256944</v>
      </c>
      <c r="D2019" s="2" t="s">
        <v>1233</v>
      </c>
      <c r="E2019" s="2" t="str">
        <f t="shared" si="95"/>
        <v>Email Available</v>
      </c>
      <c r="F2019" s="2" t="s">
        <v>1234</v>
      </c>
      <c r="G2019" s="2" t="s">
        <v>368</v>
      </c>
      <c r="H2019" s="2" t="s">
        <v>88</v>
      </c>
      <c r="I2019" s="2" t="s">
        <v>369</v>
      </c>
      <c r="J2019" s="2">
        <v>1</v>
      </c>
      <c r="K2019" s="2">
        <v>54.99</v>
      </c>
      <c r="L2019" s="2" t="s">
        <v>67</v>
      </c>
      <c r="M2019" s="2" t="s">
        <v>1524</v>
      </c>
      <c r="N2019" s="2">
        <v>7.99</v>
      </c>
      <c r="O2019" s="2">
        <v>57.48</v>
      </c>
      <c r="P2019" s="2" t="s">
        <v>68</v>
      </c>
      <c r="Q2019" s="2" t="s">
        <v>114</v>
      </c>
      <c r="R2019" s="2" t="s">
        <v>29</v>
      </c>
      <c r="S2019" s="2" t="s">
        <v>228</v>
      </c>
      <c r="T2019" s="2"/>
      <c r="U2019" s="2" t="str">
        <f t="shared" si="94"/>
        <v>Not Required</v>
      </c>
      <c r="V2019" s="2" t="s">
        <v>5186</v>
      </c>
    </row>
    <row r="2020" spans="1:22" hidden="1" x14ac:dyDescent="0.3">
      <c r="A2020" s="2" t="s">
        <v>5187</v>
      </c>
      <c r="B2020" s="12">
        <f t="shared" si="93"/>
        <v>46238</v>
      </c>
      <c r="C2020" s="13" t="s">
        <v>1202</v>
      </c>
      <c r="D2020" s="2" t="s">
        <v>3829</v>
      </c>
      <c r="E2020" s="2" t="str">
        <f t="shared" si="95"/>
        <v>Email Available</v>
      </c>
      <c r="F2020" s="2" t="s">
        <v>3830</v>
      </c>
      <c r="G2020" s="2" t="s">
        <v>151</v>
      </c>
      <c r="H2020" s="2" t="s">
        <v>49</v>
      </c>
      <c r="I2020" s="2" t="s">
        <v>152</v>
      </c>
      <c r="J2020" s="2">
        <v>1</v>
      </c>
      <c r="K2020" s="2">
        <v>34.99</v>
      </c>
      <c r="L2020" s="2" t="s">
        <v>67</v>
      </c>
      <c r="M2020" s="2" t="s">
        <v>261</v>
      </c>
      <c r="N2020" s="2">
        <v>4.99</v>
      </c>
      <c r="O2020" s="2">
        <v>36.479999999999997</v>
      </c>
      <c r="P2020" s="2" t="s">
        <v>68</v>
      </c>
      <c r="Q2020" s="2" t="s">
        <v>28</v>
      </c>
      <c r="R2020" s="2" t="s">
        <v>99</v>
      </c>
      <c r="S2020" s="2" t="s">
        <v>75</v>
      </c>
      <c r="T2020" s="2"/>
      <c r="U2020" s="2" t="str">
        <f t="shared" si="94"/>
        <v>Not Required</v>
      </c>
      <c r="V2020" s="2" t="s">
        <v>5188</v>
      </c>
    </row>
    <row r="2021" spans="1:22" x14ac:dyDescent="0.3">
      <c r="A2021" s="2" t="s">
        <v>5189</v>
      </c>
      <c r="B2021" s="12">
        <f t="shared" si="93"/>
        <v>46238.582753553237</v>
      </c>
      <c r="C2021" s="13">
        <v>46238.582753553237</v>
      </c>
      <c r="D2021" s="2" t="s">
        <v>288</v>
      </c>
      <c r="E2021" s="2" t="str">
        <f t="shared" si="95"/>
        <v>Missing Email</v>
      </c>
      <c r="F2021" s="2"/>
      <c r="G2021" s="2" t="s">
        <v>112</v>
      </c>
      <c r="H2021" s="2" t="s">
        <v>81</v>
      </c>
      <c r="I2021" s="2" t="s">
        <v>113</v>
      </c>
      <c r="J2021" s="2">
        <v>2</v>
      </c>
      <c r="K2021" s="2">
        <v>22.99</v>
      </c>
      <c r="L2021" s="2"/>
      <c r="M2021" s="2">
        <v>0</v>
      </c>
      <c r="N2021" s="2">
        <v>7.99</v>
      </c>
      <c r="O2021" s="2">
        <v>53.97</v>
      </c>
      <c r="P2021" s="2" t="s">
        <v>40</v>
      </c>
      <c r="Q2021" s="2" t="s">
        <v>28</v>
      </c>
      <c r="R2021" s="2" t="s">
        <v>52</v>
      </c>
      <c r="S2021" s="2" t="s">
        <v>30</v>
      </c>
      <c r="T2021" s="2" t="s">
        <v>31</v>
      </c>
      <c r="U2021" s="2" t="str">
        <f t="shared" si="94"/>
        <v>Valid</v>
      </c>
      <c r="V2021" s="2" t="s">
        <v>5190</v>
      </c>
    </row>
    <row r="2022" spans="1:22" x14ac:dyDescent="0.3">
      <c r="A2022" s="2" t="s">
        <v>5191</v>
      </c>
      <c r="B2022" s="12">
        <f t="shared" si="93"/>
        <v>46238</v>
      </c>
      <c r="C2022" s="13" t="s">
        <v>148</v>
      </c>
      <c r="D2022" s="2" t="s">
        <v>5192</v>
      </c>
      <c r="E2022" s="2" t="str">
        <f t="shared" si="95"/>
        <v>Missing Email</v>
      </c>
      <c r="F2022" s="2"/>
      <c r="G2022" s="2" t="s">
        <v>284</v>
      </c>
      <c r="H2022" s="2" t="s">
        <v>23</v>
      </c>
      <c r="I2022" s="2" t="s">
        <v>285</v>
      </c>
      <c r="J2022" s="2">
        <v>2</v>
      </c>
      <c r="K2022" s="2">
        <v>24.99</v>
      </c>
      <c r="L2022" s="2" t="s">
        <v>67</v>
      </c>
      <c r="M2022" s="2">
        <v>5</v>
      </c>
      <c r="N2022" s="2">
        <v>5.99</v>
      </c>
      <c r="O2022" s="2">
        <v>50.97</v>
      </c>
      <c r="P2022" s="2" t="s">
        <v>51</v>
      </c>
      <c r="Q2022" s="2" t="s">
        <v>28</v>
      </c>
      <c r="R2022" s="2" t="s">
        <v>99</v>
      </c>
      <c r="S2022" s="2" t="s">
        <v>43</v>
      </c>
      <c r="T2022" s="2"/>
      <c r="U2022" s="2" t="str">
        <f t="shared" si="94"/>
        <v>Not Required</v>
      </c>
      <c r="V2022" s="2" t="s">
        <v>5193</v>
      </c>
    </row>
    <row r="2023" spans="1:22" hidden="1" x14ac:dyDescent="0.3">
      <c r="A2023" s="2" t="s">
        <v>5194</v>
      </c>
      <c r="B2023" s="12">
        <f t="shared" si="93"/>
        <v>46238.584670034717</v>
      </c>
      <c r="C2023" s="13">
        <v>46238.584670034717</v>
      </c>
      <c r="D2023" s="2" t="s">
        <v>2689</v>
      </c>
      <c r="E2023" s="2" t="str">
        <f t="shared" si="95"/>
        <v>Email Available</v>
      </c>
      <c r="F2023" s="2" t="s">
        <v>3519</v>
      </c>
      <c r="G2023" s="2" t="s">
        <v>112</v>
      </c>
      <c r="H2023" s="2" t="s">
        <v>81</v>
      </c>
      <c r="I2023" s="2" t="s">
        <v>113</v>
      </c>
      <c r="J2023" s="2">
        <v>1</v>
      </c>
      <c r="K2023" s="2">
        <v>22.99</v>
      </c>
      <c r="L2023" s="2"/>
      <c r="M2023" s="2">
        <v>0</v>
      </c>
      <c r="N2023" s="2">
        <v>5.99</v>
      </c>
      <c r="O2023" s="2">
        <v>28.98</v>
      </c>
      <c r="P2023" s="2" t="s">
        <v>27</v>
      </c>
      <c r="Q2023" s="2" t="s">
        <v>28</v>
      </c>
      <c r="R2023" s="2" t="s">
        <v>29</v>
      </c>
      <c r="S2023" s="2" t="s">
        <v>30</v>
      </c>
      <c r="T2023" s="2" t="s">
        <v>115</v>
      </c>
      <c r="U2023" s="2" t="str">
        <f t="shared" si="94"/>
        <v>Valid</v>
      </c>
      <c r="V2023" s="2" t="s">
        <v>5195</v>
      </c>
    </row>
    <row r="2024" spans="1:22" hidden="1" x14ac:dyDescent="0.3">
      <c r="A2024" s="2" t="s">
        <v>5196</v>
      </c>
      <c r="B2024" s="12">
        <f t="shared" si="93"/>
        <v>46238.584363877308</v>
      </c>
      <c r="C2024" s="13">
        <v>46238.584363877308</v>
      </c>
      <c r="D2024" s="2" t="s">
        <v>4075</v>
      </c>
      <c r="E2024" s="2" t="str">
        <f t="shared" si="95"/>
        <v>Email Available</v>
      </c>
      <c r="F2024" s="2" t="s">
        <v>3908</v>
      </c>
      <c r="G2024" s="2" t="s">
        <v>58</v>
      </c>
      <c r="H2024" s="2" t="s">
        <v>23</v>
      </c>
      <c r="I2024" s="2" t="s">
        <v>59</v>
      </c>
      <c r="J2024" s="2">
        <v>1</v>
      </c>
      <c r="K2024" s="2">
        <v>9.99</v>
      </c>
      <c r="L2024" s="2" t="s">
        <v>25</v>
      </c>
      <c r="M2024" s="2">
        <v>2</v>
      </c>
      <c r="N2024" s="2">
        <v>5.99</v>
      </c>
      <c r="O2024" s="2">
        <v>13.98</v>
      </c>
      <c r="P2024" s="2" t="s">
        <v>68</v>
      </c>
      <c r="Q2024" s="2" t="s">
        <v>41</v>
      </c>
      <c r="R2024" s="2" t="s">
        <v>52</v>
      </c>
      <c r="S2024" s="2" t="s">
        <v>30</v>
      </c>
      <c r="T2024" s="2" t="s">
        <v>69</v>
      </c>
      <c r="U2024" s="2" t="str">
        <f t="shared" si="94"/>
        <v>Valid</v>
      </c>
      <c r="V2024" s="2" t="s">
        <v>5197</v>
      </c>
    </row>
    <row r="2025" spans="1:22" hidden="1" x14ac:dyDescent="0.3">
      <c r="A2025" s="2" t="s">
        <v>5198</v>
      </c>
      <c r="B2025" s="12">
        <f t="shared" si="93"/>
        <v>46238.585596122677</v>
      </c>
      <c r="C2025" s="13">
        <v>46238.585596122677</v>
      </c>
      <c r="D2025" s="2" t="s">
        <v>94</v>
      </c>
      <c r="E2025" s="2" t="str">
        <f t="shared" si="95"/>
        <v>Email Available</v>
      </c>
      <c r="F2025" s="2" t="s">
        <v>95</v>
      </c>
      <c r="G2025" s="2" t="s">
        <v>284</v>
      </c>
      <c r="H2025" s="2" t="s">
        <v>23</v>
      </c>
      <c r="I2025" s="2" t="s">
        <v>285</v>
      </c>
      <c r="J2025" s="2">
        <v>1</v>
      </c>
      <c r="K2025" s="2">
        <v>24.99</v>
      </c>
      <c r="L2025" s="2" t="s">
        <v>25</v>
      </c>
      <c r="M2025" s="2">
        <v>5</v>
      </c>
      <c r="N2025" s="2">
        <v>7.99</v>
      </c>
      <c r="O2025" s="2">
        <v>27.98</v>
      </c>
      <c r="P2025" s="2" t="s">
        <v>68</v>
      </c>
      <c r="Q2025" s="2" t="s">
        <v>28</v>
      </c>
      <c r="R2025" s="2" t="s">
        <v>99</v>
      </c>
      <c r="S2025" s="2" t="s">
        <v>43</v>
      </c>
      <c r="T2025" s="2"/>
      <c r="U2025" s="2" t="str">
        <f t="shared" si="94"/>
        <v>Not Required</v>
      </c>
      <c r="V2025" s="2" t="s">
        <v>5199</v>
      </c>
    </row>
    <row r="2026" spans="1:22" hidden="1" x14ac:dyDescent="0.3">
      <c r="A2026" s="2" t="s">
        <v>5200</v>
      </c>
      <c r="B2026" s="12">
        <f t="shared" si="93"/>
        <v>46238</v>
      </c>
      <c r="C2026" s="13" t="s">
        <v>1214</v>
      </c>
      <c r="D2026" s="2" t="s">
        <v>2224</v>
      </c>
      <c r="E2026" s="2" t="str">
        <f t="shared" si="95"/>
        <v>Email Available</v>
      </c>
      <c r="F2026" s="2" t="s">
        <v>2225</v>
      </c>
      <c r="G2026" s="2" t="s">
        <v>112</v>
      </c>
      <c r="H2026" s="2" t="s">
        <v>81</v>
      </c>
      <c r="I2026" s="2" t="s">
        <v>113</v>
      </c>
      <c r="J2026" s="2">
        <v>1</v>
      </c>
      <c r="K2026" s="2">
        <v>22.99</v>
      </c>
      <c r="L2026" s="2"/>
      <c r="M2026" s="2">
        <v>0</v>
      </c>
      <c r="N2026" s="2">
        <v>4.99</v>
      </c>
      <c r="O2026" s="2">
        <v>27.98</v>
      </c>
      <c r="P2026" s="2" t="s">
        <v>68</v>
      </c>
      <c r="Q2026" s="2" t="s">
        <v>28</v>
      </c>
      <c r="R2026" s="2" t="s">
        <v>29</v>
      </c>
      <c r="S2026" s="2" t="s">
        <v>75</v>
      </c>
      <c r="T2026" s="2"/>
      <c r="U2026" s="2" t="str">
        <f t="shared" si="94"/>
        <v>Not Required</v>
      </c>
      <c r="V2026" s="2" t="s">
        <v>5201</v>
      </c>
    </row>
    <row r="2027" spans="1:22" hidden="1" x14ac:dyDescent="0.3">
      <c r="A2027" s="2" t="s">
        <v>5202</v>
      </c>
      <c r="B2027" s="12">
        <f t="shared" si="93"/>
        <v>46238.584997743063</v>
      </c>
      <c r="C2027" s="13">
        <v>46238.584997743063</v>
      </c>
      <c r="D2027" s="2" t="s">
        <v>345</v>
      </c>
      <c r="E2027" s="2" t="str">
        <f t="shared" si="95"/>
        <v>Email Available</v>
      </c>
      <c r="F2027" s="2" t="s">
        <v>452</v>
      </c>
      <c r="G2027" s="2" t="s">
        <v>87</v>
      </c>
      <c r="H2027" s="2" t="s">
        <v>88</v>
      </c>
      <c r="I2027" s="2" t="s">
        <v>89</v>
      </c>
      <c r="J2027" s="2">
        <v>2</v>
      </c>
      <c r="K2027" s="2">
        <v>54.99</v>
      </c>
      <c r="L2027" s="2" t="s">
        <v>208</v>
      </c>
      <c r="M2027" s="2">
        <v>16.5</v>
      </c>
      <c r="N2027" s="2">
        <v>0</v>
      </c>
      <c r="O2027" s="2">
        <v>93.48</v>
      </c>
      <c r="P2027" s="2" t="s">
        <v>68</v>
      </c>
      <c r="Q2027" s="2" t="s">
        <v>28</v>
      </c>
      <c r="R2027" s="2" t="s">
        <v>52</v>
      </c>
      <c r="S2027" s="2" t="s">
        <v>30</v>
      </c>
      <c r="T2027" s="2" t="s">
        <v>145</v>
      </c>
      <c r="U2027" s="2" t="str">
        <f t="shared" si="94"/>
        <v>Valid</v>
      </c>
      <c r="V2027" s="2" t="s">
        <v>5203</v>
      </c>
    </row>
    <row r="2028" spans="1:22" hidden="1" x14ac:dyDescent="0.3">
      <c r="A2028" s="2" t="s">
        <v>5204</v>
      </c>
      <c r="B2028" s="12">
        <f t="shared" si="93"/>
        <v>46238.587650127323</v>
      </c>
      <c r="C2028" s="13">
        <v>46238.587650127323</v>
      </c>
      <c r="D2028" s="2" t="s">
        <v>185</v>
      </c>
      <c r="E2028" s="2" t="str">
        <f t="shared" si="95"/>
        <v>Email Available</v>
      </c>
      <c r="F2028" s="2" t="s">
        <v>186</v>
      </c>
      <c r="G2028" s="2" t="s">
        <v>48</v>
      </c>
      <c r="H2028" s="2" t="s">
        <v>49</v>
      </c>
      <c r="I2028" s="2" t="s">
        <v>50</v>
      </c>
      <c r="J2028" s="2">
        <v>3</v>
      </c>
      <c r="K2028" s="2">
        <v>39.99</v>
      </c>
      <c r="L2028" s="2" t="s">
        <v>25</v>
      </c>
      <c r="M2028" s="2">
        <v>23.99</v>
      </c>
      <c r="N2028" s="2">
        <v>0</v>
      </c>
      <c r="O2028" s="2">
        <v>95.98</v>
      </c>
      <c r="P2028" s="2" t="s">
        <v>51</v>
      </c>
      <c r="Q2028" s="2" t="s">
        <v>41</v>
      </c>
      <c r="R2028" s="2" t="s">
        <v>52</v>
      </c>
      <c r="S2028" s="2" t="s">
        <v>30</v>
      </c>
      <c r="T2028" s="2" t="s">
        <v>454</v>
      </c>
      <c r="U2028" s="2" t="str">
        <f t="shared" si="94"/>
        <v>Valid</v>
      </c>
      <c r="V2028" s="2" t="s">
        <v>5205</v>
      </c>
    </row>
    <row r="2029" spans="1:22" hidden="1" x14ac:dyDescent="0.3">
      <c r="A2029" s="2" t="s">
        <v>5206</v>
      </c>
      <c r="B2029" s="12">
        <f t="shared" si="93"/>
        <v>46238.582060451386</v>
      </c>
      <c r="C2029" s="13">
        <v>46238.582060451386</v>
      </c>
      <c r="D2029" s="2" t="s">
        <v>177</v>
      </c>
      <c r="E2029" s="2" t="str">
        <f t="shared" si="95"/>
        <v>Email Available</v>
      </c>
      <c r="F2029" s="2" t="s">
        <v>178</v>
      </c>
      <c r="G2029" s="2" t="s">
        <v>36</v>
      </c>
      <c r="H2029" s="2" t="s">
        <v>37</v>
      </c>
      <c r="I2029" s="2" t="s">
        <v>38</v>
      </c>
      <c r="J2029" s="2">
        <v>1</v>
      </c>
      <c r="K2029" s="2">
        <v>21.99</v>
      </c>
      <c r="L2029" s="2"/>
      <c r="M2029" s="2">
        <v>0</v>
      </c>
      <c r="N2029" s="2">
        <v>4.99</v>
      </c>
      <c r="O2029" s="2">
        <v>26.98</v>
      </c>
      <c r="P2029" s="2" t="s">
        <v>68</v>
      </c>
      <c r="Q2029" s="2" t="s">
        <v>28</v>
      </c>
      <c r="R2029" s="2" t="s">
        <v>29</v>
      </c>
      <c r="S2029" s="2" t="s">
        <v>30</v>
      </c>
      <c r="T2029" s="2" t="s">
        <v>939</v>
      </c>
      <c r="U2029" s="2" t="str">
        <f t="shared" si="94"/>
        <v>Valid</v>
      </c>
      <c r="V2029" s="2" t="s">
        <v>3390</v>
      </c>
    </row>
    <row r="2030" spans="1:22" hidden="1" x14ac:dyDescent="0.3">
      <c r="A2030" s="2" t="s">
        <v>5207</v>
      </c>
      <c r="B2030" s="12">
        <f t="shared" si="93"/>
        <v>46238.58207300926</v>
      </c>
      <c r="C2030" s="13">
        <v>46238.58207300926</v>
      </c>
      <c r="D2030" s="2" t="s">
        <v>1960</v>
      </c>
      <c r="E2030" s="2" t="str">
        <f t="shared" si="95"/>
        <v>Email Available</v>
      </c>
      <c r="F2030" s="2" t="s">
        <v>1961</v>
      </c>
      <c r="G2030" s="2" t="s">
        <v>87</v>
      </c>
      <c r="H2030" s="2" t="s">
        <v>88</v>
      </c>
      <c r="I2030" s="2" t="s">
        <v>89</v>
      </c>
      <c r="J2030" s="2">
        <v>1</v>
      </c>
      <c r="K2030" s="2">
        <v>54.99</v>
      </c>
      <c r="L2030" s="2" t="s">
        <v>39</v>
      </c>
      <c r="M2030" s="2">
        <v>0</v>
      </c>
      <c r="N2030" s="2">
        <v>0</v>
      </c>
      <c r="O2030" s="2">
        <v>54.99</v>
      </c>
      <c r="P2030" s="2" t="s">
        <v>74</v>
      </c>
      <c r="Q2030" s="2" t="s">
        <v>28</v>
      </c>
      <c r="R2030" s="2" t="s">
        <v>52</v>
      </c>
      <c r="S2030" s="2" t="s">
        <v>30</v>
      </c>
      <c r="T2030" s="2" t="s">
        <v>60</v>
      </c>
      <c r="U2030" s="2" t="str">
        <f t="shared" si="94"/>
        <v>Valid</v>
      </c>
      <c r="V2030" s="2" t="s">
        <v>5208</v>
      </c>
    </row>
    <row r="2031" spans="1:22" hidden="1" x14ac:dyDescent="0.3">
      <c r="A2031" s="2" t="s">
        <v>5209</v>
      </c>
      <c r="B2031" s="12">
        <f t="shared" si="93"/>
        <v>46238.581719675924</v>
      </c>
      <c r="C2031" s="13">
        <v>46238.581719675924</v>
      </c>
      <c r="D2031" s="2" t="s">
        <v>1392</v>
      </c>
      <c r="E2031" s="2" t="str">
        <f t="shared" si="95"/>
        <v>Email Available</v>
      </c>
      <c r="F2031" s="2" t="s">
        <v>1393</v>
      </c>
      <c r="G2031" s="2" t="s">
        <v>206</v>
      </c>
      <c r="H2031" s="2" t="s">
        <v>196</v>
      </c>
      <c r="I2031" s="2" t="s">
        <v>207</v>
      </c>
      <c r="J2031" s="2">
        <v>1</v>
      </c>
      <c r="K2031" s="2">
        <v>24.99</v>
      </c>
      <c r="L2031" s="2"/>
      <c r="M2031" s="2">
        <v>0</v>
      </c>
      <c r="N2031" s="2">
        <v>5.99</v>
      </c>
      <c r="O2031" s="2">
        <v>30.98</v>
      </c>
      <c r="P2031" s="2" t="s">
        <v>27</v>
      </c>
      <c r="Q2031" s="2" t="s">
        <v>41</v>
      </c>
      <c r="R2031" s="2" t="s">
        <v>52</v>
      </c>
      <c r="S2031" s="2" t="s">
        <v>228</v>
      </c>
      <c r="T2031" s="2"/>
      <c r="U2031" s="2" t="str">
        <f t="shared" si="94"/>
        <v>Not Required</v>
      </c>
      <c r="V2031" s="2" t="s">
        <v>5210</v>
      </c>
    </row>
    <row r="2032" spans="1:22" hidden="1" x14ac:dyDescent="0.3">
      <c r="A2032" s="2" t="s">
        <v>5211</v>
      </c>
      <c r="B2032" s="12">
        <f t="shared" si="93"/>
        <v>46238.584253587956</v>
      </c>
      <c r="C2032" s="13">
        <v>46238.584253587956</v>
      </c>
      <c r="D2032" s="2" t="s">
        <v>2270</v>
      </c>
      <c r="E2032" s="2" t="str">
        <f t="shared" si="95"/>
        <v>Email Available</v>
      </c>
      <c r="F2032" s="2" t="s">
        <v>2271</v>
      </c>
      <c r="G2032" s="2" t="s">
        <v>105</v>
      </c>
      <c r="H2032" s="2" t="s">
        <v>106</v>
      </c>
      <c r="I2032" s="2" t="s">
        <v>107</v>
      </c>
      <c r="J2032" s="2">
        <v>1</v>
      </c>
      <c r="K2032" s="2">
        <v>19.989999999999998</v>
      </c>
      <c r="L2032" s="2" t="s">
        <v>121</v>
      </c>
      <c r="M2032" s="2">
        <v>5</v>
      </c>
      <c r="N2032" s="2">
        <v>7.99</v>
      </c>
      <c r="O2032" s="2" t="s">
        <v>4668</v>
      </c>
      <c r="P2032" s="2" t="s">
        <v>27</v>
      </c>
      <c r="Q2032" s="2" t="s">
        <v>28</v>
      </c>
      <c r="R2032" s="2" t="s">
        <v>52</v>
      </c>
      <c r="S2032" s="2" t="s">
        <v>228</v>
      </c>
      <c r="T2032" s="2"/>
      <c r="U2032" s="2" t="str">
        <f t="shared" si="94"/>
        <v>Not Required</v>
      </c>
      <c r="V2032" s="2" t="s">
        <v>5212</v>
      </c>
    </row>
    <row r="2033" spans="1:22" hidden="1" x14ac:dyDescent="0.3">
      <c r="A2033" s="2" t="s">
        <v>5213</v>
      </c>
      <c r="B2033" s="12">
        <f t="shared" si="93"/>
        <v>46238.579132060193</v>
      </c>
      <c r="C2033" s="13">
        <v>46238.579132060193</v>
      </c>
      <c r="D2033" s="2" t="s">
        <v>3869</v>
      </c>
      <c r="E2033" s="2" t="str">
        <f t="shared" si="95"/>
        <v>Email Available</v>
      </c>
      <c r="F2033" s="2" t="s">
        <v>3870</v>
      </c>
      <c r="G2033" s="2" t="s">
        <v>368</v>
      </c>
      <c r="H2033" s="2" t="s">
        <v>88</v>
      </c>
      <c r="I2033" s="2" t="s">
        <v>369</v>
      </c>
      <c r="J2033" s="2">
        <v>2</v>
      </c>
      <c r="K2033" s="2">
        <v>54.99</v>
      </c>
      <c r="L2033" s="2" t="s">
        <v>67</v>
      </c>
      <c r="M2033" s="2">
        <v>11</v>
      </c>
      <c r="N2033" s="2">
        <v>0</v>
      </c>
      <c r="O2033" s="2">
        <v>98.98</v>
      </c>
      <c r="P2033" s="2" t="s">
        <v>27</v>
      </c>
      <c r="Q2033" s="2" t="s">
        <v>28</v>
      </c>
      <c r="R2033" s="2" t="s">
        <v>52</v>
      </c>
      <c r="S2033" s="2" t="s">
        <v>337</v>
      </c>
      <c r="T2033" s="2"/>
      <c r="U2033" s="2" t="str">
        <f t="shared" si="94"/>
        <v>Not Required</v>
      </c>
      <c r="V2033" s="2" t="s">
        <v>5214</v>
      </c>
    </row>
    <row r="2034" spans="1:22" hidden="1" x14ac:dyDescent="0.3">
      <c r="A2034" s="2" t="s">
        <v>5215</v>
      </c>
      <c r="B2034" s="12">
        <f t="shared" si="93"/>
        <v>46238.58494202546</v>
      </c>
      <c r="C2034" s="13">
        <v>46238.58494202546</v>
      </c>
      <c r="D2034" s="2" t="s">
        <v>5216</v>
      </c>
      <c r="E2034" s="2" t="str">
        <f t="shared" si="95"/>
        <v>Email Available</v>
      </c>
      <c r="F2034" s="2" t="s">
        <v>2022</v>
      </c>
      <c r="G2034" s="2" t="s">
        <v>266</v>
      </c>
      <c r="H2034" s="2" t="s">
        <v>37</v>
      </c>
      <c r="I2034" s="2" t="s">
        <v>267</v>
      </c>
      <c r="J2034" s="2">
        <v>1</v>
      </c>
      <c r="K2034" s="2" t="s">
        <v>324</v>
      </c>
      <c r="L2034" s="2" t="s">
        <v>67</v>
      </c>
      <c r="M2034" s="2">
        <v>1.55</v>
      </c>
      <c r="N2034" s="2">
        <v>4.99</v>
      </c>
      <c r="O2034" s="2">
        <v>18.93</v>
      </c>
      <c r="P2034" s="2" t="s">
        <v>51</v>
      </c>
      <c r="Q2034" s="2" t="s">
        <v>90</v>
      </c>
      <c r="R2034" s="2" t="s">
        <v>52</v>
      </c>
      <c r="S2034" s="2" t="s">
        <v>108</v>
      </c>
      <c r="T2034" s="2"/>
      <c r="U2034" s="2" t="str">
        <f t="shared" si="94"/>
        <v>Not Required</v>
      </c>
      <c r="V2034" s="2" t="s">
        <v>5217</v>
      </c>
    </row>
    <row r="2035" spans="1:22" x14ac:dyDescent="0.3">
      <c r="A2035" s="2" t="s">
        <v>5218</v>
      </c>
      <c r="B2035" s="12">
        <f t="shared" si="93"/>
        <v>46120</v>
      </c>
      <c r="C2035" s="13" t="s">
        <v>142</v>
      </c>
      <c r="D2035" s="2" t="s">
        <v>2322</v>
      </c>
      <c r="E2035" s="2" t="str">
        <f t="shared" si="95"/>
        <v>Missing Email</v>
      </c>
      <c r="F2035" s="2"/>
      <c r="G2035" s="2" t="s">
        <v>272</v>
      </c>
      <c r="H2035" s="2" t="s">
        <v>23</v>
      </c>
      <c r="I2035" s="2" t="s">
        <v>273</v>
      </c>
      <c r="J2035" s="2">
        <v>1</v>
      </c>
      <c r="K2035" s="2">
        <v>18.989999999999998</v>
      </c>
      <c r="L2035" s="2"/>
      <c r="M2035" s="2">
        <v>0</v>
      </c>
      <c r="N2035" s="2">
        <v>7.99</v>
      </c>
      <c r="O2035" s="2">
        <v>26.98</v>
      </c>
      <c r="P2035" s="2" t="s">
        <v>40</v>
      </c>
      <c r="Q2035" s="2" t="s">
        <v>41</v>
      </c>
      <c r="R2035" s="2" t="s">
        <v>42</v>
      </c>
      <c r="S2035" s="2" t="s">
        <v>30</v>
      </c>
      <c r="T2035" s="2" t="s">
        <v>115</v>
      </c>
      <c r="U2035" s="2" t="str">
        <f t="shared" si="94"/>
        <v>Valid</v>
      </c>
      <c r="V2035" s="2" t="s">
        <v>5219</v>
      </c>
    </row>
    <row r="2036" spans="1:22" hidden="1" x14ac:dyDescent="0.3">
      <c r="A2036" s="2" t="s">
        <v>5220</v>
      </c>
      <c r="B2036" s="12">
        <f t="shared" si="93"/>
        <v>46238.585245150462</v>
      </c>
      <c r="C2036" s="13">
        <v>46238.585245150462</v>
      </c>
      <c r="D2036" s="2" t="s">
        <v>327</v>
      </c>
      <c r="E2036" s="2" t="str">
        <f t="shared" si="95"/>
        <v>Email Available</v>
      </c>
      <c r="F2036" s="2" t="s">
        <v>328</v>
      </c>
      <c r="G2036" s="2" t="s">
        <v>241</v>
      </c>
      <c r="H2036" s="2" t="s">
        <v>242</v>
      </c>
      <c r="I2036" s="2" t="s">
        <v>243</v>
      </c>
      <c r="J2036" s="2">
        <v>1</v>
      </c>
      <c r="K2036" s="2">
        <v>27.99</v>
      </c>
      <c r="L2036" s="2" t="s">
        <v>208</v>
      </c>
      <c r="M2036" s="2" t="s">
        <v>3460</v>
      </c>
      <c r="N2036" s="2">
        <v>7.99</v>
      </c>
      <c r="O2036" s="2" t="s">
        <v>5221</v>
      </c>
      <c r="P2036" s="2" t="s">
        <v>74</v>
      </c>
      <c r="Q2036" s="2" t="s">
        <v>28</v>
      </c>
      <c r="R2036" s="2" t="s">
        <v>52</v>
      </c>
      <c r="S2036" s="2" t="s">
        <v>228</v>
      </c>
      <c r="T2036" s="2"/>
      <c r="U2036" s="2" t="str">
        <f t="shared" si="94"/>
        <v>Not Required</v>
      </c>
      <c r="V2036" s="2" t="s">
        <v>1688</v>
      </c>
    </row>
    <row r="2037" spans="1:22" x14ac:dyDescent="0.3">
      <c r="E2037" s="2"/>
    </row>
    <row r="2038" spans="1:22" x14ac:dyDescent="0.3">
      <c r="E2038" s="2"/>
    </row>
    <row r="2039" spans="1:22" x14ac:dyDescent="0.3">
      <c r="E2039" s="2"/>
    </row>
    <row r="2040" spans="1:22" x14ac:dyDescent="0.3">
      <c r="E2040" s="2"/>
    </row>
    <row r="2041" spans="1:22" x14ac:dyDescent="0.3">
      <c r="E2041" s="2"/>
    </row>
    <row r="2042" spans="1:22" x14ac:dyDescent="0.3">
      <c r="E2042" s="2"/>
    </row>
    <row r="2043" spans="1:22" x14ac:dyDescent="0.3">
      <c r="E2043" s="2"/>
    </row>
    <row r="2044" spans="1:22" x14ac:dyDescent="0.3">
      <c r="E2044" s="2"/>
    </row>
  </sheetData>
  <autoFilter ref="F1:F2044" xr:uid="{00000000-0001-0000-0000-000000000000}">
    <filterColumn colId="0">
      <filters blank="1"/>
    </filterColumn>
  </autoFilter>
  <pageMargins left="0.75" right="0.75" top="1" bottom="1" header="0.5" footer="0.5"/>
  <ignoredErrors>
    <ignoredError sqref="B22:B328 B1029:B2001 B1005:B1028 B826:B1004 B816:B825 B678:B815 B625:B677 B577:B624 B329:B57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Task-1(Data-Quality-Audit)</vt:lpstr>
      <vt:lpstr>Cleaning Tasks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ABDULLAH KHALIL</cp:lastModifiedBy>
  <dcterms:created xsi:type="dcterms:W3CDTF">2026-08-04T14:08:56Z</dcterms:created>
  <dcterms:modified xsi:type="dcterms:W3CDTF">2026-08-09T18:33:10Z</dcterms:modified>
</cp:coreProperties>
</file>